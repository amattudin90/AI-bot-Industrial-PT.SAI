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ANUAR\TREATMENT\"/>
    </mc:Choice>
  </mc:AlternateContent>
  <xr:revisionPtr revIDLastSave="0" documentId="13_ncr:1_{82CE69E0-D9C1-4F38-93F3-9B80E1A9A497}" xr6:coauthVersionLast="47" xr6:coauthVersionMax="47" xr10:uidLastSave="{00000000-0000-0000-0000-000000000000}"/>
  <bookViews>
    <workbookView xWindow="-120" yWindow="-120" windowWidth="29040" windowHeight="15840" activeTab="6" xr2:uid="{DEB6C593-CD90-42A2-9BAC-E72F402A4C3A}"/>
  </bookViews>
  <sheets>
    <sheet name="SUMMARY" sheetId="1" r:id="rId1"/>
    <sheet name="GRAFIK BORDIR" sheetId="9" r:id="rId2"/>
    <sheet name="GRAFIK PRINTING" sheetId="11" r:id="rId3"/>
    <sheet name="GRAFIK EMBOSS" sheetId="10" r:id="rId4"/>
    <sheet name="GRAFIK NOSEW" sheetId="8" r:id="rId5"/>
    <sheet name="GRAFIK CUTTING PRESS" sheetId="7" r:id="rId6"/>
    <sheet name="Problem Solving Bordir" sheetId="1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A" localSheetId="5">#REF!</definedName>
    <definedName name="\A" localSheetId="4">#REF!</definedName>
    <definedName name="\A">#REF!</definedName>
    <definedName name="\C" localSheetId="5">#REF!</definedName>
    <definedName name="\C" localSheetId="4">#REF!</definedName>
    <definedName name="\C">#REF!</definedName>
    <definedName name="\F" localSheetId="5">#REF!</definedName>
    <definedName name="\F" localSheetId="4">#REF!</definedName>
    <definedName name="\F">#REF!</definedName>
    <definedName name="\G" localSheetId="5">#REF!</definedName>
    <definedName name="\G" localSheetId="4">#REF!</definedName>
    <definedName name="\G">#REF!</definedName>
    <definedName name="\p">[1]피유.프레스!#REF!</definedName>
    <definedName name="\Q" localSheetId="5">#REF!</definedName>
    <definedName name="\Q" localSheetId="4">#REF!</definedName>
    <definedName name="\Q">#REF!</definedName>
    <definedName name="\Z" localSheetId="5">#REF!</definedName>
    <definedName name="\Z" localSheetId="4">#REF!</definedName>
    <definedName name="\Z">#REF!</definedName>
    <definedName name="_?" localSheetId="5">#REF!</definedName>
    <definedName name="_?" localSheetId="4">#REF!</definedName>
    <definedName name="_?">#REF!</definedName>
    <definedName name="__">[2]!__</definedName>
    <definedName name="__?" localSheetId="5">#REF!</definedName>
    <definedName name="__?" localSheetId="4">#REF!</definedName>
    <definedName name="__?">#REF!</definedName>
    <definedName name="___?" localSheetId="5">#REF!</definedName>
    <definedName name="___?" localSheetId="4">#REF!</definedName>
    <definedName name="___?">#REF!</definedName>
    <definedName name="____?" localSheetId="5">#REF!</definedName>
    <definedName name="____?" localSheetId="4">#REF!</definedName>
    <definedName name="____?">#REF!</definedName>
    <definedName name="_____?" localSheetId="5">#REF!</definedName>
    <definedName name="_____?" localSheetId="4">#REF!</definedName>
    <definedName name="_____?">#REF!</definedName>
    <definedName name="______?" localSheetId="5">#REF!</definedName>
    <definedName name="______?" localSheetId="4">#REF!</definedName>
    <definedName name="______?">#REF!</definedName>
    <definedName name="_______?" localSheetId="5">#REF!</definedName>
    <definedName name="_______?" localSheetId="4">#REF!</definedName>
    <definedName name="_______?">#REF!</definedName>
    <definedName name="________?" localSheetId="5">#REF!</definedName>
    <definedName name="________?" localSheetId="4">#REF!</definedName>
    <definedName name="________?">#REF!</definedName>
    <definedName name="_________?" localSheetId="5">#REF!</definedName>
    <definedName name="_________?" localSheetId="4">#REF!</definedName>
    <definedName name="_________?">#REF!</definedName>
    <definedName name="__________?" localSheetId="5">#REF!</definedName>
    <definedName name="__________?" localSheetId="4">#REF!</definedName>
    <definedName name="__________?">#REF!</definedName>
    <definedName name="____________________MAX61" localSheetId="5">#REF!</definedName>
    <definedName name="____________________MAX61" localSheetId="4">#REF!</definedName>
    <definedName name="____________________MAX61">#REF!</definedName>
    <definedName name="___________________acv456">#N/A</definedName>
    <definedName name="___________________MAX61" localSheetId="5">#REF!</definedName>
    <definedName name="___________________MAX61" localSheetId="4">#REF!</definedName>
    <definedName name="___________________MAX61">#REF!</definedName>
    <definedName name="__________________acv456">#N/A</definedName>
    <definedName name="__________________MAX61" localSheetId="5">#REF!</definedName>
    <definedName name="__________________MAX61" localSheetId="4">#REF!</definedName>
    <definedName name="__________________MAX61">#REF!</definedName>
    <definedName name="_________________acv456">#N/A</definedName>
    <definedName name="_________________MAX61" localSheetId="5">#REF!</definedName>
    <definedName name="_________________MAX61" localSheetId="4">#REF!</definedName>
    <definedName name="_________________MAX61">#REF!</definedName>
    <definedName name="________________acv456">#N/A</definedName>
    <definedName name="________________awe122" localSheetId="5">#REF!</definedName>
    <definedName name="________________awe122" localSheetId="4">#REF!</definedName>
    <definedName name="________________awe122">#REF!</definedName>
    <definedName name="________________MAX61" localSheetId="5">#REF!</definedName>
    <definedName name="________________MAX61" localSheetId="4">#REF!</definedName>
    <definedName name="________________MAX61">#REF!</definedName>
    <definedName name="_______________acv456">[3]!直線55_Click</definedName>
    <definedName name="_______________awe122" localSheetId="5">#REF!</definedName>
    <definedName name="_______________awe122" localSheetId="4">#REF!</definedName>
    <definedName name="_______________awe122">#REF!</definedName>
    <definedName name="_______________MAX61" localSheetId="5">#REF!</definedName>
    <definedName name="_______________MAX61" localSheetId="4">#REF!</definedName>
    <definedName name="_______________MAX61">#REF!</definedName>
    <definedName name="______________acv456">[4]!PAGE_WIDTH</definedName>
    <definedName name="______________acv457">[3]!直線55_Click</definedName>
    <definedName name="______________awe122" localSheetId="5">#REF!</definedName>
    <definedName name="______________awe122" localSheetId="4">#REF!</definedName>
    <definedName name="______________awe122">#REF!</definedName>
    <definedName name="______________MAX61" localSheetId="5">#REF!</definedName>
    <definedName name="______________MAX61" localSheetId="4">#REF!</definedName>
    <definedName name="______________MAX61">#REF!</definedName>
    <definedName name="_____________acv456">[3]!PAGE_WIDTH</definedName>
    <definedName name="_____________acv457">[5]!PAGE_WIDTH</definedName>
    <definedName name="_____________awe122" localSheetId="5">#REF!</definedName>
    <definedName name="_____________awe122" localSheetId="4">#REF!</definedName>
    <definedName name="_____________awe122">#REF!</definedName>
    <definedName name="_____________MAX61" localSheetId="5">#REF!</definedName>
    <definedName name="_____________MAX61" localSheetId="4">#REF!</definedName>
    <definedName name="_____________MAX61">#REF!</definedName>
    <definedName name="____________acv456">[4]!PAGE_WIDTH</definedName>
    <definedName name="____________acv457">[4]!PAGE_WIDTH</definedName>
    <definedName name="____________awe122" localSheetId="5">#REF!</definedName>
    <definedName name="____________awe122" localSheetId="4">#REF!</definedName>
    <definedName name="____________awe122">#REF!</definedName>
    <definedName name="____________fob0301" localSheetId="5">#REF!</definedName>
    <definedName name="____________fob0301" localSheetId="4">#REF!</definedName>
    <definedName name="____________fob0301">#REF!</definedName>
    <definedName name="____________fob0302" localSheetId="5">#REF!</definedName>
    <definedName name="____________fob0302" localSheetId="4">#REF!</definedName>
    <definedName name="____________fob0302">#REF!</definedName>
    <definedName name="____________fob0303" localSheetId="5">#REF!</definedName>
    <definedName name="____________fob0303" localSheetId="4">#REF!</definedName>
    <definedName name="____________fob0303">#REF!</definedName>
    <definedName name="____________fob0304" localSheetId="5">#REF!</definedName>
    <definedName name="____________fob0304" localSheetId="4">#REF!</definedName>
    <definedName name="____________fob0304">#REF!</definedName>
    <definedName name="____________fob0305" localSheetId="5">#REF!</definedName>
    <definedName name="____________fob0305" localSheetId="4">#REF!</definedName>
    <definedName name="____________fob0305">#REF!</definedName>
    <definedName name="____________fob0306" localSheetId="5">#REF!</definedName>
    <definedName name="____________fob0306" localSheetId="4">#REF!</definedName>
    <definedName name="____________fob0306">#REF!</definedName>
    <definedName name="____________fob0307" localSheetId="5">#REF!</definedName>
    <definedName name="____________fob0307" localSheetId="4">#REF!</definedName>
    <definedName name="____________fob0307">#REF!</definedName>
    <definedName name="____________fob0308" localSheetId="5">#REF!</definedName>
    <definedName name="____________fob0308" localSheetId="4">#REF!</definedName>
    <definedName name="____________fob0308">#REF!</definedName>
    <definedName name="____________fob0309" localSheetId="5">#REF!</definedName>
    <definedName name="____________fob0309" localSheetId="4">#REF!</definedName>
    <definedName name="____________fob0309">#REF!</definedName>
    <definedName name="____________fob0310" localSheetId="5">#REF!</definedName>
    <definedName name="____________fob0310" localSheetId="4">#REF!</definedName>
    <definedName name="____________fob0310">#REF!</definedName>
    <definedName name="____________fob0311" localSheetId="5">#REF!</definedName>
    <definedName name="____________fob0311" localSheetId="4">#REF!</definedName>
    <definedName name="____________fob0311">#REF!</definedName>
    <definedName name="____________fob0312" localSheetId="5">#REF!</definedName>
    <definedName name="____________fob0312" localSheetId="4">#REF!</definedName>
    <definedName name="____________fob0312">#REF!</definedName>
    <definedName name="____________fob0401" localSheetId="5">#REF!</definedName>
    <definedName name="____________fob0401" localSheetId="4">#REF!</definedName>
    <definedName name="____________fob0401">#REF!</definedName>
    <definedName name="____________fob0402" localSheetId="5">#REF!</definedName>
    <definedName name="____________fob0402" localSheetId="4">#REF!</definedName>
    <definedName name="____________fob0402">#REF!</definedName>
    <definedName name="____________fob0403" localSheetId="5">#REF!</definedName>
    <definedName name="____________fob0403" localSheetId="4">#REF!</definedName>
    <definedName name="____________fob0403">#REF!</definedName>
    <definedName name="____________fob0404" localSheetId="5">#REF!</definedName>
    <definedName name="____________fob0404" localSheetId="4">#REF!</definedName>
    <definedName name="____________fob0404">#REF!</definedName>
    <definedName name="____________fob0405" localSheetId="5">#REF!</definedName>
    <definedName name="____________fob0405" localSheetId="4">#REF!</definedName>
    <definedName name="____________fob0405">#REF!</definedName>
    <definedName name="____________fob0406" localSheetId="5">#REF!</definedName>
    <definedName name="____________fob0406" localSheetId="4">#REF!</definedName>
    <definedName name="____________fob0406">#REF!</definedName>
    <definedName name="____________fob0407" localSheetId="5">#REF!</definedName>
    <definedName name="____________fob0407" localSheetId="4">#REF!</definedName>
    <definedName name="____________fob0407">#REF!</definedName>
    <definedName name="____________fob0408" localSheetId="5">#REF!</definedName>
    <definedName name="____________fob0408" localSheetId="4">#REF!</definedName>
    <definedName name="____________fob0408">#REF!</definedName>
    <definedName name="____________fob0409" localSheetId="5">#REF!</definedName>
    <definedName name="____________fob0409" localSheetId="4">#REF!</definedName>
    <definedName name="____________fob0409">#REF!</definedName>
    <definedName name="____________fob0410" localSheetId="5">#REF!</definedName>
    <definedName name="____________fob0410" localSheetId="4">#REF!</definedName>
    <definedName name="____________fob0410">#REF!</definedName>
    <definedName name="____________fob0411" localSheetId="5">#REF!</definedName>
    <definedName name="____________fob0411" localSheetId="4">#REF!</definedName>
    <definedName name="____________fob0411">#REF!</definedName>
    <definedName name="____________fob0412" localSheetId="5">#REF!</definedName>
    <definedName name="____________fob0412" localSheetId="4">#REF!</definedName>
    <definedName name="____________fob0412">#REF!</definedName>
    <definedName name="____________jm5510" localSheetId="5">#REF!</definedName>
    <definedName name="____________jm5510" localSheetId="4">#REF!</definedName>
    <definedName name="____________jm5510">#REF!</definedName>
    <definedName name="____________MAX61" localSheetId="5">#REF!</definedName>
    <definedName name="____________MAX61" localSheetId="4">#REF!</definedName>
    <definedName name="____________MAX61">#REF!</definedName>
    <definedName name="____________mj5510" localSheetId="5">#REF!</definedName>
    <definedName name="____________mj5510" localSheetId="4">#REF!</definedName>
    <definedName name="____________mj5510">#REF!</definedName>
    <definedName name="____________pr0301" localSheetId="5">#REF!</definedName>
    <definedName name="____________pr0301" localSheetId="4">#REF!</definedName>
    <definedName name="____________pr0301">#REF!</definedName>
    <definedName name="____________pr0302" localSheetId="5">#REF!</definedName>
    <definedName name="____________pr0302" localSheetId="4">#REF!</definedName>
    <definedName name="____________pr0302">#REF!</definedName>
    <definedName name="____________pr0303" localSheetId="5">#REF!</definedName>
    <definedName name="____________pr0303" localSheetId="4">#REF!</definedName>
    <definedName name="____________pr0303">#REF!</definedName>
    <definedName name="____________pr0304" localSheetId="5">#REF!</definedName>
    <definedName name="____________pr0304" localSheetId="4">#REF!</definedName>
    <definedName name="____________pr0304">#REF!</definedName>
    <definedName name="____________pr0305" localSheetId="5">#REF!</definedName>
    <definedName name="____________pr0305" localSheetId="4">#REF!</definedName>
    <definedName name="____________pr0305">#REF!</definedName>
    <definedName name="____________pr0306" localSheetId="5">#REF!</definedName>
    <definedName name="____________pr0306" localSheetId="4">#REF!</definedName>
    <definedName name="____________pr0306">#REF!</definedName>
    <definedName name="____________pr0307" localSheetId="5">#REF!</definedName>
    <definedName name="____________pr0307" localSheetId="4">#REF!</definedName>
    <definedName name="____________pr0307">#REF!</definedName>
    <definedName name="____________pr0308" localSheetId="5">#REF!</definedName>
    <definedName name="____________pr0308" localSheetId="4">#REF!</definedName>
    <definedName name="____________pr0308">#REF!</definedName>
    <definedName name="____________pr0309" localSheetId="5">#REF!</definedName>
    <definedName name="____________pr0309" localSheetId="4">#REF!</definedName>
    <definedName name="____________pr0309">#REF!</definedName>
    <definedName name="____________pr0310" localSheetId="5">#REF!</definedName>
    <definedName name="____________pr0310" localSheetId="4">#REF!</definedName>
    <definedName name="____________pr0310">#REF!</definedName>
    <definedName name="____________pr0311" localSheetId="5">#REF!</definedName>
    <definedName name="____________pr0311" localSheetId="4">#REF!</definedName>
    <definedName name="____________pr0311">#REF!</definedName>
    <definedName name="____________pr0312" localSheetId="5">#REF!</definedName>
    <definedName name="____________pr0312" localSheetId="4">#REF!</definedName>
    <definedName name="____________pr0312">#REF!</definedName>
    <definedName name="____________pr0401" localSheetId="5">#REF!</definedName>
    <definedName name="____________pr0401" localSheetId="4">#REF!</definedName>
    <definedName name="____________pr0401">#REF!</definedName>
    <definedName name="____________pr0402" localSheetId="5">#REF!</definedName>
    <definedName name="____________pr0402" localSheetId="4">#REF!</definedName>
    <definedName name="____________pr0402">#REF!</definedName>
    <definedName name="____________pr0403" localSheetId="5">#REF!</definedName>
    <definedName name="____________pr0403" localSheetId="4">#REF!</definedName>
    <definedName name="____________pr0403">#REF!</definedName>
    <definedName name="____________pr0404" localSheetId="5">#REF!</definedName>
    <definedName name="____________pr0404" localSheetId="4">#REF!</definedName>
    <definedName name="____________pr0404">#REF!</definedName>
    <definedName name="____________pr0405" localSheetId="5">#REF!</definedName>
    <definedName name="____________pr0405" localSheetId="4">#REF!</definedName>
    <definedName name="____________pr0405">#REF!</definedName>
    <definedName name="____________pr0406" localSheetId="5">#REF!</definedName>
    <definedName name="____________pr0406" localSheetId="4">#REF!</definedName>
    <definedName name="____________pr0406">#REF!</definedName>
    <definedName name="____________pr0407" localSheetId="5">#REF!</definedName>
    <definedName name="____________pr0407" localSheetId="4">#REF!</definedName>
    <definedName name="____________pr0407">#REF!</definedName>
    <definedName name="____________pr0408" localSheetId="5">#REF!</definedName>
    <definedName name="____________pr0408" localSheetId="4">#REF!</definedName>
    <definedName name="____________pr0408">#REF!</definedName>
    <definedName name="____________pr0409" localSheetId="5">#REF!</definedName>
    <definedName name="____________pr0409" localSheetId="4">#REF!</definedName>
    <definedName name="____________pr0409">#REF!</definedName>
    <definedName name="____________pr0410" localSheetId="5">#REF!</definedName>
    <definedName name="____________pr0410" localSheetId="4">#REF!</definedName>
    <definedName name="____________pr0410">#REF!</definedName>
    <definedName name="____________pr0411" localSheetId="5">#REF!</definedName>
    <definedName name="____________pr0411" localSheetId="4">#REF!</definedName>
    <definedName name="____________pr0411">#REF!</definedName>
    <definedName name="____________pr0412" localSheetId="5">#REF!</definedName>
    <definedName name="____________pr0412" localSheetId="4">#REF!</definedName>
    <definedName name="____________pr0412">#REF!</definedName>
    <definedName name="___________acv456">[6]!PAGE_WIDTH</definedName>
    <definedName name="___________acv457">[4]!PAGE_WIDTH</definedName>
    <definedName name="___________awe122" localSheetId="5">#REF!</definedName>
    <definedName name="___________awe122" localSheetId="4">#REF!</definedName>
    <definedName name="___________awe122">#REF!</definedName>
    <definedName name="___________fob0301" localSheetId="5">#REF!</definedName>
    <definedName name="___________fob0301" localSheetId="4">#REF!</definedName>
    <definedName name="___________fob0301">#REF!</definedName>
    <definedName name="___________fob0302" localSheetId="5">#REF!</definedName>
    <definedName name="___________fob0302" localSheetId="4">#REF!</definedName>
    <definedName name="___________fob0302">#REF!</definedName>
    <definedName name="___________fob0303" localSheetId="5">#REF!</definedName>
    <definedName name="___________fob0303" localSheetId="4">#REF!</definedName>
    <definedName name="___________fob0303">#REF!</definedName>
    <definedName name="___________fob0304" localSheetId="5">#REF!</definedName>
    <definedName name="___________fob0304" localSheetId="4">#REF!</definedName>
    <definedName name="___________fob0304">#REF!</definedName>
    <definedName name="___________fob0305" localSheetId="5">#REF!</definedName>
    <definedName name="___________fob0305" localSheetId="4">#REF!</definedName>
    <definedName name="___________fob0305">#REF!</definedName>
    <definedName name="___________fob0306" localSheetId="5">#REF!</definedName>
    <definedName name="___________fob0306" localSheetId="4">#REF!</definedName>
    <definedName name="___________fob0306">#REF!</definedName>
    <definedName name="___________fob0307" localSheetId="5">#REF!</definedName>
    <definedName name="___________fob0307" localSheetId="4">#REF!</definedName>
    <definedName name="___________fob0307">#REF!</definedName>
    <definedName name="___________fob0308" localSheetId="5">#REF!</definedName>
    <definedName name="___________fob0308" localSheetId="4">#REF!</definedName>
    <definedName name="___________fob0308">#REF!</definedName>
    <definedName name="___________fob0309" localSheetId="5">#REF!</definedName>
    <definedName name="___________fob0309" localSheetId="4">#REF!</definedName>
    <definedName name="___________fob0309">#REF!</definedName>
    <definedName name="___________fob0310" localSheetId="5">#REF!</definedName>
    <definedName name="___________fob0310" localSheetId="4">#REF!</definedName>
    <definedName name="___________fob0310">#REF!</definedName>
    <definedName name="___________fob0311" localSheetId="5">#REF!</definedName>
    <definedName name="___________fob0311" localSheetId="4">#REF!</definedName>
    <definedName name="___________fob0311">#REF!</definedName>
    <definedName name="___________fob0312" localSheetId="5">#REF!</definedName>
    <definedName name="___________fob0312" localSheetId="4">#REF!</definedName>
    <definedName name="___________fob0312">#REF!</definedName>
    <definedName name="___________fob0401" localSheetId="5">#REF!</definedName>
    <definedName name="___________fob0401" localSheetId="4">#REF!</definedName>
    <definedName name="___________fob0401">#REF!</definedName>
    <definedName name="___________fob0402" localSheetId="5">#REF!</definedName>
    <definedName name="___________fob0402" localSheetId="4">#REF!</definedName>
    <definedName name="___________fob0402">#REF!</definedName>
    <definedName name="___________fob0403" localSheetId="5">#REF!</definedName>
    <definedName name="___________fob0403" localSheetId="4">#REF!</definedName>
    <definedName name="___________fob0403">#REF!</definedName>
    <definedName name="___________fob0404" localSheetId="5">#REF!</definedName>
    <definedName name="___________fob0404" localSheetId="4">#REF!</definedName>
    <definedName name="___________fob0404">#REF!</definedName>
    <definedName name="___________fob0405" localSheetId="5">#REF!</definedName>
    <definedName name="___________fob0405" localSheetId="4">#REF!</definedName>
    <definedName name="___________fob0405">#REF!</definedName>
    <definedName name="___________fob0406" localSheetId="5">#REF!</definedName>
    <definedName name="___________fob0406" localSheetId="4">#REF!</definedName>
    <definedName name="___________fob0406">#REF!</definedName>
    <definedName name="___________fob0407" localSheetId="5">#REF!</definedName>
    <definedName name="___________fob0407" localSheetId="4">#REF!</definedName>
    <definedName name="___________fob0407">#REF!</definedName>
    <definedName name="___________fob0408" localSheetId="5">#REF!</definedName>
    <definedName name="___________fob0408" localSheetId="4">#REF!</definedName>
    <definedName name="___________fob0408">#REF!</definedName>
    <definedName name="___________fob0409" localSheetId="5">#REF!</definedName>
    <definedName name="___________fob0409" localSheetId="4">#REF!</definedName>
    <definedName name="___________fob0409">#REF!</definedName>
    <definedName name="___________fob0410" localSheetId="5">#REF!</definedName>
    <definedName name="___________fob0410" localSheetId="4">#REF!</definedName>
    <definedName name="___________fob0410">#REF!</definedName>
    <definedName name="___________fob0411" localSheetId="5">#REF!</definedName>
    <definedName name="___________fob0411" localSheetId="4">#REF!</definedName>
    <definedName name="___________fob0411">#REF!</definedName>
    <definedName name="___________fob0412" localSheetId="5">#REF!</definedName>
    <definedName name="___________fob0412" localSheetId="4">#REF!</definedName>
    <definedName name="___________fob0412">#REF!</definedName>
    <definedName name="___________jm5510" localSheetId="5">#REF!</definedName>
    <definedName name="___________jm5510" localSheetId="4">#REF!</definedName>
    <definedName name="___________jm5510">#REF!</definedName>
    <definedName name="___________MAX61" localSheetId="5">#REF!</definedName>
    <definedName name="___________MAX61" localSheetId="4">#REF!</definedName>
    <definedName name="___________MAX61">#REF!</definedName>
    <definedName name="___________mj5510" localSheetId="5">#REF!</definedName>
    <definedName name="___________mj5510" localSheetId="4">#REF!</definedName>
    <definedName name="___________mj5510">#REF!</definedName>
    <definedName name="___________pr0301" localSheetId="5">#REF!</definedName>
    <definedName name="___________pr0301" localSheetId="4">#REF!</definedName>
    <definedName name="___________pr0301">#REF!</definedName>
    <definedName name="___________pr0302" localSheetId="5">#REF!</definedName>
    <definedName name="___________pr0302" localSheetId="4">#REF!</definedName>
    <definedName name="___________pr0302">#REF!</definedName>
    <definedName name="___________pr0303" localSheetId="5">#REF!</definedName>
    <definedName name="___________pr0303" localSheetId="4">#REF!</definedName>
    <definedName name="___________pr0303">#REF!</definedName>
    <definedName name="___________pr0304" localSheetId="5">#REF!</definedName>
    <definedName name="___________pr0304" localSheetId="4">#REF!</definedName>
    <definedName name="___________pr0304">#REF!</definedName>
    <definedName name="___________pr0305" localSheetId="5">#REF!</definedName>
    <definedName name="___________pr0305" localSheetId="4">#REF!</definedName>
    <definedName name="___________pr0305">#REF!</definedName>
    <definedName name="___________pr0306" localSheetId="5">#REF!</definedName>
    <definedName name="___________pr0306" localSheetId="4">#REF!</definedName>
    <definedName name="___________pr0306">#REF!</definedName>
    <definedName name="___________pr0307" localSheetId="5">#REF!</definedName>
    <definedName name="___________pr0307" localSheetId="4">#REF!</definedName>
    <definedName name="___________pr0307">#REF!</definedName>
    <definedName name="___________pr0308" localSheetId="5">#REF!</definedName>
    <definedName name="___________pr0308" localSheetId="4">#REF!</definedName>
    <definedName name="___________pr0308">#REF!</definedName>
    <definedName name="___________pr0309" localSheetId="5">#REF!</definedName>
    <definedName name="___________pr0309" localSheetId="4">#REF!</definedName>
    <definedName name="___________pr0309">#REF!</definedName>
    <definedName name="___________pr0310" localSheetId="5">#REF!</definedName>
    <definedName name="___________pr0310" localSheetId="4">#REF!</definedName>
    <definedName name="___________pr0310">#REF!</definedName>
    <definedName name="___________pr0311" localSheetId="5">#REF!</definedName>
    <definedName name="___________pr0311" localSheetId="4">#REF!</definedName>
    <definedName name="___________pr0311">#REF!</definedName>
    <definedName name="___________pr0312" localSheetId="5">#REF!</definedName>
    <definedName name="___________pr0312" localSheetId="4">#REF!</definedName>
    <definedName name="___________pr0312">#REF!</definedName>
    <definedName name="___________pr0401" localSheetId="5">#REF!</definedName>
    <definedName name="___________pr0401" localSheetId="4">#REF!</definedName>
    <definedName name="___________pr0401">#REF!</definedName>
    <definedName name="___________pr0402" localSheetId="5">#REF!</definedName>
    <definedName name="___________pr0402" localSheetId="4">#REF!</definedName>
    <definedName name="___________pr0402">#REF!</definedName>
    <definedName name="___________pr0403" localSheetId="5">#REF!</definedName>
    <definedName name="___________pr0403" localSheetId="4">#REF!</definedName>
    <definedName name="___________pr0403">#REF!</definedName>
    <definedName name="___________pr0404" localSheetId="5">#REF!</definedName>
    <definedName name="___________pr0404" localSheetId="4">#REF!</definedName>
    <definedName name="___________pr0404">#REF!</definedName>
    <definedName name="___________pr0405" localSheetId="5">#REF!</definedName>
    <definedName name="___________pr0405" localSheetId="4">#REF!</definedName>
    <definedName name="___________pr0405">#REF!</definedName>
    <definedName name="___________pr0406" localSheetId="5">#REF!</definedName>
    <definedName name="___________pr0406" localSheetId="4">#REF!</definedName>
    <definedName name="___________pr0406">#REF!</definedName>
    <definedName name="___________pr0407" localSheetId="5">#REF!</definedName>
    <definedName name="___________pr0407" localSheetId="4">#REF!</definedName>
    <definedName name="___________pr0407">#REF!</definedName>
    <definedName name="___________pr0408" localSheetId="5">#REF!</definedName>
    <definedName name="___________pr0408" localSheetId="4">#REF!</definedName>
    <definedName name="___________pr0408">#REF!</definedName>
    <definedName name="___________pr0409" localSheetId="5">#REF!</definedName>
    <definedName name="___________pr0409" localSheetId="4">#REF!</definedName>
    <definedName name="___________pr0409">#REF!</definedName>
    <definedName name="___________pr0410" localSheetId="5">#REF!</definedName>
    <definedName name="___________pr0410" localSheetId="4">#REF!</definedName>
    <definedName name="___________pr0410">#REF!</definedName>
    <definedName name="___________pr0411" localSheetId="5">#REF!</definedName>
    <definedName name="___________pr0411" localSheetId="4">#REF!</definedName>
    <definedName name="___________pr0411">#REF!</definedName>
    <definedName name="___________pr0412" localSheetId="5">#REF!</definedName>
    <definedName name="___________pr0412" localSheetId="4">#REF!</definedName>
    <definedName name="___________pr0412">#REF!</definedName>
    <definedName name="__________acv456">[4]!PAGE_WIDTH</definedName>
    <definedName name="__________acv457">[6]!PAGE_WIDTH</definedName>
    <definedName name="__________awe122" localSheetId="5">#REF!</definedName>
    <definedName name="__________awe122" localSheetId="4">#REF!</definedName>
    <definedName name="__________awe122">#REF!</definedName>
    <definedName name="__________fob0301" localSheetId="5">#REF!</definedName>
    <definedName name="__________fob0301" localSheetId="4">#REF!</definedName>
    <definedName name="__________fob0301">#REF!</definedName>
    <definedName name="__________fob0302" localSheetId="5">#REF!</definedName>
    <definedName name="__________fob0302" localSheetId="4">#REF!</definedName>
    <definedName name="__________fob0302">#REF!</definedName>
    <definedName name="__________fob0303" localSheetId="5">#REF!</definedName>
    <definedName name="__________fob0303" localSheetId="4">#REF!</definedName>
    <definedName name="__________fob0303">#REF!</definedName>
    <definedName name="__________fob0304" localSheetId="5">#REF!</definedName>
    <definedName name="__________fob0304" localSheetId="4">#REF!</definedName>
    <definedName name="__________fob0304">#REF!</definedName>
    <definedName name="__________fob0305" localSheetId="5">#REF!</definedName>
    <definedName name="__________fob0305" localSheetId="4">#REF!</definedName>
    <definedName name="__________fob0305">#REF!</definedName>
    <definedName name="__________fob0306" localSheetId="5">#REF!</definedName>
    <definedName name="__________fob0306" localSheetId="4">#REF!</definedName>
    <definedName name="__________fob0306">#REF!</definedName>
    <definedName name="__________fob0307" localSheetId="5">#REF!</definedName>
    <definedName name="__________fob0307" localSheetId="4">#REF!</definedName>
    <definedName name="__________fob0307">#REF!</definedName>
    <definedName name="__________fob0308" localSheetId="5">#REF!</definedName>
    <definedName name="__________fob0308" localSheetId="4">#REF!</definedName>
    <definedName name="__________fob0308">#REF!</definedName>
    <definedName name="__________fob0309" localSheetId="5">#REF!</definedName>
    <definedName name="__________fob0309" localSheetId="4">#REF!</definedName>
    <definedName name="__________fob0309">#REF!</definedName>
    <definedName name="__________fob0310" localSheetId="5">#REF!</definedName>
    <definedName name="__________fob0310" localSheetId="4">#REF!</definedName>
    <definedName name="__________fob0310">#REF!</definedName>
    <definedName name="__________fob0311" localSheetId="5">#REF!</definedName>
    <definedName name="__________fob0311" localSheetId="4">#REF!</definedName>
    <definedName name="__________fob0311">#REF!</definedName>
    <definedName name="__________fob0312" localSheetId="5">#REF!</definedName>
    <definedName name="__________fob0312" localSheetId="4">#REF!</definedName>
    <definedName name="__________fob0312">#REF!</definedName>
    <definedName name="__________fob0401" localSheetId="5">#REF!</definedName>
    <definedName name="__________fob0401" localSheetId="4">#REF!</definedName>
    <definedName name="__________fob0401">#REF!</definedName>
    <definedName name="__________fob0402" localSheetId="5">#REF!</definedName>
    <definedName name="__________fob0402" localSheetId="4">#REF!</definedName>
    <definedName name="__________fob0402">#REF!</definedName>
    <definedName name="__________fob0403" localSheetId="5">#REF!</definedName>
    <definedName name="__________fob0403" localSheetId="4">#REF!</definedName>
    <definedName name="__________fob0403">#REF!</definedName>
    <definedName name="__________fob0404" localSheetId="5">#REF!</definedName>
    <definedName name="__________fob0404" localSheetId="4">#REF!</definedName>
    <definedName name="__________fob0404">#REF!</definedName>
    <definedName name="__________fob0405" localSheetId="5">#REF!</definedName>
    <definedName name="__________fob0405" localSheetId="4">#REF!</definedName>
    <definedName name="__________fob0405">#REF!</definedName>
    <definedName name="__________fob0406" localSheetId="5">#REF!</definedName>
    <definedName name="__________fob0406" localSheetId="4">#REF!</definedName>
    <definedName name="__________fob0406">#REF!</definedName>
    <definedName name="__________fob0407" localSheetId="5">#REF!</definedName>
    <definedName name="__________fob0407" localSheetId="4">#REF!</definedName>
    <definedName name="__________fob0407">#REF!</definedName>
    <definedName name="__________fob0408" localSheetId="5">#REF!</definedName>
    <definedName name="__________fob0408" localSheetId="4">#REF!</definedName>
    <definedName name="__________fob0408">#REF!</definedName>
    <definedName name="__________fob0409" localSheetId="5">#REF!</definedName>
    <definedName name="__________fob0409" localSheetId="4">#REF!</definedName>
    <definedName name="__________fob0409">#REF!</definedName>
    <definedName name="__________fob0410" localSheetId="5">#REF!</definedName>
    <definedName name="__________fob0410" localSheetId="4">#REF!</definedName>
    <definedName name="__________fob0410">#REF!</definedName>
    <definedName name="__________fob0411" localSheetId="5">#REF!</definedName>
    <definedName name="__________fob0411" localSheetId="4">#REF!</definedName>
    <definedName name="__________fob0411">#REF!</definedName>
    <definedName name="__________fob0412" localSheetId="5">#REF!</definedName>
    <definedName name="__________fob0412" localSheetId="4">#REF!</definedName>
    <definedName name="__________fob0412">#REF!</definedName>
    <definedName name="__________J1">[7]!直線55_Click</definedName>
    <definedName name="__________jm5510" localSheetId="5">#REF!</definedName>
    <definedName name="__________jm5510" localSheetId="4">#REF!</definedName>
    <definedName name="__________jm5510">#REF!</definedName>
    <definedName name="__________MAX61" localSheetId="5">#REF!</definedName>
    <definedName name="__________MAX61" localSheetId="4">#REF!</definedName>
    <definedName name="__________MAX61">#REF!</definedName>
    <definedName name="__________mj5510" localSheetId="5">#REF!</definedName>
    <definedName name="__________mj5510" localSheetId="4">#REF!</definedName>
    <definedName name="__________mj5510">#REF!</definedName>
    <definedName name="__________pr0301" localSheetId="5">#REF!</definedName>
    <definedName name="__________pr0301" localSheetId="4">#REF!</definedName>
    <definedName name="__________pr0301">#REF!</definedName>
    <definedName name="__________pr0302" localSheetId="5">#REF!</definedName>
    <definedName name="__________pr0302" localSheetId="4">#REF!</definedName>
    <definedName name="__________pr0302">#REF!</definedName>
    <definedName name="__________pr0303" localSheetId="5">#REF!</definedName>
    <definedName name="__________pr0303" localSheetId="4">#REF!</definedName>
    <definedName name="__________pr0303">#REF!</definedName>
    <definedName name="__________pr0304" localSheetId="5">#REF!</definedName>
    <definedName name="__________pr0304" localSheetId="4">#REF!</definedName>
    <definedName name="__________pr0304">#REF!</definedName>
    <definedName name="__________pr0305" localSheetId="5">#REF!</definedName>
    <definedName name="__________pr0305" localSheetId="4">#REF!</definedName>
    <definedName name="__________pr0305">#REF!</definedName>
    <definedName name="__________pr0306" localSheetId="5">#REF!</definedName>
    <definedName name="__________pr0306" localSheetId="4">#REF!</definedName>
    <definedName name="__________pr0306">#REF!</definedName>
    <definedName name="__________pr0307" localSheetId="5">#REF!</definedName>
    <definedName name="__________pr0307" localSheetId="4">#REF!</definedName>
    <definedName name="__________pr0307">#REF!</definedName>
    <definedName name="__________pr0308" localSheetId="5">#REF!</definedName>
    <definedName name="__________pr0308" localSheetId="4">#REF!</definedName>
    <definedName name="__________pr0308">#REF!</definedName>
    <definedName name="__________pr0309" localSheetId="5">#REF!</definedName>
    <definedName name="__________pr0309" localSheetId="4">#REF!</definedName>
    <definedName name="__________pr0309">#REF!</definedName>
    <definedName name="__________pr0310" localSheetId="5">#REF!</definedName>
    <definedName name="__________pr0310" localSheetId="4">#REF!</definedName>
    <definedName name="__________pr0310">#REF!</definedName>
    <definedName name="__________pr0311" localSheetId="5">#REF!</definedName>
    <definedName name="__________pr0311" localSheetId="4">#REF!</definedName>
    <definedName name="__________pr0311">#REF!</definedName>
    <definedName name="__________pr0312" localSheetId="5">#REF!</definedName>
    <definedName name="__________pr0312" localSheetId="4">#REF!</definedName>
    <definedName name="__________pr0312">#REF!</definedName>
    <definedName name="__________pr0401" localSheetId="5">#REF!</definedName>
    <definedName name="__________pr0401" localSheetId="4">#REF!</definedName>
    <definedName name="__________pr0401">#REF!</definedName>
    <definedName name="__________pr0402" localSheetId="5">#REF!</definedName>
    <definedName name="__________pr0402" localSheetId="4">#REF!</definedName>
    <definedName name="__________pr0402">#REF!</definedName>
    <definedName name="__________pr0403" localSheetId="5">#REF!</definedName>
    <definedName name="__________pr0403" localSheetId="4">#REF!</definedName>
    <definedName name="__________pr0403">#REF!</definedName>
    <definedName name="__________pr0404" localSheetId="5">#REF!</definedName>
    <definedName name="__________pr0404" localSheetId="4">#REF!</definedName>
    <definedName name="__________pr0404">#REF!</definedName>
    <definedName name="__________pr0405" localSheetId="5">#REF!</definedName>
    <definedName name="__________pr0405" localSheetId="4">#REF!</definedName>
    <definedName name="__________pr0405">#REF!</definedName>
    <definedName name="__________pr0406" localSheetId="5">#REF!</definedName>
    <definedName name="__________pr0406" localSheetId="4">#REF!</definedName>
    <definedName name="__________pr0406">#REF!</definedName>
    <definedName name="__________pr0407" localSheetId="5">#REF!</definedName>
    <definedName name="__________pr0407" localSheetId="4">#REF!</definedName>
    <definedName name="__________pr0407">#REF!</definedName>
    <definedName name="__________pr0408" localSheetId="5">#REF!</definedName>
    <definedName name="__________pr0408" localSheetId="4">#REF!</definedName>
    <definedName name="__________pr0408">#REF!</definedName>
    <definedName name="__________pr0409" localSheetId="5">#REF!</definedName>
    <definedName name="__________pr0409" localSheetId="4">#REF!</definedName>
    <definedName name="__________pr0409">#REF!</definedName>
    <definedName name="__________pr0410" localSheetId="5">#REF!</definedName>
    <definedName name="__________pr0410" localSheetId="4">#REF!</definedName>
    <definedName name="__________pr0410">#REF!</definedName>
    <definedName name="__________pr0411" localSheetId="5">#REF!</definedName>
    <definedName name="__________pr0411" localSheetId="4">#REF!</definedName>
    <definedName name="__________pr0411">#REF!</definedName>
    <definedName name="__________pr0412" localSheetId="5">#REF!</definedName>
    <definedName name="__________pr0412" localSheetId="4">#REF!</definedName>
    <definedName name="__________pr0412">#REF!</definedName>
    <definedName name="_________acv456">[4]!PAGE_WIDTH</definedName>
    <definedName name="_________acv457">[4]!PAGE_WIDTH</definedName>
    <definedName name="_________awe122" localSheetId="5">#REF!</definedName>
    <definedName name="_________awe122" localSheetId="4">#REF!</definedName>
    <definedName name="_________awe122">#REF!</definedName>
    <definedName name="_________fob0301" localSheetId="5">#REF!</definedName>
    <definedName name="_________fob0301" localSheetId="4">#REF!</definedName>
    <definedName name="_________fob0301">#REF!</definedName>
    <definedName name="_________fob0302" localSheetId="5">#REF!</definedName>
    <definedName name="_________fob0302" localSheetId="4">#REF!</definedName>
    <definedName name="_________fob0302">#REF!</definedName>
    <definedName name="_________fob0303" localSheetId="5">#REF!</definedName>
    <definedName name="_________fob0303" localSheetId="4">#REF!</definedName>
    <definedName name="_________fob0303">#REF!</definedName>
    <definedName name="_________fob0304" localSheetId="5">#REF!</definedName>
    <definedName name="_________fob0304" localSheetId="4">#REF!</definedName>
    <definedName name="_________fob0304">#REF!</definedName>
    <definedName name="_________fob0305" localSheetId="5">#REF!</definedName>
    <definedName name="_________fob0305" localSheetId="4">#REF!</definedName>
    <definedName name="_________fob0305">#REF!</definedName>
    <definedName name="_________fob0306" localSheetId="5">#REF!</definedName>
    <definedName name="_________fob0306" localSheetId="4">#REF!</definedName>
    <definedName name="_________fob0306">#REF!</definedName>
    <definedName name="_________fob0307" localSheetId="5">#REF!</definedName>
    <definedName name="_________fob0307" localSheetId="4">#REF!</definedName>
    <definedName name="_________fob0307">#REF!</definedName>
    <definedName name="_________fob0308" localSheetId="5">#REF!</definedName>
    <definedName name="_________fob0308" localSheetId="4">#REF!</definedName>
    <definedName name="_________fob0308">#REF!</definedName>
    <definedName name="_________fob0309" localSheetId="5">#REF!</definedName>
    <definedName name="_________fob0309" localSheetId="4">#REF!</definedName>
    <definedName name="_________fob0309">#REF!</definedName>
    <definedName name="_________fob0310" localSheetId="5">#REF!</definedName>
    <definedName name="_________fob0310" localSheetId="4">#REF!</definedName>
    <definedName name="_________fob0310">#REF!</definedName>
    <definedName name="_________fob0311" localSheetId="5">#REF!</definedName>
    <definedName name="_________fob0311" localSheetId="4">#REF!</definedName>
    <definedName name="_________fob0311">#REF!</definedName>
    <definedName name="_________fob0312" localSheetId="5">#REF!</definedName>
    <definedName name="_________fob0312" localSheetId="4">#REF!</definedName>
    <definedName name="_________fob0312">#REF!</definedName>
    <definedName name="_________fob0401" localSheetId="5">#REF!</definedName>
    <definedName name="_________fob0401" localSheetId="4">#REF!</definedName>
    <definedName name="_________fob0401">#REF!</definedName>
    <definedName name="_________fob0402" localSheetId="5">#REF!</definedName>
    <definedName name="_________fob0402" localSheetId="4">#REF!</definedName>
    <definedName name="_________fob0402">#REF!</definedName>
    <definedName name="_________fob0403" localSheetId="5">#REF!</definedName>
    <definedName name="_________fob0403" localSheetId="4">#REF!</definedName>
    <definedName name="_________fob0403">#REF!</definedName>
    <definedName name="_________fob0404" localSheetId="5">#REF!</definedName>
    <definedName name="_________fob0404" localSheetId="4">#REF!</definedName>
    <definedName name="_________fob0404">#REF!</definedName>
    <definedName name="_________fob0405" localSheetId="5">#REF!</definedName>
    <definedName name="_________fob0405" localSheetId="4">#REF!</definedName>
    <definedName name="_________fob0405">#REF!</definedName>
    <definedName name="_________fob0406" localSheetId="5">#REF!</definedName>
    <definedName name="_________fob0406" localSheetId="4">#REF!</definedName>
    <definedName name="_________fob0406">#REF!</definedName>
    <definedName name="_________fob0407" localSheetId="5">#REF!</definedName>
    <definedName name="_________fob0407" localSheetId="4">#REF!</definedName>
    <definedName name="_________fob0407">#REF!</definedName>
    <definedName name="_________fob0408" localSheetId="5">#REF!</definedName>
    <definedName name="_________fob0408" localSheetId="4">#REF!</definedName>
    <definedName name="_________fob0408">#REF!</definedName>
    <definedName name="_________fob0409" localSheetId="5">#REF!</definedName>
    <definedName name="_________fob0409" localSheetId="4">#REF!</definedName>
    <definedName name="_________fob0409">#REF!</definedName>
    <definedName name="_________fob0410" localSheetId="5">#REF!</definedName>
    <definedName name="_________fob0410" localSheetId="4">#REF!</definedName>
    <definedName name="_________fob0410">#REF!</definedName>
    <definedName name="_________fob0411" localSheetId="5">#REF!</definedName>
    <definedName name="_________fob0411" localSheetId="4">#REF!</definedName>
    <definedName name="_________fob0411">#REF!</definedName>
    <definedName name="_________fob0412" localSheetId="5">#REF!</definedName>
    <definedName name="_________fob0412" localSheetId="4">#REF!</definedName>
    <definedName name="_________fob0412">#REF!</definedName>
    <definedName name="_________J1">[7]!直線55_Click</definedName>
    <definedName name="_________jm5510" localSheetId="5">#REF!</definedName>
    <definedName name="_________jm5510" localSheetId="4">#REF!</definedName>
    <definedName name="_________jm5510">#REF!</definedName>
    <definedName name="_________MAX61" localSheetId="5">#REF!</definedName>
    <definedName name="_________MAX61" localSheetId="4">#REF!</definedName>
    <definedName name="_________MAX61">#REF!</definedName>
    <definedName name="_________mj5510" localSheetId="5">#REF!</definedName>
    <definedName name="_________mj5510" localSheetId="4">#REF!</definedName>
    <definedName name="_________mj5510">#REF!</definedName>
    <definedName name="_________pr0301" localSheetId="5">#REF!</definedName>
    <definedName name="_________pr0301" localSheetId="4">#REF!</definedName>
    <definedName name="_________pr0301">#REF!</definedName>
    <definedName name="_________pr0302" localSheetId="5">#REF!</definedName>
    <definedName name="_________pr0302" localSheetId="4">#REF!</definedName>
    <definedName name="_________pr0302">#REF!</definedName>
    <definedName name="_________pr0303" localSheetId="5">#REF!</definedName>
    <definedName name="_________pr0303" localSheetId="4">#REF!</definedName>
    <definedName name="_________pr0303">#REF!</definedName>
    <definedName name="_________pr0304" localSheetId="5">#REF!</definedName>
    <definedName name="_________pr0304" localSheetId="4">#REF!</definedName>
    <definedName name="_________pr0304">#REF!</definedName>
    <definedName name="_________pr0305" localSheetId="5">#REF!</definedName>
    <definedName name="_________pr0305" localSheetId="4">#REF!</definedName>
    <definedName name="_________pr0305">#REF!</definedName>
    <definedName name="_________pr0306" localSheetId="5">#REF!</definedName>
    <definedName name="_________pr0306" localSheetId="4">#REF!</definedName>
    <definedName name="_________pr0306">#REF!</definedName>
    <definedName name="_________pr0307" localSheetId="5">#REF!</definedName>
    <definedName name="_________pr0307" localSheetId="4">#REF!</definedName>
    <definedName name="_________pr0307">#REF!</definedName>
    <definedName name="_________pr0308" localSheetId="5">#REF!</definedName>
    <definedName name="_________pr0308" localSheetId="4">#REF!</definedName>
    <definedName name="_________pr0308">#REF!</definedName>
    <definedName name="_________pr0309" localSheetId="5">#REF!</definedName>
    <definedName name="_________pr0309" localSheetId="4">#REF!</definedName>
    <definedName name="_________pr0309">#REF!</definedName>
    <definedName name="_________pr0310" localSheetId="5">#REF!</definedName>
    <definedName name="_________pr0310" localSheetId="4">#REF!</definedName>
    <definedName name="_________pr0310">#REF!</definedName>
    <definedName name="_________pr0311" localSheetId="5">#REF!</definedName>
    <definedName name="_________pr0311" localSheetId="4">#REF!</definedName>
    <definedName name="_________pr0311">#REF!</definedName>
    <definedName name="_________pr0312" localSheetId="5">#REF!</definedName>
    <definedName name="_________pr0312" localSheetId="4">#REF!</definedName>
    <definedName name="_________pr0312">#REF!</definedName>
    <definedName name="_________pr0401" localSheetId="5">#REF!</definedName>
    <definedName name="_________pr0401" localSheetId="4">#REF!</definedName>
    <definedName name="_________pr0401">#REF!</definedName>
    <definedName name="_________pr0402" localSheetId="5">#REF!</definedName>
    <definedName name="_________pr0402" localSheetId="4">#REF!</definedName>
    <definedName name="_________pr0402">#REF!</definedName>
    <definedName name="_________pr0403" localSheetId="5">#REF!</definedName>
    <definedName name="_________pr0403" localSheetId="4">#REF!</definedName>
    <definedName name="_________pr0403">#REF!</definedName>
    <definedName name="_________pr0404" localSheetId="5">#REF!</definedName>
    <definedName name="_________pr0404" localSheetId="4">#REF!</definedName>
    <definedName name="_________pr0404">#REF!</definedName>
    <definedName name="_________pr0405" localSheetId="5">#REF!</definedName>
    <definedName name="_________pr0405" localSheetId="4">#REF!</definedName>
    <definedName name="_________pr0405">#REF!</definedName>
    <definedName name="_________pr0406" localSheetId="5">#REF!</definedName>
    <definedName name="_________pr0406" localSheetId="4">#REF!</definedName>
    <definedName name="_________pr0406">#REF!</definedName>
    <definedName name="_________pr0407" localSheetId="5">#REF!</definedName>
    <definedName name="_________pr0407" localSheetId="4">#REF!</definedName>
    <definedName name="_________pr0407">#REF!</definedName>
    <definedName name="_________pr0408" localSheetId="5">#REF!</definedName>
    <definedName name="_________pr0408" localSheetId="4">#REF!</definedName>
    <definedName name="_________pr0408">#REF!</definedName>
    <definedName name="_________pr0409" localSheetId="5">#REF!</definedName>
    <definedName name="_________pr0409" localSheetId="4">#REF!</definedName>
    <definedName name="_________pr0409">#REF!</definedName>
    <definedName name="_________pr0410" localSheetId="5">#REF!</definedName>
    <definedName name="_________pr0410" localSheetId="4">#REF!</definedName>
    <definedName name="_________pr0410">#REF!</definedName>
    <definedName name="_________pr0411" localSheetId="5">#REF!</definedName>
    <definedName name="_________pr0411" localSheetId="4">#REF!</definedName>
    <definedName name="_________pr0411">#REF!</definedName>
    <definedName name="_________pr0412" localSheetId="5">#REF!</definedName>
    <definedName name="_________pr0412" localSheetId="4">#REF!</definedName>
    <definedName name="_________pr0412">#REF!</definedName>
    <definedName name="________acv456">[4]!PAGE_WIDTH</definedName>
    <definedName name="________acv457">[4]!PAGE_WIDTH</definedName>
    <definedName name="________awe122" localSheetId="5">#REF!</definedName>
    <definedName name="________awe122" localSheetId="4">#REF!</definedName>
    <definedName name="________awe122">#REF!</definedName>
    <definedName name="________fob0301" localSheetId="5">#REF!</definedName>
    <definedName name="________fob0301" localSheetId="4">#REF!</definedName>
    <definedName name="________fob0301">#REF!</definedName>
    <definedName name="________fob0302" localSheetId="5">#REF!</definedName>
    <definedName name="________fob0302" localSheetId="4">#REF!</definedName>
    <definedName name="________fob0302">#REF!</definedName>
    <definedName name="________fob0303" localSheetId="5">#REF!</definedName>
    <definedName name="________fob0303" localSheetId="4">#REF!</definedName>
    <definedName name="________fob0303">#REF!</definedName>
    <definedName name="________fob0304" localSheetId="5">#REF!</definedName>
    <definedName name="________fob0304" localSheetId="4">#REF!</definedName>
    <definedName name="________fob0304">#REF!</definedName>
    <definedName name="________fob0305" localSheetId="5">#REF!</definedName>
    <definedName name="________fob0305" localSheetId="4">#REF!</definedName>
    <definedName name="________fob0305">#REF!</definedName>
    <definedName name="________fob0306" localSheetId="5">#REF!</definedName>
    <definedName name="________fob0306" localSheetId="4">#REF!</definedName>
    <definedName name="________fob0306">#REF!</definedName>
    <definedName name="________fob0307" localSheetId="5">#REF!</definedName>
    <definedName name="________fob0307" localSheetId="4">#REF!</definedName>
    <definedName name="________fob0307">#REF!</definedName>
    <definedName name="________fob0308" localSheetId="5">#REF!</definedName>
    <definedName name="________fob0308" localSheetId="4">#REF!</definedName>
    <definedName name="________fob0308">#REF!</definedName>
    <definedName name="________fob0309" localSheetId="5">#REF!</definedName>
    <definedName name="________fob0309" localSheetId="4">#REF!</definedName>
    <definedName name="________fob0309">#REF!</definedName>
    <definedName name="________fob0310" localSheetId="5">#REF!</definedName>
    <definedName name="________fob0310" localSheetId="4">#REF!</definedName>
    <definedName name="________fob0310">#REF!</definedName>
    <definedName name="________fob0311" localSheetId="5">#REF!</definedName>
    <definedName name="________fob0311" localSheetId="4">#REF!</definedName>
    <definedName name="________fob0311">#REF!</definedName>
    <definedName name="________fob0312" localSheetId="5">#REF!</definedName>
    <definedName name="________fob0312" localSheetId="4">#REF!</definedName>
    <definedName name="________fob0312">#REF!</definedName>
    <definedName name="________fob0401" localSheetId="5">#REF!</definedName>
    <definedName name="________fob0401" localSheetId="4">#REF!</definedName>
    <definedName name="________fob0401">#REF!</definedName>
    <definedName name="________fob0402" localSheetId="5">#REF!</definedName>
    <definedName name="________fob0402" localSheetId="4">#REF!</definedName>
    <definedName name="________fob0402">#REF!</definedName>
    <definedName name="________fob0403" localSheetId="5">#REF!</definedName>
    <definedName name="________fob0403" localSheetId="4">#REF!</definedName>
    <definedName name="________fob0403">#REF!</definedName>
    <definedName name="________fob0404" localSheetId="5">#REF!</definedName>
    <definedName name="________fob0404" localSheetId="4">#REF!</definedName>
    <definedName name="________fob0404">#REF!</definedName>
    <definedName name="________fob0405" localSheetId="5">#REF!</definedName>
    <definedName name="________fob0405" localSheetId="4">#REF!</definedName>
    <definedName name="________fob0405">#REF!</definedName>
    <definedName name="________fob0406" localSheetId="5">#REF!</definedName>
    <definedName name="________fob0406" localSheetId="4">#REF!</definedName>
    <definedName name="________fob0406">#REF!</definedName>
    <definedName name="________fob0407" localSheetId="5">#REF!</definedName>
    <definedName name="________fob0407" localSheetId="4">#REF!</definedName>
    <definedName name="________fob0407">#REF!</definedName>
    <definedName name="________fob0408" localSheetId="5">#REF!</definedName>
    <definedName name="________fob0408" localSheetId="4">#REF!</definedName>
    <definedName name="________fob0408">#REF!</definedName>
    <definedName name="________fob0409" localSheetId="5">#REF!</definedName>
    <definedName name="________fob0409" localSheetId="4">#REF!</definedName>
    <definedName name="________fob0409">#REF!</definedName>
    <definedName name="________fob0410" localSheetId="5">#REF!</definedName>
    <definedName name="________fob0410" localSheetId="4">#REF!</definedName>
    <definedName name="________fob0410">#REF!</definedName>
    <definedName name="________fob0411" localSheetId="5">#REF!</definedName>
    <definedName name="________fob0411" localSheetId="4">#REF!</definedName>
    <definedName name="________fob0411">#REF!</definedName>
    <definedName name="________fob0412" localSheetId="5">#REF!</definedName>
    <definedName name="________fob0412" localSheetId="4">#REF!</definedName>
    <definedName name="________fob0412">#REF!</definedName>
    <definedName name="________J1">[8]!直線55_Click</definedName>
    <definedName name="________jm5510" localSheetId="5">#REF!</definedName>
    <definedName name="________jm5510" localSheetId="4">#REF!</definedName>
    <definedName name="________jm5510">#REF!</definedName>
    <definedName name="________MAX61" localSheetId="5">#REF!</definedName>
    <definedName name="________MAX61" localSheetId="4">#REF!</definedName>
    <definedName name="________MAX61">#REF!</definedName>
    <definedName name="________mj5510" localSheetId="5">#REF!</definedName>
    <definedName name="________mj5510" localSheetId="4">#REF!</definedName>
    <definedName name="________mj5510">#REF!</definedName>
    <definedName name="________pr0301" localSheetId="5">#REF!</definedName>
    <definedName name="________pr0301" localSheetId="4">#REF!</definedName>
    <definedName name="________pr0301">#REF!</definedName>
    <definedName name="________pr0302" localSheetId="5">#REF!</definedName>
    <definedName name="________pr0302" localSheetId="4">#REF!</definedName>
    <definedName name="________pr0302">#REF!</definedName>
    <definedName name="________pr0303" localSheetId="5">#REF!</definedName>
    <definedName name="________pr0303" localSheetId="4">#REF!</definedName>
    <definedName name="________pr0303">#REF!</definedName>
    <definedName name="________pr0304" localSheetId="5">#REF!</definedName>
    <definedName name="________pr0304" localSheetId="4">#REF!</definedName>
    <definedName name="________pr0304">#REF!</definedName>
    <definedName name="________pr0305" localSheetId="5">#REF!</definedName>
    <definedName name="________pr0305" localSheetId="4">#REF!</definedName>
    <definedName name="________pr0305">#REF!</definedName>
    <definedName name="________pr0306" localSheetId="5">#REF!</definedName>
    <definedName name="________pr0306" localSheetId="4">#REF!</definedName>
    <definedName name="________pr0306">#REF!</definedName>
    <definedName name="________pr0307" localSheetId="5">#REF!</definedName>
    <definedName name="________pr0307" localSheetId="4">#REF!</definedName>
    <definedName name="________pr0307">#REF!</definedName>
    <definedName name="________pr0308" localSheetId="5">#REF!</definedName>
    <definedName name="________pr0308" localSheetId="4">#REF!</definedName>
    <definedName name="________pr0308">#REF!</definedName>
    <definedName name="________pr0309" localSheetId="5">#REF!</definedName>
    <definedName name="________pr0309" localSheetId="4">#REF!</definedName>
    <definedName name="________pr0309">#REF!</definedName>
    <definedName name="________pr0310" localSheetId="5">#REF!</definedName>
    <definedName name="________pr0310" localSheetId="4">#REF!</definedName>
    <definedName name="________pr0310">#REF!</definedName>
    <definedName name="________pr0311" localSheetId="5">#REF!</definedName>
    <definedName name="________pr0311" localSheetId="4">#REF!</definedName>
    <definedName name="________pr0311">#REF!</definedName>
    <definedName name="________pr0312" localSheetId="5">#REF!</definedName>
    <definedName name="________pr0312" localSheetId="4">#REF!</definedName>
    <definedName name="________pr0312">#REF!</definedName>
    <definedName name="________pr0401" localSheetId="5">#REF!</definedName>
    <definedName name="________pr0401" localSheetId="4">#REF!</definedName>
    <definedName name="________pr0401">#REF!</definedName>
    <definedName name="________pr0402" localSheetId="5">#REF!</definedName>
    <definedName name="________pr0402" localSheetId="4">#REF!</definedName>
    <definedName name="________pr0402">#REF!</definedName>
    <definedName name="________pr0403" localSheetId="5">#REF!</definedName>
    <definedName name="________pr0403" localSheetId="4">#REF!</definedName>
    <definedName name="________pr0403">#REF!</definedName>
    <definedName name="________pr0404" localSheetId="5">#REF!</definedName>
    <definedName name="________pr0404" localSheetId="4">#REF!</definedName>
    <definedName name="________pr0404">#REF!</definedName>
    <definedName name="________pr0405" localSheetId="5">#REF!</definedName>
    <definedName name="________pr0405" localSheetId="4">#REF!</definedName>
    <definedName name="________pr0405">#REF!</definedName>
    <definedName name="________pr0406" localSheetId="5">#REF!</definedName>
    <definedName name="________pr0406" localSheetId="4">#REF!</definedName>
    <definedName name="________pr0406">#REF!</definedName>
    <definedName name="________pr0407" localSheetId="5">#REF!</definedName>
    <definedName name="________pr0407" localSheetId="4">#REF!</definedName>
    <definedName name="________pr0407">#REF!</definedName>
    <definedName name="________pr0408" localSheetId="5">#REF!</definedName>
    <definedName name="________pr0408" localSheetId="4">#REF!</definedName>
    <definedName name="________pr0408">#REF!</definedName>
    <definedName name="________pr0409" localSheetId="5">#REF!</definedName>
    <definedName name="________pr0409" localSheetId="4">#REF!</definedName>
    <definedName name="________pr0409">#REF!</definedName>
    <definedName name="________pr0410" localSheetId="5">#REF!</definedName>
    <definedName name="________pr0410" localSheetId="4">#REF!</definedName>
    <definedName name="________pr0410">#REF!</definedName>
    <definedName name="________pr0411" localSheetId="5">#REF!</definedName>
    <definedName name="________pr0411" localSheetId="4">#REF!</definedName>
    <definedName name="________pr0411">#REF!</definedName>
    <definedName name="________pr0412" localSheetId="5">#REF!</definedName>
    <definedName name="________pr0412" localSheetId="4">#REF!</definedName>
    <definedName name="________pr0412">#REF!</definedName>
    <definedName name="_______acv456">[9]!PAGE_WIDTH</definedName>
    <definedName name="_______acv457">[4]!PAGE_WIDTH</definedName>
    <definedName name="_______awe122" localSheetId="5">#REF!</definedName>
    <definedName name="_______awe122" localSheetId="4">#REF!</definedName>
    <definedName name="_______awe122">#REF!</definedName>
    <definedName name="_______fob0301" localSheetId="5">#REF!</definedName>
    <definedName name="_______fob0301" localSheetId="4">#REF!</definedName>
    <definedName name="_______fob0301">#REF!</definedName>
    <definedName name="_______fob0302" localSheetId="5">#REF!</definedName>
    <definedName name="_______fob0302" localSheetId="4">#REF!</definedName>
    <definedName name="_______fob0302">#REF!</definedName>
    <definedName name="_______fob0303" localSheetId="5">#REF!</definedName>
    <definedName name="_______fob0303" localSheetId="4">#REF!</definedName>
    <definedName name="_______fob0303">#REF!</definedName>
    <definedName name="_______fob0304" localSheetId="5">#REF!</definedName>
    <definedName name="_______fob0304" localSheetId="4">#REF!</definedName>
    <definedName name="_______fob0304">#REF!</definedName>
    <definedName name="_______fob0305" localSheetId="5">#REF!</definedName>
    <definedName name="_______fob0305" localSheetId="4">#REF!</definedName>
    <definedName name="_______fob0305">#REF!</definedName>
    <definedName name="_______fob0306" localSheetId="5">#REF!</definedName>
    <definedName name="_______fob0306" localSheetId="4">#REF!</definedName>
    <definedName name="_______fob0306">#REF!</definedName>
    <definedName name="_______fob0307" localSheetId="5">#REF!</definedName>
    <definedName name="_______fob0307" localSheetId="4">#REF!</definedName>
    <definedName name="_______fob0307">#REF!</definedName>
    <definedName name="_______fob0308" localSheetId="5">#REF!</definedName>
    <definedName name="_______fob0308" localSheetId="4">#REF!</definedName>
    <definedName name="_______fob0308">#REF!</definedName>
    <definedName name="_______fob0309" localSheetId="5">#REF!</definedName>
    <definedName name="_______fob0309" localSheetId="4">#REF!</definedName>
    <definedName name="_______fob0309">#REF!</definedName>
    <definedName name="_______fob0310" localSheetId="5">#REF!</definedName>
    <definedName name="_______fob0310" localSheetId="4">#REF!</definedName>
    <definedName name="_______fob0310">#REF!</definedName>
    <definedName name="_______fob0311" localSheetId="5">#REF!</definedName>
    <definedName name="_______fob0311" localSheetId="4">#REF!</definedName>
    <definedName name="_______fob0311">#REF!</definedName>
    <definedName name="_______fob0312" localSheetId="5">#REF!</definedName>
    <definedName name="_______fob0312" localSheetId="4">#REF!</definedName>
    <definedName name="_______fob0312">#REF!</definedName>
    <definedName name="_______fob0401" localSheetId="5">#REF!</definedName>
    <definedName name="_______fob0401" localSheetId="4">#REF!</definedName>
    <definedName name="_______fob0401">#REF!</definedName>
    <definedName name="_______fob0402" localSheetId="5">#REF!</definedName>
    <definedName name="_______fob0402" localSheetId="4">#REF!</definedName>
    <definedName name="_______fob0402">#REF!</definedName>
    <definedName name="_______fob0403" localSheetId="5">#REF!</definedName>
    <definedName name="_______fob0403" localSheetId="4">#REF!</definedName>
    <definedName name="_______fob0403">#REF!</definedName>
    <definedName name="_______fob0404" localSheetId="5">#REF!</definedName>
    <definedName name="_______fob0404" localSheetId="4">#REF!</definedName>
    <definedName name="_______fob0404">#REF!</definedName>
    <definedName name="_______fob0405" localSheetId="5">#REF!</definedName>
    <definedName name="_______fob0405" localSheetId="4">#REF!</definedName>
    <definedName name="_______fob0405">#REF!</definedName>
    <definedName name="_______fob0406" localSheetId="5">#REF!</definedName>
    <definedName name="_______fob0406" localSheetId="4">#REF!</definedName>
    <definedName name="_______fob0406">#REF!</definedName>
    <definedName name="_______fob0407" localSheetId="5">#REF!</definedName>
    <definedName name="_______fob0407" localSheetId="4">#REF!</definedName>
    <definedName name="_______fob0407">#REF!</definedName>
    <definedName name="_______fob0408" localSheetId="5">#REF!</definedName>
    <definedName name="_______fob0408" localSheetId="4">#REF!</definedName>
    <definedName name="_______fob0408">#REF!</definedName>
    <definedName name="_______fob0409" localSheetId="5">#REF!</definedName>
    <definedName name="_______fob0409" localSheetId="4">#REF!</definedName>
    <definedName name="_______fob0409">#REF!</definedName>
    <definedName name="_______fob0410" localSheetId="5">#REF!</definedName>
    <definedName name="_______fob0410" localSheetId="4">#REF!</definedName>
    <definedName name="_______fob0410">#REF!</definedName>
    <definedName name="_______fob0411" localSheetId="5">#REF!</definedName>
    <definedName name="_______fob0411" localSheetId="4">#REF!</definedName>
    <definedName name="_______fob0411">#REF!</definedName>
    <definedName name="_______fob0412" localSheetId="5">#REF!</definedName>
    <definedName name="_______fob0412" localSheetId="4">#REF!</definedName>
    <definedName name="_______fob0412">#REF!</definedName>
    <definedName name="_______inv2" localSheetId="5">#REF!</definedName>
    <definedName name="_______inv2" localSheetId="4">#REF!</definedName>
    <definedName name="_______inv2">#REF!</definedName>
    <definedName name="_______J1">[8]!直線55_Click</definedName>
    <definedName name="_______jm5510" localSheetId="5">#REF!</definedName>
    <definedName name="_______jm5510" localSheetId="4">#REF!</definedName>
    <definedName name="_______jm5510">#REF!</definedName>
    <definedName name="_______MAX61" localSheetId="5">#REF!</definedName>
    <definedName name="_______MAX61" localSheetId="4">#REF!</definedName>
    <definedName name="_______MAX61">#REF!</definedName>
    <definedName name="_______mj5510" localSheetId="5">#REF!</definedName>
    <definedName name="_______mj5510" localSheetId="4">#REF!</definedName>
    <definedName name="_______mj5510">#REF!</definedName>
    <definedName name="_______pr0301" localSheetId="5">#REF!</definedName>
    <definedName name="_______pr0301" localSheetId="4">#REF!</definedName>
    <definedName name="_______pr0301">#REF!</definedName>
    <definedName name="_______pr0302" localSheetId="5">#REF!</definedName>
    <definedName name="_______pr0302" localSheetId="4">#REF!</definedName>
    <definedName name="_______pr0302">#REF!</definedName>
    <definedName name="_______pr0303" localSheetId="5">#REF!</definedName>
    <definedName name="_______pr0303" localSheetId="4">#REF!</definedName>
    <definedName name="_______pr0303">#REF!</definedName>
    <definedName name="_______pr0304" localSheetId="5">#REF!</definedName>
    <definedName name="_______pr0304" localSheetId="4">#REF!</definedName>
    <definedName name="_______pr0304">#REF!</definedName>
    <definedName name="_______pr0305" localSheetId="5">#REF!</definedName>
    <definedName name="_______pr0305" localSheetId="4">#REF!</definedName>
    <definedName name="_______pr0305">#REF!</definedName>
    <definedName name="_______pr0306" localSheetId="5">#REF!</definedName>
    <definedName name="_______pr0306" localSheetId="4">#REF!</definedName>
    <definedName name="_______pr0306">#REF!</definedName>
    <definedName name="_______pr0307" localSheetId="5">#REF!</definedName>
    <definedName name="_______pr0307" localSheetId="4">#REF!</definedName>
    <definedName name="_______pr0307">#REF!</definedName>
    <definedName name="_______pr0308" localSheetId="5">#REF!</definedName>
    <definedName name="_______pr0308" localSheetId="4">#REF!</definedName>
    <definedName name="_______pr0308">#REF!</definedName>
    <definedName name="_______pr0309" localSheetId="5">#REF!</definedName>
    <definedName name="_______pr0309" localSheetId="4">#REF!</definedName>
    <definedName name="_______pr0309">#REF!</definedName>
    <definedName name="_______pr0310" localSheetId="5">#REF!</definedName>
    <definedName name="_______pr0310" localSheetId="4">#REF!</definedName>
    <definedName name="_______pr0310">#REF!</definedName>
    <definedName name="_______pr0311" localSheetId="5">#REF!</definedName>
    <definedName name="_______pr0311" localSheetId="4">#REF!</definedName>
    <definedName name="_______pr0311">#REF!</definedName>
    <definedName name="_______pr0312" localSheetId="5">#REF!</definedName>
    <definedName name="_______pr0312" localSheetId="4">#REF!</definedName>
    <definedName name="_______pr0312">#REF!</definedName>
    <definedName name="_______pr0401" localSheetId="5">#REF!</definedName>
    <definedName name="_______pr0401" localSheetId="4">#REF!</definedName>
    <definedName name="_______pr0401">#REF!</definedName>
    <definedName name="_______pr0402" localSheetId="5">#REF!</definedName>
    <definedName name="_______pr0402" localSheetId="4">#REF!</definedName>
    <definedName name="_______pr0402">#REF!</definedName>
    <definedName name="_______pr0403" localSheetId="5">#REF!</definedName>
    <definedName name="_______pr0403" localSheetId="4">#REF!</definedName>
    <definedName name="_______pr0403">#REF!</definedName>
    <definedName name="_______pr0404" localSheetId="5">#REF!</definedName>
    <definedName name="_______pr0404" localSheetId="4">#REF!</definedName>
    <definedName name="_______pr0404">#REF!</definedName>
    <definedName name="_______pr0405" localSheetId="5">#REF!</definedName>
    <definedName name="_______pr0405" localSheetId="4">#REF!</definedName>
    <definedName name="_______pr0405">#REF!</definedName>
    <definedName name="_______pr0406" localSheetId="5">#REF!</definedName>
    <definedName name="_______pr0406" localSheetId="4">#REF!</definedName>
    <definedName name="_______pr0406">#REF!</definedName>
    <definedName name="_______pr0407" localSheetId="5">#REF!</definedName>
    <definedName name="_______pr0407" localSheetId="4">#REF!</definedName>
    <definedName name="_______pr0407">#REF!</definedName>
    <definedName name="_______pr0408" localSheetId="5">#REF!</definedName>
    <definedName name="_______pr0408" localSheetId="4">#REF!</definedName>
    <definedName name="_______pr0408">#REF!</definedName>
    <definedName name="_______pr0409" localSheetId="5">#REF!</definedName>
    <definedName name="_______pr0409" localSheetId="4">#REF!</definedName>
    <definedName name="_______pr0409">#REF!</definedName>
    <definedName name="_______pr0410" localSheetId="5">#REF!</definedName>
    <definedName name="_______pr0410" localSheetId="4">#REF!</definedName>
    <definedName name="_______pr0410">#REF!</definedName>
    <definedName name="_______pr0411" localSheetId="5">#REF!</definedName>
    <definedName name="_______pr0411" localSheetId="4">#REF!</definedName>
    <definedName name="_______pr0411">#REF!</definedName>
    <definedName name="_______pr0412" localSheetId="5">#REF!</definedName>
    <definedName name="_______pr0412" localSheetId="4">#REF!</definedName>
    <definedName name="_______pr0412">#REF!</definedName>
    <definedName name="______acv456">[4]!PAGE_WIDTH</definedName>
    <definedName name="______acv457">[9]!PAGE_WIDTH</definedName>
    <definedName name="______awe122" localSheetId="5">#REF!</definedName>
    <definedName name="______awe122" localSheetId="4">#REF!</definedName>
    <definedName name="______awe122">#REF!</definedName>
    <definedName name="______fob0301" localSheetId="5">#REF!</definedName>
    <definedName name="______fob0301" localSheetId="4">#REF!</definedName>
    <definedName name="______fob0301">#REF!</definedName>
    <definedName name="______fob0302" localSheetId="5">#REF!</definedName>
    <definedName name="______fob0302" localSheetId="4">#REF!</definedName>
    <definedName name="______fob0302">#REF!</definedName>
    <definedName name="______fob0303" localSheetId="5">#REF!</definedName>
    <definedName name="______fob0303" localSheetId="4">#REF!</definedName>
    <definedName name="______fob0303">#REF!</definedName>
    <definedName name="______fob0304" localSheetId="5">#REF!</definedName>
    <definedName name="______fob0304" localSheetId="4">#REF!</definedName>
    <definedName name="______fob0304">#REF!</definedName>
    <definedName name="______fob0305" localSheetId="5">#REF!</definedName>
    <definedName name="______fob0305" localSheetId="4">#REF!</definedName>
    <definedName name="______fob0305">#REF!</definedName>
    <definedName name="______fob0306" localSheetId="5">#REF!</definedName>
    <definedName name="______fob0306" localSheetId="4">#REF!</definedName>
    <definedName name="______fob0306">#REF!</definedName>
    <definedName name="______fob0307" localSheetId="5">#REF!</definedName>
    <definedName name="______fob0307" localSheetId="4">#REF!</definedName>
    <definedName name="______fob0307">#REF!</definedName>
    <definedName name="______fob0308" localSheetId="5">#REF!</definedName>
    <definedName name="______fob0308" localSheetId="4">#REF!</definedName>
    <definedName name="______fob0308">#REF!</definedName>
    <definedName name="______fob0309" localSheetId="5">#REF!</definedName>
    <definedName name="______fob0309" localSheetId="4">#REF!</definedName>
    <definedName name="______fob0309">#REF!</definedName>
    <definedName name="______fob0310" localSheetId="5">#REF!</definedName>
    <definedName name="______fob0310" localSheetId="4">#REF!</definedName>
    <definedName name="______fob0310">#REF!</definedName>
    <definedName name="______fob0311" localSheetId="5">#REF!</definedName>
    <definedName name="______fob0311" localSheetId="4">#REF!</definedName>
    <definedName name="______fob0311">#REF!</definedName>
    <definedName name="______fob0312" localSheetId="5">#REF!</definedName>
    <definedName name="______fob0312" localSheetId="4">#REF!</definedName>
    <definedName name="______fob0312">#REF!</definedName>
    <definedName name="______fob0401" localSheetId="5">#REF!</definedName>
    <definedName name="______fob0401" localSheetId="4">#REF!</definedName>
    <definedName name="______fob0401">#REF!</definedName>
    <definedName name="______fob0402" localSheetId="5">#REF!</definedName>
    <definedName name="______fob0402" localSheetId="4">#REF!</definedName>
    <definedName name="______fob0402">#REF!</definedName>
    <definedName name="______fob0403" localSheetId="5">#REF!</definedName>
    <definedName name="______fob0403" localSheetId="4">#REF!</definedName>
    <definedName name="______fob0403">#REF!</definedName>
    <definedName name="______fob0404" localSheetId="5">#REF!</definedName>
    <definedName name="______fob0404" localSheetId="4">#REF!</definedName>
    <definedName name="______fob0404">#REF!</definedName>
    <definedName name="______fob0405" localSheetId="5">#REF!</definedName>
    <definedName name="______fob0405" localSheetId="4">#REF!</definedName>
    <definedName name="______fob0405">#REF!</definedName>
    <definedName name="______fob0406" localSheetId="5">#REF!</definedName>
    <definedName name="______fob0406" localSheetId="4">#REF!</definedName>
    <definedName name="______fob0406">#REF!</definedName>
    <definedName name="______fob0407" localSheetId="5">#REF!</definedName>
    <definedName name="______fob0407" localSheetId="4">#REF!</definedName>
    <definedName name="______fob0407">#REF!</definedName>
    <definedName name="______fob0408" localSheetId="5">#REF!</definedName>
    <definedName name="______fob0408" localSheetId="4">#REF!</definedName>
    <definedName name="______fob0408">#REF!</definedName>
    <definedName name="______fob0409" localSheetId="5">#REF!</definedName>
    <definedName name="______fob0409" localSheetId="4">#REF!</definedName>
    <definedName name="______fob0409">#REF!</definedName>
    <definedName name="______fob0410" localSheetId="5">#REF!</definedName>
    <definedName name="______fob0410" localSheetId="4">#REF!</definedName>
    <definedName name="______fob0410">#REF!</definedName>
    <definedName name="______fob0411" localSheetId="5">#REF!</definedName>
    <definedName name="______fob0411" localSheetId="4">#REF!</definedName>
    <definedName name="______fob0411">#REF!</definedName>
    <definedName name="______fob0412" localSheetId="5">#REF!</definedName>
    <definedName name="______fob0412" localSheetId="4">#REF!</definedName>
    <definedName name="______fob0412">#REF!</definedName>
    <definedName name="______inv2" localSheetId="5">#REF!</definedName>
    <definedName name="______inv2" localSheetId="4">#REF!</definedName>
    <definedName name="______inv2">#REF!</definedName>
    <definedName name="______J1" localSheetId="5">[8]!直線55_Click</definedName>
    <definedName name="______J1">"'file:///G:/TECH/MERRY/178049A.XLS'#直線55_Click"</definedName>
    <definedName name="______jm5510" localSheetId="5">#REF!</definedName>
    <definedName name="______jm5510" localSheetId="4">#REF!</definedName>
    <definedName name="______jm5510">#REF!</definedName>
    <definedName name="______MAX61" localSheetId="5">#REF!</definedName>
    <definedName name="______MAX61" localSheetId="4">#REF!</definedName>
    <definedName name="______MAX61">#REF!</definedName>
    <definedName name="______mj5510" localSheetId="5">#REF!</definedName>
    <definedName name="______mj5510" localSheetId="4">#REF!</definedName>
    <definedName name="______mj5510">#REF!</definedName>
    <definedName name="______pr0301" localSheetId="5">#REF!</definedName>
    <definedName name="______pr0301" localSheetId="4">#REF!</definedName>
    <definedName name="______pr0301">#REF!</definedName>
    <definedName name="______pr0302" localSheetId="5">#REF!</definedName>
    <definedName name="______pr0302" localSheetId="4">#REF!</definedName>
    <definedName name="______pr0302">#REF!</definedName>
    <definedName name="______pr0303" localSheetId="5">#REF!</definedName>
    <definedName name="______pr0303" localSheetId="4">#REF!</definedName>
    <definedName name="______pr0303">#REF!</definedName>
    <definedName name="______pr0304" localSheetId="5">#REF!</definedName>
    <definedName name="______pr0304" localSheetId="4">#REF!</definedName>
    <definedName name="______pr0304">#REF!</definedName>
    <definedName name="______pr0305" localSheetId="5">#REF!</definedName>
    <definedName name="______pr0305" localSheetId="4">#REF!</definedName>
    <definedName name="______pr0305">#REF!</definedName>
    <definedName name="______pr0306" localSheetId="5">#REF!</definedName>
    <definedName name="______pr0306" localSheetId="4">#REF!</definedName>
    <definedName name="______pr0306">#REF!</definedName>
    <definedName name="______pr0307" localSheetId="5">#REF!</definedName>
    <definedName name="______pr0307" localSheetId="4">#REF!</definedName>
    <definedName name="______pr0307">#REF!</definedName>
    <definedName name="______pr0308" localSheetId="5">#REF!</definedName>
    <definedName name="______pr0308" localSheetId="4">#REF!</definedName>
    <definedName name="______pr0308">#REF!</definedName>
    <definedName name="______pr0309" localSheetId="5">#REF!</definedName>
    <definedName name="______pr0309" localSheetId="4">#REF!</definedName>
    <definedName name="______pr0309">#REF!</definedName>
    <definedName name="______pr0310" localSheetId="5">#REF!</definedName>
    <definedName name="______pr0310" localSheetId="4">#REF!</definedName>
    <definedName name="______pr0310">#REF!</definedName>
    <definedName name="______pr0311" localSheetId="5">#REF!</definedName>
    <definedName name="______pr0311" localSheetId="4">#REF!</definedName>
    <definedName name="______pr0311">#REF!</definedName>
    <definedName name="______pr0312" localSheetId="5">#REF!</definedName>
    <definedName name="______pr0312" localSheetId="4">#REF!</definedName>
    <definedName name="______pr0312">#REF!</definedName>
    <definedName name="______pr0401" localSheetId="5">#REF!</definedName>
    <definedName name="______pr0401" localSheetId="4">#REF!</definedName>
    <definedName name="______pr0401">#REF!</definedName>
    <definedName name="______pr0402" localSheetId="5">#REF!</definedName>
    <definedName name="______pr0402" localSheetId="4">#REF!</definedName>
    <definedName name="______pr0402">#REF!</definedName>
    <definedName name="______pr0403" localSheetId="5">#REF!</definedName>
    <definedName name="______pr0403" localSheetId="4">#REF!</definedName>
    <definedName name="______pr0403">#REF!</definedName>
    <definedName name="______pr0404" localSheetId="5">#REF!</definedName>
    <definedName name="______pr0404" localSheetId="4">#REF!</definedName>
    <definedName name="______pr0404">#REF!</definedName>
    <definedName name="______pr0405" localSheetId="5">#REF!</definedName>
    <definedName name="______pr0405" localSheetId="4">#REF!</definedName>
    <definedName name="______pr0405">#REF!</definedName>
    <definedName name="______pr0406" localSheetId="5">#REF!</definedName>
    <definedName name="______pr0406" localSheetId="4">#REF!</definedName>
    <definedName name="______pr0406">#REF!</definedName>
    <definedName name="______pr0407" localSheetId="5">#REF!</definedName>
    <definedName name="______pr0407" localSheetId="4">#REF!</definedName>
    <definedName name="______pr0407">#REF!</definedName>
    <definedName name="______pr0408" localSheetId="5">#REF!</definedName>
    <definedName name="______pr0408" localSheetId="4">#REF!</definedName>
    <definedName name="______pr0408">#REF!</definedName>
    <definedName name="______pr0409" localSheetId="5">#REF!</definedName>
    <definedName name="______pr0409" localSheetId="4">#REF!</definedName>
    <definedName name="______pr0409">#REF!</definedName>
    <definedName name="______pr0410" localSheetId="5">#REF!</definedName>
    <definedName name="______pr0410" localSheetId="4">#REF!</definedName>
    <definedName name="______pr0410">#REF!</definedName>
    <definedName name="______pr0411" localSheetId="5">#REF!</definedName>
    <definedName name="______pr0411" localSheetId="4">#REF!</definedName>
    <definedName name="______pr0411">#REF!</definedName>
    <definedName name="______pr0412" localSheetId="5">#REF!</definedName>
    <definedName name="______pr0412" localSheetId="4">#REF!</definedName>
    <definedName name="______pr0412">#REF!</definedName>
    <definedName name="_____acv456">[10]!PAGE_WIDTH</definedName>
    <definedName name="_____acv457">[4]!PAGE_WIDTH</definedName>
    <definedName name="_____awe122" localSheetId="5">#REF!</definedName>
    <definedName name="_____awe122" localSheetId="4">#REF!</definedName>
    <definedName name="_____awe122">#REF!</definedName>
    <definedName name="_____fob0301" localSheetId="5">#REF!</definedName>
    <definedName name="_____fob0301" localSheetId="4">#REF!</definedName>
    <definedName name="_____fob0301">#REF!</definedName>
    <definedName name="_____fob0302" localSheetId="5">#REF!</definedName>
    <definedName name="_____fob0302" localSheetId="4">#REF!</definedName>
    <definedName name="_____fob0302">#REF!</definedName>
    <definedName name="_____fob0303" localSheetId="5">#REF!</definedName>
    <definedName name="_____fob0303" localSheetId="4">#REF!</definedName>
    <definedName name="_____fob0303">#REF!</definedName>
    <definedName name="_____fob0304" localSheetId="5">#REF!</definedName>
    <definedName name="_____fob0304" localSheetId="4">#REF!</definedName>
    <definedName name="_____fob0304">#REF!</definedName>
    <definedName name="_____fob0305" localSheetId="5">#REF!</definedName>
    <definedName name="_____fob0305" localSheetId="4">#REF!</definedName>
    <definedName name="_____fob0305">#REF!</definedName>
    <definedName name="_____fob0306" localSheetId="5">#REF!</definedName>
    <definedName name="_____fob0306" localSheetId="4">#REF!</definedName>
    <definedName name="_____fob0306">#REF!</definedName>
    <definedName name="_____fob0307" localSheetId="5">#REF!</definedName>
    <definedName name="_____fob0307" localSheetId="4">#REF!</definedName>
    <definedName name="_____fob0307">#REF!</definedName>
    <definedName name="_____fob0308" localSheetId="5">#REF!</definedName>
    <definedName name="_____fob0308" localSheetId="4">#REF!</definedName>
    <definedName name="_____fob0308">#REF!</definedName>
    <definedName name="_____fob0309" localSheetId="5">#REF!</definedName>
    <definedName name="_____fob0309" localSheetId="4">#REF!</definedName>
    <definedName name="_____fob0309">#REF!</definedName>
    <definedName name="_____fob0310" localSheetId="5">#REF!</definedName>
    <definedName name="_____fob0310" localSheetId="4">#REF!</definedName>
    <definedName name="_____fob0310">#REF!</definedName>
    <definedName name="_____fob0311" localSheetId="5">#REF!</definedName>
    <definedName name="_____fob0311" localSheetId="4">#REF!</definedName>
    <definedName name="_____fob0311">#REF!</definedName>
    <definedName name="_____fob0312" localSheetId="5">#REF!</definedName>
    <definedName name="_____fob0312" localSheetId="4">#REF!</definedName>
    <definedName name="_____fob0312">#REF!</definedName>
    <definedName name="_____fob0401" localSheetId="5">#REF!</definedName>
    <definedName name="_____fob0401" localSheetId="4">#REF!</definedName>
    <definedName name="_____fob0401">#REF!</definedName>
    <definedName name="_____fob0402" localSheetId="5">#REF!</definedName>
    <definedName name="_____fob0402" localSheetId="4">#REF!</definedName>
    <definedName name="_____fob0402">#REF!</definedName>
    <definedName name="_____fob0403" localSheetId="5">#REF!</definedName>
    <definedName name="_____fob0403" localSheetId="4">#REF!</definedName>
    <definedName name="_____fob0403">#REF!</definedName>
    <definedName name="_____fob0404" localSheetId="5">#REF!</definedName>
    <definedName name="_____fob0404" localSheetId="4">#REF!</definedName>
    <definedName name="_____fob0404">#REF!</definedName>
    <definedName name="_____fob0405" localSheetId="5">#REF!</definedName>
    <definedName name="_____fob0405" localSheetId="4">#REF!</definedName>
    <definedName name="_____fob0405">#REF!</definedName>
    <definedName name="_____fob0406" localSheetId="5">#REF!</definedName>
    <definedName name="_____fob0406" localSheetId="4">#REF!</definedName>
    <definedName name="_____fob0406">#REF!</definedName>
    <definedName name="_____fob0407" localSheetId="5">#REF!</definedName>
    <definedName name="_____fob0407" localSheetId="4">#REF!</definedName>
    <definedName name="_____fob0407">#REF!</definedName>
    <definedName name="_____fob0408" localSheetId="5">#REF!</definedName>
    <definedName name="_____fob0408" localSheetId="4">#REF!</definedName>
    <definedName name="_____fob0408">#REF!</definedName>
    <definedName name="_____fob0409" localSheetId="5">#REF!</definedName>
    <definedName name="_____fob0409" localSheetId="4">#REF!</definedName>
    <definedName name="_____fob0409">#REF!</definedName>
    <definedName name="_____fob0410" localSheetId="5">#REF!</definedName>
    <definedName name="_____fob0410" localSheetId="4">#REF!</definedName>
    <definedName name="_____fob0410">#REF!</definedName>
    <definedName name="_____fob0411" localSheetId="5">#REF!</definedName>
    <definedName name="_____fob0411" localSheetId="4">#REF!</definedName>
    <definedName name="_____fob0411">#REF!</definedName>
    <definedName name="_____fob0412" localSheetId="5">#REF!</definedName>
    <definedName name="_____fob0412" localSheetId="4">#REF!</definedName>
    <definedName name="_____fob0412">#REF!</definedName>
    <definedName name="_____inv2" localSheetId="5">#REF!</definedName>
    <definedName name="_____inv2" localSheetId="4">#REF!</definedName>
    <definedName name="_____inv2">#REF!</definedName>
    <definedName name="_____J1">[8]!直線55_Click</definedName>
    <definedName name="_____jm5510" localSheetId="5">#REF!</definedName>
    <definedName name="_____jm5510" localSheetId="4">#REF!</definedName>
    <definedName name="_____jm5510">#REF!</definedName>
    <definedName name="_____MAX61" localSheetId="5">#REF!</definedName>
    <definedName name="_____MAX61" localSheetId="4">#REF!</definedName>
    <definedName name="_____MAX61">#REF!</definedName>
    <definedName name="_____mj5510" localSheetId="5">#REF!</definedName>
    <definedName name="_____mj5510" localSheetId="4">#REF!</definedName>
    <definedName name="_____mj5510">#REF!</definedName>
    <definedName name="_____pr0301" localSheetId="5">#REF!</definedName>
    <definedName name="_____pr0301" localSheetId="4">#REF!</definedName>
    <definedName name="_____pr0301">#REF!</definedName>
    <definedName name="_____pr0302" localSheetId="5">#REF!</definedName>
    <definedName name="_____pr0302" localSheetId="4">#REF!</definedName>
    <definedName name="_____pr0302">#REF!</definedName>
    <definedName name="_____pr0303" localSheetId="5">#REF!</definedName>
    <definedName name="_____pr0303" localSheetId="4">#REF!</definedName>
    <definedName name="_____pr0303">#REF!</definedName>
    <definedName name="_____pr0304" localSheetId="5">#REF!</definedName>
    <definedName name="_____pr0304" localSheetId="4">#REF!</definedName>
    <definedName name="_____pr0304">#REF!</definedName>
    <definedName name="_____pr0305" localSheetId="5">#REF!</definedName>
    <definedName name="_____pr0305" localSheetId="4">#REF!</definedName>
    <definedName name="_____pr0305">#REF!</definedName>
    <definedName name="_____pr0306" localSheetId="5">#REF!</definedName>
    <definedName name="_____pr0306" localSheetId="4">#REF!</definedName>
    <definedName name="_____pr0306">#REF!</definedName>
    <definedName name="_____pr0307" localSheetId="5">#REF!</definedName>
    <definedName name="_____pr0307" localSheetId="4">#REF!</definedName>
    <definedName name="_____pr0307">#REF!</definedName>
    <definedName name="_____pr0308" localSheetId="5">#REF!</definedName>
    <definedName name="_____pr0308" localSheetId="4">#REF!</definedName>
    <definedName name="_____pr0308">#REF!</definedName>
    <definedName name="_____pr0309" localSheetId="5">#REF!</definedName>
    <definedName name="_____pr0309" localSheetId="4">#REF!</definedName>
    <definedName name="_____pr0309">#REF!</definedName>
    <definedName name="_____pr0310" localSheetId="5">#REF!</definedName>
    <definedName name="_____pr0310" localSheetId="4">#REF!</definedName>
    <definedName name="_____pr0310">#REF!</definedName>
    <definedName name="_____pr0311" localSheetId="5">#REF!</definedName>
    <definedName name="_____pr0311" localSheetId="4">#REF!</definedName>
    <definedName name="_____pr0311">#REF!</definedName>
    <definedName name="_____pr0312" localSheetId="5">#REF!</definedName>
    <definedName name="_____pr0312" localSheetId="4">#REF!</definedName>
    <definedName name="_____pr0312">#REF!</definedName>
    <definedName name="_____pr0401" localSheetId="5">#REF!</definedName>
    <definedName name="_____pr0401" localSheetId="4">#REF!</definedName>
    <definedName name="_____pr0401">#REF!</definedName>
    <definedName name="_____pr0402" localSheetId="5">#REF!</definedName>
    <definedName name="_____pr0402" localSheetId="4">#REF!</definedName>
    <definedName name="_____pr0402">#REF!</definedName>
    <definedName name="_____pr0403" localSheetId="5">#REF!</definedName>
    <definedName name="_____pr0403" localSheetId="4">#REF!</definedName>
    <definedName name="_____pr0403">#REF!</definedName>
    <definedName name="_____pr0404" localSheetId="5">#REF!</definedName>
    <definedName name="_____pr0404" localSheetId="4">#REF!</definedName>
    <definedName name="_____pr0404">#REF!</definedName>
    <definedName name="_____pr0405" localSheetId="5">#REF!</definedName>
    <definedName name="_____pr0405" localSheetId="4">#REF!</definedName>
    <definedName name="_____pr0405">#REF!</definedName>
    <definedName name="_____pr0406" localSheetId="5">#REF!</definedName>
    <definedName name="_____pr0406" localSheetId="4">#REF!</definedName>
    <definedName name="_____pr0406">#REF!</definedName>
    <definedName name="_____pr0407" localSheetId="5">#REF!</definedName>
    <definedName name="_____pr0407" localSheetId="4">#REF!</definedName>
    <definedName name="_____pr0407">#REF!</definedName>
    <definedName name="_____pr0408" localSheetId="5">#REF!</definedName>
    <definedName name="_____pr0408" localSheetId="4">#REF!</definedName>
    <definedName name="_____pr0408">#REF!</definedName>
    <definedName name="_____pr0409" localSheetId="5">#REF!</definedName>
    <definedName name="_____pr0409" localSheetId="4">#REF!</definedName>
    <definedName name="_____pr0409">#REF!</definedName>
    <definedName name="_____pr0410" localSheetId="5">#REF!</definedName>
    <definedName name="_____pr0410" localSheetId="4">#REF!</definedName>
    <definedName name="_____pr0410">#REF!</definedName>
    <definedName name="_____pr0411" localSheetId="5">#REF!</definedName>
    <definedName name="_____pr0411" localSheetId="4">#REF!</definedName>
    <definedName name="_____pr0411">#REF!</definedName>
    <definedName name="_____pr0412" localSheetId="5">#REF!</definedName>
    <definedName name="_____pr0412" localSheetId="4">#REF!</definedName>
    <definedName name="_____pr0412">#REF!</definedName>
    <definedName name="____acv456">[11]!PAGE_WIDTH</definedName>
    <definedName name="____acv457">[10]!PAGE_WIDTH</definedName>
    <definedName name="____awe122" localSheetId="5">#REF!</definedName>
    <definedName name="____awe122" localSheetId="4">#REF!</definedName>
    <definedName name="____awe122">#REF!</definedName>
    <definedName name="____fob0301" localSheetId="5">#REF!</definedName>
    <definedName name="____fob0301" localSheetId="4">#REF!</definedName>
    <definedName name="____fob0301">#REF!</definedName>
    <definedName name="____fob0302" localSheetId="5">#REF!</definedName>
    <definedName name="____fob0302" localSheetId="4">#REF!</definedName>
    <definedName name="____fob0302">#REF!</definedName>
    <definedName name="____fob0303" localSheetId="5">#REF!</definedName>
    <definedName name="____fob0303" localSheetId="4">#REF!</definedName>
    <definedName name="____fob0303">#REF!</definedName>
    <definedName name="____fob0304" localSheetId="5">#REF!</definedName>
    <definedName name="____fob0304" localSheetId="4">#REF!</definedName>
    <definedName name="____fob0304">#REF!</definedName>
    <definedName name="____fob0305" localSheetId="5">#REF!</definedName>
    <definedName name="____fob0305" localSheetId="4">#REF!</definedName>
    <definedName name="____fob0305">#REF!</definedName>
    <definedName name="____fob0306" localSheetId="5">#REF!</definedName>
    <definedName name="____fob0306" localSheetId="4">#REF!</definedName>
    <definedName name="____fob0306">#REF!</definedName>
    <definedName name="____fob0307" localSheetId="5">#REF!</definedName>
    <definedName name="____fob0307" localSheetId="4">#REF!</definedName>
    <definedName name="____fob0307">#REF!</definedName>
    <definedName name="____fob0308" localSheetId="5">#REF!</definedName>
    <definedName name="____fob0308" localSheetId="4">#REF!</definedName>
    <definedName name="____fob0308">#REF!</definedName>
    <definedName name="____fob0309" localSheetId="5">#REF!</definedName>
    <definedName name="____fob0309" localSheetId="4">#REF!</definedName>
    <definedName name="____fob0309">#REF!</definedName>
    <definedName name="____fob0310" localSheetId="5">#REF!</definedName>
    <definedName name="____fob0310" localSheetId="4">#REF!</definedName>
    <definedName name="____fob0310">#REF!</definedName>
    <definedName name="____fob0311" localSheetId="5">#REF!</definedName>
    <definedName name="____fob0311" localSheetId="4">#REF!</definedName>
    <definedName name="____fob0311">#REF!</definedName>
    <definedName name="____fob0312" localSheetId="5">#REF!</definedName>
    <definedName name="____fob0312" localSheetId="4">#REF!</definedName>
    <definedName name="____fob0312">#REF!</definedName>
    <definedName name="____fob0401" localSheetId="5">#REF!</definedName>
    <definedName name="____fob0401" localSheetId="4">#REF!</definedName>
    <definedName name="____fob0401">#REF!</definedName>
    <definedName name="____fob0402" localSheetId="5">#REF!</definedName>
    <definedName name="____fob0402" localSheetId="4">#REF!</definedName>
    <definedName name="____fob0402">#REF!</definedName>
    <definedName name="____fob0403" localSheetId="5">#REF!</definedName>
    <definedName name="____fob0403" localSheetId="4">#REF!</definedName>
    <definedName name="____fob0403">#REF!</definedName>
    <definedName name="____fob0404" localSheetId="5">#REF!</definedName>
    <definedName name="____fob0404" localSheetId="4">#REF!</definedName>
    <definedName name="____fob0404">#REF!</definedName>
    <definedName name="____fob0405" localSheetId="5">#REF!</definedName>
    <definedName name="____fob0405" localSheetId="4">#REF!</definedName>
    <definedName name="____fob0405">#REF!</definedName>
    <definedName name="____fob0406" localSheetId="5">#REF!</definedName>
    <definedName name="____fob0406" localSheetId="4">#REF!</definedName>
    <definedName name="____fob0406">#REF!</definedName>
    <definedName name="____fob0407" localSheetId="5">#REF!</definedName>
    <definedName name="____fob0407" localSheetId="4">#REF!</definedName>
    <definedName name="____fob0407">#REF!</definedName>
    <definedName name="____fob0408" localSheetId="5">#REF!</definedName>
    <definedName name="____fob0408" localSheetId="4">#REF!</definedName>
    <definedName name="____fob0408">#REF!</definedName>
    <definedName name="____fob0409" localSheetId="5">#REF!</definedName>
    <definedName name="____fob0409" localSheetId="4">#REF!</definedName>
    <definedName name="____fob0409">#REF!</definedName>
    <definedName name="____fob0410" localSheetId="5">#REF!</definedName>
    <definedName name="____fob0410" localSheetId="4">#REF!</definedName>
    <definedName name="____fob0410">#REF!</definedName>
    <definedName name="____fob0411" localSheetId="5">#REF!</definedName>
    <definedName name="____fob0411" localSheetId="4">#REF!</definedName>
    <definedName name="____fob0411">#REF!</definedName>
    <definedName name="____fob0412" localSheetId="5">#REF!</definedName>
    <definedName name="____fob0412" localSheetId="4">#REF!</definedName>
    <definedName name="____fob0412">#REF!</definedName>
    <definedName name="____inv2" localSheetId="5">#REF!</definedName>
    <definedName name="____inv2" localSheetId="4">#REF!</definedName>
    <definedName name="____inv2">#REF!</definedName>
    <definedName name="____J1">[8]!直線55_Click</definedName>
    <definedName name="____jm5510" localSheetId="5">#REF!</definedName>
    <definedName name="____jm5510" localSheetId="4">#REF!</definedName>
    <definedName name="____jm5510">#REF!</definedName>
    <definedName name="____MAX61" localSheetId="5">#REF!</definedName>
    <definedName name="____MAX61" localSheetId="4">#REF!</definedName>
    <definedName name="____MAX61">#REF!</definedName>
    <definedName name="____mj5510" localSheetId="5">#REF!</definedName>
    <definedName name="____mj5510" localSheetId="4">#REF!</definedName>
    <definedName name="____mj5510">#REF!</definedName>
    <definedName name="____P71" hidden="1">39253.4473611111</definedName>
    <definedName name="____pr0301" localSheetId="5">#REF!</definedName>
    <definedName name="____pr0301" localSheetId="4">#REF!</definedName>
    <definedName name="____pr0301">#REF!</definedName>
    <definedName name="____pr0302" localSheetId="5">#REF!</definedName>
    <definedName name="____pr0302" localSheetId="4">#REF!</definedName>
    <definedName name="____pr0302">#REF!</definedName>
    <definedName name="____pr0303" localSheetId="5">#REF!</definedName>
    <definedName name="____pr0303" localSheetId="4">#REF!</definedName>
    <definedName name="____pr0303">#REF!</definedName>
    <definedName name="____pr0304" localSheetId="5">#REF!</definedName>
    <definedName name="____pr0304" localSheetId="4">#REF!</definedName>
    <definedName name="____pr0304">#REF!</definedName>
    <definedName name="____pr0305" localSheetId="5">#REF!</definedName>
    <definedName name="____pr0305" localSheetId="4">#REF!</definedName>
    <definedName name="____pr0305">#REF!</definedName>
    <definedName name="____pr0306" localSheetId="5">#REF!</definedName>
    <definedName name="____pr0306" localSheetId="4">#REF!</definedName>
    <definedName name="____pr0306">#REF!</definedName>
    <definedName name="____pr0307" localSheetId="5">#REF!</definedName>
    <definedName name="____pr0307" localSheetId="4">#REF!</definedName>
    <definedName name="____pr0307">#REF!</definedName>
    <definedName name="____pr0308" localSheetId="5">#REF!</definedName>
    <definedName name="____pr0308" localSheetId="4">#REF!</definedName>
    <definedName name="____pr0308">#REF!</definedName>
    <definedName name="____pr0309" localSheetId="5">#REF!</definedName>
    <definedName name="____pr0309" localSheetId="4">#REF!</definedName>
    <definedName name="____pr0309">#REF!</definedName>
    <definedName name="____pr0310" localSheetId="5">#REF!</definedName>
    <definedName name="____pr0310" localSheetId="4">#REF!</definedName>
    <definedName name="____pr0310">#REF!</definedName>
    <definedName name="____pr0311" localSheetId="5">#REF!</definedName>
    <definedName name="____pr0311" localSheetId="4">#REF!</definedName>
    <definedName name="____pr0311">#REF!</definedName>
    <definedName name="____pr0312" localSheetId="5">#REF!</definedName>
    <definedName name="____pr0312" localSheetId="4">#REF!</definedName>
    <definedName name="____pr0312">#REF!</definedName>
    <definedName name="____pr0401" localSheetId="5">#REF!</definedName>
    <definedName name="____pr0401" localSheetId="4">#REF!</definedName>
    <definedName name="____pr0401">#REF!</definedName>
    <definedName name="____pr0402" localSheetId="5">#REF!</definedName>
    <definedName name="____pr0402" localSheetId="4">#REF!</definedName>
    <definedName name="____pr0402">#REF!</definedName>
    <definedName name="____pr0403" localSheetId="5">#REF!</definedName>
    <definedName name="____pr0403" localSheetId="4">#REF!</definedName>
    <definedName name="____pr0403">#REF!</definedName>
    <definedName name="____pr0404" localSheetId="5">#REF!</definedName>
    <definedName name="____pr0404" localSheetId="4">#REF!</definedName>
    <definedName name="____pr0404">#REF!</definedName>
    <definedName name="____pr0405" localSheetId="5">#REF!</definedName>
    <definedName name="____pr0405" localSheetId="4">#REF!</definedName>
    <definedName name="____pr0405">#REF!</definedName>
    <definedName name="____pr0406" localSheetId="5">#REF!</definedName>
    <definedName name="____pr0406" localSheetId="4">#REF!</definedName>
    <definedName name="____pr0406">#REF!</definedName>
    <definedName name="____pr0407" localSheetId="5">#REF!</definedName>
    <definedName name="____pr0407" localSheetId="4">#REF!</definedName>
    <definedName name="____pr0407">#REF!</definedName>
    <definedName name="____pr0408" localSheetId="5">#REF!</definedName>
    <definedName name="____pr0408" localSheetId="4">#REF!</definedName>
    <definedName name="____pr0408">#REF!</definedName>
    <definedName name="____pr0409" localSheetId="5">#REF!</definedName>
    <definedName name="____pr0409" localSheetId="4">#REF!</definedName>
    <definedName name="____pr0409">#REF!</definedName>
    <definedName name="____pr0410" localSheetId="5">#REF!</definedName>
    <definedName name="____pr0410" localSheetId="4">#REF!</definedName>
    <definedName name="____pr0410">#REF!</definedName>
    <definedName name="____pr0411" localSheetId="5">#REF!</definedName>
    <definedName name="____pr0411" localSheetId="4">#REF!</definedName>
    <definedName name="____pr0411">#REF!</definedName>
    <definedName name="____pr0412" localSheetId="5">#REF!</definedName>
    <definedName name="____pr0412" localSheetId="4">#REF!</definedName>
    <definedName name="____pr0412">#REF!</definedName>
    <definedName name="___acv456">[4]!PAGE_WIDTH</definedName>
    <definedName name="___acv457">[11]!PAGE_WIDTH</definedName>
    <definedName name="___aL06">'[12]Supplier List'!$A$2:$A$105</definedName>
    <definedName name="___awe122" localSheetId="5">#REF!</definedName>
    <definedName name="___awe122" localSheetId="4">#REF!</definedName>
    <definedName name="___awe122">#REF!</definedName>
    <definedName name="___fob0301" localSheetId="5">#REF!</definedName>
    <definedName name="___fob0301" localSheetId="4">#REF!</definedName>
    <definedName name="___fob0301">#REF!</definedName>
    <definedName name="___fob0302" localSheetId="5">#REF!</definedName>
    <definedName name="___fob0302" localSheetId="4">#REF!</definedName>
    <definedName name="___fob0302">#REF!</definedName>
    <definedName name="___fob0303" localSheetId="5">#REF!</definedName>
    <definedName name="___fob0303" localSheetId="4">#REF!</definedName>
    <definedName name="___fob0303">#REF!</definedName>
    <definedName name="___fob0304" localSheetId="5">#REF!</definedName>
    <definedName name="___fob0304" localSheetId="4">#REF!</definedName>
    <definedName name="___fob0304">#REF!</definedName>
    <definedName name="___fob0305" localSheetId="5">#REF!</definedName>
    <definedName name="___fob0305" localSheetId="4">#REF!</definedName>
    <definedName name="___fob0305">#REF!</definedName>
    <definedName name="___fob0306" localSheetId="5">#REF!</definedName>
    <definedName name="___fob0306" localSheetId="4">#REF!</definedName>
    <definedName name="___fob0306">#REF!</definedName>
    <definedName name="___fob0307" localSheetId="5">#REF!</definedName>
    <definedName name="___fob0307" localSheetId="4">#REF!</definedName>
    <definedName name="___fob0307">#REF!</definedName>
    <definedName name="___fob0308" localSheetId="5">#REF!</definedName>
    <definedName name="___fob0308" localSheetId="4">#REF!</definedName>
    <definedName name="___fob0308">#REF!</definedName>
    <definedName name="___fob0309" localSheetId="5">#REF!</definedName>
    <definedName name="___fob0309" localSheetId="4">#REF!</definedName>
    <definedName name="___fob0309">#REF!</definedName>
    <definedName name="___fob0310" localSheetId="5">#REF!</definedName>
    <definedName name="___fob0310" localSheetId="4">#REF!</definedName>
    <definedName name="___fob0310">#REF!</definedName>
    <definedName name="___fob0311" localSheetId="5">#REF!</definedName>
    <definedName name="___fob0311" localSheetId="4">#REF!</definedName>
    <definedName name="___fob0311">#REF!</definedName>
    <definedName name="___fob0312" localSheetId="5">#REF!</definedName>
    <definedName name="___fob0312" localSheetId="4">#REF!</definedName>
    <definedName name="___fob0312">#REF!</definedName>
    <definedName name="___fob0401" localSheetId="5">#REF!</definedName>
    <definedName name="___fob0401" localSheetId="4">#REF!</definedName>
    <definedName name="___fob0401">#REF!</definedName>
    <definedName name="___fob0402" localSheetId="5">#REF!</definedName>
    <definedName name="___fob0402" localSheetId="4">#REF!</definedName>
    <definedName name="___fob0402">#REF!</definedName>
    <definedName name="___fob0403" localSheetId="5">#REF!</definedName>
    <definedName name="___fob0403" localSheetId="4">#REF!</definedName>
    <definedName name="___fob0403">#REF!</definedName>
    <definedName name="___fob0404" localSheetId="5">#REF!</definedName>
    <definedName name="___fob0404" localSheetId="4">#REF!</definedName>
    <definedName name="___fob0404">#REF!</definedName>
    <definedName name="___fob0405" localSheetId="5">#REF!</definedName>
    <definedName name="___fob0405" localSheetId="4">#REF!</definedName>
    <definedName name="___fob0405">#REF!</definedName>
    <definedName name="___fob0406" localSheetId="5">#REF!</definedName>
    <definedName name="___fob0406" localSheetId="4">#REF!</definedName>
    <definedName name="___fob0406">#REF!</definedName>
    <definedName name="___fob0407" localSheetId="5">#REF!</definedName>
    <definedName name="___fob0407" localSheetId="4">#REF!</definedName>
    <definedName name="___fob0407">#REF!</definedName>
    <definedName name="___fob0408" localSheetId="5">#REF!</definedName>
    <definedName name="___fob0408" localSheetId="4">#REF!</definedName>
    <definedName name="___fob0408">#REF!</definedName>
    <definedName name="___fob0409" localSheetId="5">#REF!</definedName>
    <definedName name="___fob0409" localSheetId="4">#REF!</definedName>
    <definedName name="___fob0409">#REF!</definedName>
    <definedName name="___fob0410" localSheetId="5">#REF!</definedName>
    <definedName name="___fob0410" localSheetId="4">#REF!</definedName>
    <definedName name="___fob0410">#REF!</definedName>
    <definedName name="___fob0411" localSheetId="5">#REF!</definedName>
    <definedName name="___fob0411" localSheetId="4">#REF!</definedName>
    <definedName name="___fob0411">#REF!</definedName>
    <definedName name="___fob0412" localSheetId="5">#REF!</definedName>
    <definedName name="___fob0412" localSheetId="4">#REF!</definedName>
    <definedName name="___fob0412">#REF!</definedName>
    <definedName name="___inv2" localSheetId="5">#REF!</definedName>
    <definedName name="___inv2" localSheetId="4">#REF!</definedName>
    <definedName name="___inv2">#REF!</definedName>
    <definedName name="___J1">[8]!直線55_Click</definedName>
    <definedName name="___jm5510" localSheetId="5">#REF!</definedName>
    <definedName name="___jm5510" localSheetId="4">#REF!</definedName>
    <definedName name="___jm5510">#REF!</definedName>
    <definedName name="___Key1">[13]Sheet1!#REF!</definedName>
    <definedName name="___Key2">[13]Sheet1!#REF!</definedName>
    <definedName name="___Key3">[13]Sheet1!#REF!</definedName>
    <definedName name="___MAX61" localSheetId="5">#REF!</definedName>
    <definedName name="___MAX61" localSheetId="4">#REF!</definedName>
    <definedName name="___MAX61">#REF!</definedName>
    <definedName name="___mj5510" localSheetId="5">#REF!</definedName>
    <definedName name="___mj5510" localSheetId="4">#REF!</definedName>
    <definedName name="___mj5510">#REF!</definedName>
    <definedName name="___P71" hidden="1">39253.4473611111</definedName>
    <definedName name="___pr0301" localSheetId="5">#REF!</definedName>
    <definedName name="___pr0301" localSheetId="4">#REF!</definedName>
    <definedName name="___pr0301">#REF!</definedName>
    <definedName name="___pr0302" localSheetId="5">#REF!</definedName>
    <definedName name="___pr0302" localSheetId="4">#REF!</definedName>
    <definedName name="___pr0302">#REF!</definedName>
    <definedName name="___pr0303" localSheetId="5">#REF!</definedName>
    <definedName name="___pr0303" localSheetId="4">#REF!</definedName>
    <definedName name="___pr0303">#REF!</definedName>
    <definedName name="___pr0304" localSheetId="5">#REF!</definedName>
    <definedName name="___pr0304" localSheetId="4">#REF!</definedName>
    <definedName name="___pr0304">#REF!</definedName>
    <definedName name="___pr0305" localSheetId="5">#REF!</definedName>
    <definedName name="___pr0305" localSheetId="4">#REF!</definedName>
    <definedName name="___pr0305">#REF!</definedName>
    <definedName name="___pr0306" localSheetId="5">#REF!</definedName>
    <definedName name="___pr0306" localSheetId="4">#REF!</definedName>
    <definedName name="___pr0306">#REF!</definedName>
    <definedName name="___pr0307" localSheetId="5">#REF!</definedName>
    <definedName name="___pr0307" localSheetId="4">#REF!</definedName>
    <definedName name="___pr0307">#REF!</definedName>
    <definedName name="___pr0308" localSheetId="5">#REF!</definedName>
    <definedName name="___pr0308" localSheetId="4">#REF!</definedName>
    <definedName name="___pr0308">#REF!</definedName>
    <definedName name="___pr0309" localSheetId="5">#REF!</definedName>
    <definedName name="___pr0309" localSheetId="4">#REF!</definedName>
    <definedName name="___pr0309">#REF!</definedName>
    <definedName name="___pr0310" localSheetId="5">#REF!</definedName>
    <definedName name="___pr0310" localSheetId="4">#REF!</definedName>
    <definedName name="___pr0310">#REF!</definedName>
    <definedName name="___pr0311" localSheetId="5">#REF!</definedName>
    <definedName name="___pr0311" localSheetId="4">#REF!</definedName>
    <definedName name="___pr0311">#REF!</definedName>
    <definedName name="___pr0312" localSheetId="5">#REF!</definedName>
    <definedName name="___pr0312" localSheetId="4">#REF!</definedName>
    <definedName name="___pr0312">#REF!</definedName>
    <definedName name="___pr0401" localSheetId="5">#REF!</definedName>
    <definedName name="___pr0401" localSheetId="4">#REF!</definedName>
    <definedName name="___pr0401">#REF!</definedName>
    <definedName name="___pr0402" localSheetId="5">#REF!</definedName>
    <definedName name="___pr0402" localSheetId="4">#REF!</definedName>
    <definedName name="___pr0402">#REF!</definedName>
    <definedName name="___pr0403" localSheetId="5">#REF!</definedName>
    <definedName name="___pr0403" localSheetId="4">#REF!</definedName>
    <definedName name="___pr0403">#REF!</definedName>
    <definedName name="___pr0404" localSheetId="5">#REF!</definedName>
    <definedName name="___pr0404" localSheetId="4">#REF!</definedName>
    <definedName name="___pr0404">#REF!</definedName>
    <definedName name="___pr0405" localSheetId="5">#REF!</definedName>
    <definedName name="___pr0405" localSheetId="4">#REF!</definedName>
    <definedName name="___pr0405">#REF!</definedName>
    <definedName name="___pr0406" localSheetId="5">#REF!</definedName>
    <definedName name="___pr0406" localSheetId="4">#REF!</definedName>
    <definedName name="___pr0406">#REF!</definedName>
    <definedName name="___pr0407" localSheetId="5">#REF!</definedName>
    <definedName name="___pr0407" localSheetId="4">#REF!</definedName>
    <definedName name="___pr0407">#REF!</definedName>
    <definedName name="___pr0408" localSheetId="5">#REF!</definedName>
    <definedName name="___pr0408" localSheetId="4">#REF!</definedName>
    <definedName name="___pr0408">#REF!</definedName>
    <definedName name="___pr0409" localSheetId="5">#REF!</definedName>
    <definedName name="___pr0409" localSheetId="4">#REF!</definedName>
    <definedName name="___pr0409">#REF!</definedName>
    <definedName name="___pr0410" localSheetId="5">#REF!</definedName>
    <definedName name="___pr0410" localSheetId="4">#REF!</definedName>
    <definedName name="___pr0410">#REF!</definedName>
    <definedName name="___pr0411" localSheetId="5">#REF!</definedName>
    <definedName name="___pr0411" localSheetId="4">#REF!</definedName>
    <definedName name="___pr0411">#REF!</definedName>
    <definedName name="___pr0412" localSheetId="5">#REF!</definedName>
    <definedName name="___pr0412" localSheetId="4">#REF!</definedName>
    <definedName name="___pr0412">#REF!</definedName>
    <definedName name="___VSL05">"'http://vtgw.t2group.co.kr/Jung%2520San%2520Team%2520Member%255CVT05%2520NOS%2520implementation%255CPlan%255CKE%2520HOACH%2520VSL05%25204%25205%25206%25207.xls'#$XL4Poppy.$C$39"</definedName>
    <definedName name="__1SMU__t2f_Total_Bookings" localSheetId="5">#REF!</definedName>
    <definedName name="__1SMU__t2f_Total_Bookings" localSheetId="4">#REF!</definedName>
    <definedName name="__1SMU__t2f_Total_Bookings">#REF!</definedName>
    <definedName name="__2_?" localSheetId="5">#REF!</definedName>
    <definedName name="__2_?" localSheetId="4">#REF!</definedName>
    <definedName name="__2_?">#REF!</definedName>
    <definedName name="__abs02" localSheetId="5">#REF!</definedName>
    <definedName name="__abs02" localSheetId="4">#REF!</definedName>
    <definedName name="__abs02">#REF!</definedName>
    <definedName name="__ABS08" localSheetId="5">#REF!</definedName>
    <definedName name="__ABS08" localSheetId="4">#REF!</definedName>
    <definedName name="__ABS08">#REF!</definedName>
    <definedName name="__ABS12" localSheetId="5">#REF!</definedName>
    <definedName name="__ABS12" localSheetId="4">#REF!</definedName>
    <definedName name="__ABS12">#REF!</definedName>
    <definedName name="__abs123" localSheetId="5">#REF!</definedName>
    <definedName name="__abs123" localSheetId="4">#REF!</definedName>
    <definedName name="__abs123">#REF!</definedName>
    <definedName name="__abs1253" localSheetId="5">#REF!</definedName>
    <definedName name="__abs1253" localSheetId="4">#REF!</definedName>
    <definedName name="__abs1253">#REF!</definedName>
    <definedName name="__ABS16" localSheetId="5">#REF!</definedName>
    <definedName name="__ABS16" localSheetId="4">#REF!</definedName>
    <definedName name="__ABS16">#REF!</definedName>
    <definedName name="__ABS269" localSheetId="5">#REF!</definedName>
    <definedName name="__ABS269" localSheetId="4">#REF!</definedName>
    <definedName name="__ABS269">#REF!</definedName>
    <definedName name="__abs28" localSheetId="5">#REF!</definedName>
    <definedName name="__abs28" localSheetId="4">#REF!</definedName>
    <definedName name="__abs28">#REF!</definedName>
    <definedName name="__acv456">[4]!PAGE_WIDTH</definedName>
    <definedName name="__acv457">[6]!PAGE_WIDTH</definedName>
    <definedName name="__aL06">'[12]Supplier List'!$A$2:$A$105</definedName>
    <definedName name="__awe122" localSheetId="5">#REF!</definedName>
    <definedName name="__awe122" localSheetId="4">#REF!</definedName>
    <definedName name="__awe122">#REF!</definedName>
    <definedName name="__fob0301" localSheetId="5">#REF!</definedName>
    <definedName name="__fob0301" localSheetId="4">#REF!</definedName>
    <definedName name="__fob0301">#REF!</definedName>
    <definedName name="__fob0302" localSheetId="5">#REF!</definedName>
    <definedName name="__fob0302" localSheetId="4">#REF!</definedName>
    <definedName name="__fob0302">#REF!</definedName>
    <definedName name="__fob0303" localSheetId="5">#REF!</definedName>
    <definedName name="__fob0303" localSheetId="4">#REF!</definedName>
    <definedName name="__fob0303">#REF!</definedName>
    <definedName name="__fob0304" localSheetId="5">#REF!</definedName>
    <definedName name="__fob0304" localSheetId="4">#REF!</definedName>
    <definedName name="__fob0304">#REF!</definedName>
    <definedName name="__fob0305" localSheetId="5">#REF!</definedName>
    <definedName name="__fob0305" localSheetId="4">#REF!</definedName>
    <definedName name="__fob0305">#REF!</definedName>
    <definedName name="__fob0306" localSheetId="5">#REF!</definedName>
    <definedName name="__fob0306" localSheetId="4">#REF!</definedName>
    <definedName name="__fob0306">#REF!</definedName>
    <definedName name="__fob0307" localSheetId="5">#REF!</definedName>
    <definedName name="__fob0307" localSheetId="4">#REF!</definedName>
    <definedName name="__fob0307">#REF!</definedName>
    <definedName name="__fob0308" localSheetId="5">#REF!</definedName>
    <definedName name="__fob0308" localSheetId="4">#REF!</definedName>
    <definedName name="__fob0308">#REF!</definedName>
    <definedName name="__fob0309" localSheetId="5">#REF!</definedName>
    <definedName name="__fob0309" localSheetId="4">#REF!</definedName>
    <definedName name="__fob0309">#REF!</definedName>
    <definedName name="__fob0310" localSheetId="5">#REF!</definedName>
    <definedName name="__fob0310" localSheetId="4">#REF!</definedName>
    <definedName name="__fob0310">#REF!</definedName>
    <definedName name="__fob0311" localSheetId="5">#REF!</definedName>
    <definedName name="__fob0311" localSheetId="4">#REF!</definedName>
    <definedName name="__fob0311">#REF!</definedName>
    <definedName name="__fob0312" localSheetId="5">#REF!</definedName>
    <definedName name="__fob0312" localSheetId="4">#REF!</definedName>
    <definedName name="__fob0312">#REF!</definedName>
    <definedName name="__fob0401">#N/A</definedName>
    <definedName name="__fob0402">#N/A</definedName>
    <definedName name="__fob0403">#N/A</definedName>
    <definedName name="__fob0404">#N/A</definedName>
    <definedName name="__fob0405">#N/A</definedName>
    <definedName name="__fob0406">#N/A</definedName>
    <definedName name="__fob0407">#N/A</definedName>
    <definedName name="__fob0408">#N/A</definedName>
    <definedName name="__fob0409">#N/A</definedName>
    <definedName name="__fob0410">#N/A</definedName>
    <definedName name="__fob0411">#N/A</definedName>
    <definedName name="__fob0412">#N/A</definedName>
    <definedName name="__IDA014" localSheetId="5">#REF!</definedName>
    <definedName name="__IDA014" localSheetId="4">#REF!</definedName>
    <definedName name="__IDA014">#REF!</definedName>
    <definedName name="__inv2" localSheetId="5">#REF!</definedName>
    <definedName name="__inv2" localSheetId="4">#REF!</definedName>
    <definedName name="__inv2">#REF!</definedName>
    <definedName name="__J1">[8]!直線55_Click</definedName>
    <definedName name="__jm5510" localSheetId="5">#REF!</definedName>
    <definedName name="__jm5510" localSheetId="4">#REF!</definedName>
    <definedName name="__jm5510">#REF!</definedName>
    <definedName name="__Key1" localSheetId="5">#REF!</definedName>
    <definedName name="__Key1" localSheetId="4">#REF!</definedName>
    <definedName name="__Key1">#REF!</definedName>
    <definedName name="__Key2" localSheetId="5">#REF!</definedName>
    <definedName name="__Key2" localSheetId="4">#REF!</definedName>
    <definedName name="__Key2">#REF!</definedName>
    <definedName name="__Key3" localSheetId="5">#REF!</definedName>
    <definedName name="__Key3" localSheetId="4">#REF!</definedName>
    <definedName name="__Key3">#REF!</definedName>
    <definedName name="__MAX61" localSheetId="5">#REF!</definedName>
    <definedName name="__MAX61" localSheetId="4">#REF!</definedName>
    <definedName name="__MAX61">#REF!</definedName>
    <definedName name="__mj5510">#N/A</definedName>
    <definedName name="__P71" hidden="1">39253.4473611111</definedName>
    <definedName name="__pr0301" localSheetId="5">#REF!</definedName>
    <definedName name="__pr0301" localSheetId="4">#REF!</definedName>
    <definedName name="__pr0301">#REF!</definedName>
    <definedName name="__pr0302" localSheetId="5">#REF!</definedName>
    <definedName name="__pr0302" localSheetId="4">#REF!</definedName>
    <definedName name="__pr0302">#REF!</definedName>
    <definedName name="__pr0303" localSheetId="5">#REF!</definedName>
    <definedName name="__pr0303" localSheetId="4">#REF!</definedName>
    <definedName name="__pr0303">#REF!</definedName>
    <definedName name="__pr0304" localSheetId="5">#REF!</definedName>
    <definedName name="__pr0304" localSheetId="4">#REF!</definedName>
    <definedName name="__pr0304">#REF!</definedName>
    <definedName name="__pr0305" localSheetId="5">#REF!</definedName>
    <definedName name="__pr0305" localSheetId="4">#REF!</definedName>
    <definedName name="__pr0305">#REF!</definedName>
    <definedName name="__pr0306" localSheetId="5">#REF!</definedName>
    <definedName name="__pr0306" localSheetId="4">#REF!</definedName>
    <definedName name="__pr0306">#REF!</definedName>
    <definedName name="__pr0307" localSheetId="5">#REF!</definedName>
    <definedName name="__pr0307" localSheetId="4">#REF!</definedName>
    <definedName name="__pr0307">#REF!</definedName>
    <definedName name="__pr0308" localSheetId="5">#REF!</definedName>
    <definedName name="__pr0308" localSheetId="4">#REF!</definedName>
    <definedName name="__pr0308">#REF!</definedName>
    <definedName name="__pr0309" localSheetId="5">#REF!</definedName>
    <definedName name="__pr0309" localSheetId="4">#REF!</definedName>
    <definedName name="__pr0309">#REF!</definedName>
    <definedName name="__pr0310" localSheetId="5">#REF!</definedName>
    <definedName name="__pr0310" localSheetId="4">#REF!</definedName>
    <definedName name="__pr0310">#REF!</definedName>
    <definedName name="__pr0311" localSheetId="5">#REF!</definedName>
    <definedName name="__pr0311" localSheetId="4">#REF!</definedName>
    <definedName name="__pr0311">#REF!</definedName>
    <definedName name="__pr0312" localSheetId="5">#REF!</definedName>
    <definedName name="__pr0312" localSheetId="4">#REF!</definedName>
    <definedName name="__pr0312">#REF!</definedName>
    <definedName name="__pr0401">#N/A</definedName>
    <definedName name="__pr0402">#N/A</definedName>
    <definedName name="__pr0403">#N/A</definedName>
    <definedName name="__pr0404">#N/A</definedName>
    <definedName name="__pr0405">#N/A</definedName>
    <definedName name="__pr0406">#N/A</definedName>
    <definedName name="__pr0407">#N/A</definedName>
    <definedName name="__pr0408">#N/A</definedName>
    <definedName name="__pr0409">#N/A</definedName>
    <definedName name="__pr0410">#N/A</definedName>
    <definedName name="__pr0411">#N/A</definedName>
    <definedName name="__pr0412">#N/A</definedName>
    <definedName name="__sdi2" localSheetId="5">#REF!</definedName>
    <definedName name="__sdi2" localSheetId="4">#REF!</definedName>
    <definedName name="__sdi2">#REF!</definedName>
    <definedName name="__SDI2222" localSheetId="5">#REF!</definedName>
    <definedName name="__SDI2222" localSheetId="4">#REF!</definedName>
    <definedName name="__SDI2222">#REF!</definedName>
    <definedName name="__sg1" localSheetId="5">#REF!</definedName>
    <definedName name="__sg1" localSheetId="4">#REF!</definedName>
    <definedName name="__sg1">#REF!</definedName>
    <definedName name="__VSL05">"'http://vtgw.t2group.co.kr/Jung%2520San%2520Team%2520Member%255CVT05%2520NOS%2520implementation%255CPlan%255CKE%2520HOACH%2520VSL05%25204%25205%25206%25207.xls'#$XL4Poppy.$C$39"</definedName>
    <definedName name="__xlnm.Print_Area_49">#N/A</definedName>
    <definedName name="__xlnm.Print_Area_56">#N/A</definedName>
    <definedName name="_1_____Excel_BuiltIn_Print_Area_4_1" localSheetId="5">#REF!</definedName>
    <definedName name="_1_____Excel_BuiltIn_Print_Area_4_1" localSheetId="4">#REF!</definedName>
    <definedName name="_1_____Excel_BuiltIn_Print_Area_4_1">#REF!</definedName>
    <definedName name="_1_Excel_BuiltIn_Print_Area_14_1" localSheetId="5">#REF!</definedName>
    <definedName name="_1_Excel_BuiltIn_Print_Area_14_1" localSheetId="4">#REF!</definedName>
    <definedName name="_1_Excel_BuiltIn_Print_Area_14_1">#REF!</definedName>
    <definedName name="_10_?" localSheetId="5">#REF!</definedName>
    <definedName name="_10_?" localSheetId="4">#REF!</definedName>
    <definedName name="_10_?">#REF!</definedName>
    <definedName name="_10__________SMU__t2f_Total_Bookings" localSheetId="5">#REF!</definedName>
    <definedName name="_10__________SMU__t2f_Total_Bookings" localSheetId="4">#REF!</definedName>
    <definedName name="_10__________SMU__t2f_Total_Bookings">#REF!</definedName>
    <definedName name="_10___SMU__t2f_Total_Bookings" localSheetId="5">#REF!</definedName>
    <definedName name="_10___SMU__t2f_Total_Bookings" localSheetId="4">#REF!</definedName>
    <definedName name="_10___SMU__t2f_Total_Bookings">#REF!</definedName>
    <definedName name="_10__Excel_BuiltIn_Print_Area_3_1_1_1_1_1_1_1">"$#REF!.$A$45:$M$67"</definedName>
    <definedName name="_102____________________________________SMU__t2f_Total_Bookings" localSheetId="5">#REF!</definedName>
    <definedName name="_102____________________________________SMU__t2f_Total_Bookings" localSheetId="4">#REF!</definedName>
    <definedName name="_102____________________________________SMU__t2f_Total_Bookings">#REF!</definedName>
    <definedName name="_105_____________________________________SMU__t2f_Total_Bookings" localSheetId="5">#REF!</definedName>
    <definedName name="_105_____________________________________SMU__t2f_Total_Bookings" localSheetId="4">#REF!</definedName>
    <definedName name="_105_____________________________________SMU__t2f_Total_Bookings">#REF!</definedName>
    <definedName name="_108______________________________________SMU__t2f_Total_Bookings" localSheetId="5">#REF!</definedName>
    <definedName name="_108______________________________________SMU__t2f_Total_Bookings" localSheetId="4">#REF!</definedName>
    <definedName name="_108______________________________________SMU__t2f_Total_Bookings">#REF!</definedName>
    <definedName name="_11___________SMU__t2f_Total_Bookings" localSheetId="5">#REF!</definedName>
    <definedName name="_11___________SMU__t2f_Total_Bookings" localSheetId="4">#REF!</definedName>
    <definedName name="_11___________SMU__t2f_Total_Bookings">#REF!</definedName>
    <definedName name="_11__Excel_BuiltIn_Print_Area_4_1" localSheetId="5">#REF!</definedName>
    <definedName name="_11__Excel_BuiltIn_Print_Area_4_1" localSheetId="4">#REF!</definedName>
    <definedName name="_11__Excel_BuiltIn_Print_Area_4_1">#REF!</definedName>
    <definedName name="_12__Excel_BuiltIn_Print_Area_5_1" localSheetId="5">#REF!</definedName>
    <definedName name="_12__Excel_BuiltIn_Print_Area_5_1" localSheetId="4">#REF!</definedName>
    <definedName name="_12__Excel_BuiltIn_Print_Area_5_1">#REF!</definedName>
    <definedName name="_12J1_">[8]!直線55_Click</definedName>
    <definedName name="_13__Excel_BuiltIn_Print_Area_8_1_1_1_1" localSheetId="5">#REF!</definedName>
    <definedName name="_13__Excel_BuiltIn_Print_Area_8_1_1_1_1" localSheetId="4">#REF!</definedName>
    <definedName name="_13__Excel_BuiltIn_Print_Area_8_1_1_1_1">#REF!</definedName>
    <definedName name="_14____SMU__t2f_Total_Bookings" localSheetId="5">#REF!</definedName>
    <definedName name="_14____SMU__t2f_Total_Bookings" localSheetId="4">#REF!</definedName>
    <definedName name="_14____SMU__t2f_Total_Bookings">#REF!</definedName>
    <definedName name="_14_Excel_BuiltIn_Print_Area_2_1_1" localSheetId="5">#REF!</definedName>
    <definedName name="_14_Excel_BuiltIn_Print_Area_2_1_1" localSheetId="4">#REF!</definedName>
    <definedName name="_14_Excel_BuiltIn_Print_Area_2_1_1">#REF!</definedName>
    <definedName name="_15_Excel_BuiltIn_Print_Area_3_1_1_1_1_1_1_1">"$#REF!.$A$45:$M$67"</definedName>
    <definedName name="_16_Excel_BuiltIn_Print_Area_8_1_1_1_1" localSheetId="5">#REF!</definedName>
    <definedName name="_16_Excel_BuiltIn_Print_Area_8_1_1_1_1" localSheetId="4">#REF!</definedName>
    <definedName name="_16_Excel_BuiltIn_Print_Area_8_1_1_1_1">#REF!</definedName>
    <definedName name="_18_____SMU__t2f_Total_Bookings" localSheetId="5">#REF!</definedName>
    <definedName name="_18_____SMU__t2f_Total_Bookings" localSheetId="4">#REF!</definedName>
    <definedName name="_18_____SMU__t2f_Total_Bookings">#REF!</definedName>
    <definedName name="_1Excel_BuiltIn_Print_Area_1_1_1_1" localSheetId="5">#REF!</definedName>
    <definedName name="_1Excel_BuiltIn_Print_Area_1_1_1_1" localSheetId="4">#REF!</definedName>
    <definedName name="_1Excel_BuiltIn_Print_Area_1_1_1_1">#REF!</definedName>
    <definedName name="_1Excel_BuiltIn_Print_Area_14_1" localSheetId="5">#REF!</definedName>
    <definedName name="_1Excel_BuiltIn_Print_Area_14_1" localSheetId="4">#REF!</definedName>
    <definedName name="_1Excel_BuiltIn_Print_Area_14_1">#REF!</definedName>
    <definedName name="_1SMU__t2f_Total_Bookings" localSheetId="5">#REF!</definedName>
    <definedName name="_1SMU__t2f_Total_Bookings" localSheetId="4">#REF!</definedName>
    <definedName name="_1SMU__t2f_Total_Bookings">#REF!</definedName>
    <definedName name="_2_?" localSheetId="5">#REF!</definedName>
    <definedName name="_2_?" localSheetId="4">#REF!</definedName>
    <definedName name="_2_?">#REF!</definedName>
    <definedName name="_2____Excel_BuiltIn_Print_Area_14_1" localSheetId="5">#REF!</definedName>
    <definedName name="_2____Excel_BuiltIn_Print_Area_14_1" localSheetId="4">#REF!</definedName>
    <definedName name="_2____Excel_BuiltIn_Print_Area_14_1">#REF!</definedName>
    <definedName name="_2_Excel_BuiltIn_Print_Area_4_1" localSheetId="5">#REF!</definedName>
    <definedName name="_2_Excel_BuiltIn_Print_Area_4_1" localSheetId="4">#REF!</definedName>
    <definedName name="_2_Excel_BuiltIn_Print_Area_4_1">#REF!</definedName>
    <definedName name="_22______SMU__t2f_Total_Bookings" localSheetId="5">#REF!</definedName>
    <definedName name="_22______SMU__t2f_Total_Bookings" localSheetId="4">#REF!</definedName>
    <definedName name="_22______SMU__t2f_Total_Bookings">#REF!</definedName>
    <definedName name="_26_______SMU__t2f_Total_Bookings" localSheetId="5">#REF!</definedName>
    <definedName name="_26_______SMU__t2f_Total_Bookings" localSheetId="4">#REF!</definedName>
    <definedName name="_26_______SMU__t2f_Total_Bookings">#REF!</definedName>
    <definedName name="_2Excel_BuiltIn_Print_Area_4_1" localSheetId="5">#REF!</definedName>
    <definedName name="_2Excel_BuiltIn_Print_Area_4_1" localSheetId="4">#REF!</definedName>
    <definedName name="_2Excel_BuiltIn_Print_Area_4_1">#REF!</definedName>
    <definedName name="_2Excel_BuiltIn_Print_Area_6_1_1_1_1_1">"$#REF!.$#REF!$#REF!:$#REF!$#REF!"</definedName>
    <definedName name="_3____Excel_BuiltIn_Print_Area_4_1" localSheetId="5">#REF!</definedName>
    <definedName name="_3____Excel_BuiltIn_Print_Area_4_1" localSheetId="4">#REF!</definedName>
    <definedName name="_3____Excel_BuiltIn_Print_Area_4_1">#REF!</definedName>
    <definedName name="_3___SMU__t2f_Total_Bookings" localSheetId="5">#REF!</definedName>
    <definedName name="_3___SMU__t2f_Total_Bookings" localSheetId="4">#REF!</definedName>
    <definedName name="_3___SMU__t2f_Total_Bookings">#REF!</definedName>
    <definedName name="_3_Excel_BuiltIn_Print_Area_5_1" localSheetId="5">#REF!</definedName>
    <definedName name="_3_Excel_BuiltIn_Print_Area_5_1" localSheetId="4">#REF!</definedName>
    <definedName name="_3_Excel_BuiltIn_Print_Area_5_1">#REF!</definedName>
    <definedName name="_30________SMU__t2f_Total_Bookings" localSheetId="5">#REF!</definedName>
    <definedName name="_30________SMU__t2f_Total_Bookings" localSheetId="4">#REF!</definedName>
    <definedName name="_30________SMU__t2f_Total_Bookings">#REF!</definedName>
    <definedName name="_34_________SMU__t2f_Total_Bookings" localSheetId="5">#REF!</definedName>
    <definedName name="_34_________SMU__t2f_Total_Bookings" localSheetId="4">#REF!</definedName>
    <definedName name="_34_________SMU__t2f_Total_Bookings">#REF!</definedName>
    <definedName name="_35__________SMU__t2f_Total_Bookings" localSheetId="5">#REF!</definedName>
    <definedName name="_35__________SMU__t2f_Total_Bookings" localSheetId="4">#REF!</definedName>
    <definedName name="_35__________SMU__t2f_Total_Bookings">#REF!</definedName>
    <definedName name="_36___________SMU__t2f_Total_Bookings" localSheetId="5">#REF!</definedName>
    <definedName name="_36___________SMU__t2f_Total_Bookings" localSheetId="4">#REF!</definedName>
    <definedName name="_36___________SMU__t2f_Total_Bookings">#REF!</definedName>
    <definedName name="_38____________SMU__t2f_Total_Bookings" localSheetId="5">#REF!</definedName>
    <definedName name="_38____________SMU__t2f_Total_Bookings" localSheetId="4">#REF!</definedName>
    <definedName name="_38____________SMU__t2f_Total_Bookings">#REF!</definedName>
    <definedName name="_3Excel_BuiltIn_Print_Area_5_1" localSheetId="5">#REF!</definedName>
    <definedName name="_3Excel_BuiltIn_Print_Area_5_1" localSheetId="4">#REF!</definedName>
    <definedName name="_3Excel_BuiltIn_Print_Area_5_1">#REF!</definedName>
    <definedName name="_3J1_">[8]!直線55_Click</definedName>
    <definedName name="_3SMU__t2f_Total_Bookings" localSheetId="5">#REF!</definedName>
    <definedName name="_3SMU__t2f_Total_Bookings" localSheetId="4">#REF!</definedName>
    <definedName name="_3SMU__t2f_Total_Bookings">#REF!</definedName>
    <definedName name="_4_?" localSheetId="5">#REF!</definedName>
    <definedName name="_4_?" localSheetId="4">#REF!</definedName>
    <definedName name="_4_?">#REF!</definedName>
    <definedName name="_4____Excel_BuiltIn_Print_Area_5_1" localSheetId="5">#REF!</definedName>
    <definedName name="_4____Excel_BuiltIn_Print_Area_5_1" localSheetId="4">#REF!</definedName>
    <definedName name="_4____Excel_BuiltIn_Print_Area_5_1">#REF!</definedName>
    <definedName name="_4____SMU__t2f_Total_Bookings" localSheetId="5">#REF!</definedName>
    <definedName name="_4____SMU__t2f_Total_Bookings" localSheetId="4">#REF!</definedName>
    <definedName name="_4____SMU__t2f_Total_Bookings">#REF!</definedName>
    <definedName name="_40_____________SMU__t2f_Total_Bookings" localSheetId="5">#REF!</definedName>
    <definedName name="_40_____________SMU__t2f_Total_Bookings" localSheetId="4">#REF!</definedName>
    <definedName name="_40_____________SMU__t2f_Total_Bookings">#REF!</definedName>
    <definedName name="_42______________SMU__t2f_Total_Bookings" localSheetId="5">#REF!</definedName>
    <definedName name="_42______________SMU__t2f_Total_Bookings" localSheetId="4">#REF!</definedName>
    <definedName name="_42______________SMU__t2f_Total_Bookings">#REF!</definedName>
    <definedName name="_44_______________SMU__t2f_Total_Bookings" localSheetId="5">#REF!</definedName>
    <definedName name="_44_______________SMU__t2f_Total_Bookings" localSheetId="4">#REF!</definedName>
    <definedName name="_44_______________SMU__t2f_Total_Bookings">#REF!</definedName>
    <definedName name="_46________________SMU__t2f_Total_Bookings" localSheetId="5">#REF!</definedName>
    <definedName name="_46________________SMU__t2f_Total_Bookings" localSheetId="4">#REF!</definedName>
    <definedName name="_46________________SMU__t2f_Total_Bookings">#REF!</definedName>
    <definedName name="_48_________________SMU__t2f_Total_Bookings" localSheetId="5">#REF!</definedName>
    <definedName name="_48_________________SMU__t2f_Total_Bookings" localSheetId="4">#REF!</definedName>
    <definedName name="_48_________________SMU__t2f_Total_Bookings">#REF!</definedName>
    <definedName name="_4Excel_BuiltIn_Print_Area_14_1" localSheetId="5">#REF!</definedName>
    <definedName name="_4Excel_BuiltIn_Print_Area_14_1" localSheetId="4">#REF!</definedName>
    <definedName name="_4Excel_BuiltIn_Print_Area_14_1">#REF!</definedName>
    <definedName name="_5_____SMU__t2f_Total_Bookings" localSheetId="5">#REF!</definedName>
    <definedName name="_5_____SMU__t2f_Total_Bookings" localSheetId="4">#REF!</definedName>
    <definedName name="_5_____SMU__t2f_Total_Bookings">#REF!</definedName>
    <definedName name="_5___Excel_BuiltIn_Print_Area_14_1" localSheetId="5">#REF!</definedName>
    <definedName name="_5___Excel_BuiltIn_Print_Area_14_1" localSheetId="4">#REF!</definedName>
    <definedName name="_5___Excel_BuiltIn_Print_Area_14_1">#REF!</definedName>
    <definedName name="_50__________________SMU__t2f_Total_Bookings" localSheetId="5">#REF!</definedName>
    <definedName name="_50__________________SMU__t2f_Total_Bookings" localSheetId="4">#REF!</definedName>
    <definedName name="_50__________________SMU__t2f_Total_Bookings">#REF!</definedName>
    <definedName name="_52___________________SMU__t2f_Total_Bookings" localSheetId="5">#REF!</definedName>
    <definedName name="_52___________________SMU__t2f_Total_Bookings" localSheetId="4">#REF!</definedName>
    <definedName name="_52___________________SMU__t2f_Total_Bookings">#REF!</definedName>
    <definedName name="_54____________________SMU__t2f_Total_Bookings" localSheetId="5">#REF!</definedName>
    <definedName name="_54____________________SMU__t2f_Total_Bookings" localSheetId="4">#REF!</definedName>
    <definedName name="_54____________________SMU__t2f_Total_Bookings">#REF!</definedName>
    <definedName name="_57_____________________SMU__t2f_Total_Bookings" localSheetId="5">#REF!</definedName>
    <definedName name="_57_____________________SMU__t2f_Total_Bookings" localSheetId="4">#REF!</definedName>
    <definedName name="_57_____________________SMU__t2f_Total_Bookings">#REF!</definedName>
    <definedName name="_5Excel_BuiltIn_Print_Area_2_1_1" localSheetId="5">#REF!</definedName>
    <definedName name="_5Excel_BuiltIn_Print_Area_2_1_1" localSheetId="4">#REF!</definedName>
    <definedName name="_5Excel_BuiltIn_Print_Area_2_1_1">#REF!</definedName>
    <definedName name="_5SMU__t2f_Total_Bookings" localSheetId="5">#REF!</definedName>
    <definedName name="_5SMU__t2f_Total_Bookings" localSheetId="4">#REF!</definedName>
    <definedName name="_5SMU__t2f_Total_Bookings">#REF!</definedName>
    <definedName name="_6______SMU__t2f_Total_Bookings" localSheetId="5">#REF!</definedName>
    <definedName name="_6______SMU__t2f_Total_Bookings" localSheetId="4">#REF!</definedName>
    <definedName name="_6______SMU__t2f_Total_Bookings">#REF!</definedName>
    <definedName name="_6___Excel_BuiltIn_Print_Area_4_1" localSheetId="5">#REF!</definedName>
    <definedName name="_6___Excel_BuiltIn_Print_Area_4_1" localSheetId="4">#REF!</definedName>
    <definedName name="_6___Excel_BuiltIn_Print_Area_4_1">#REF!</definedName>
    <definedName name="_60______________________SMU__t2f_Total_Bookings" localSheetId="5">#REF!</definedName>
    <definedName name="_60______________________SMU__t2f_Total_Bookings" localSheetId="4">#REF!</definedName>
    <definedName name="_60______________________SMU__t2f_Total_Bookings">#REF!</definedName>
    <definedName name="_63_______________________SMU__t2f_Total_Bookings" localSheetId="5">#REF!</definedName>
    <definedName name="_63_______________________SMU__t2f_Total_Bookings" localSheetId="4">#REF!</definedName>
    <definedName name="_63_______________________SMU__t2f_Total_Bookings">#REF!</definedName>
    <definedName name="_66________________________SMU__t2f_Total_Bookings" localSheetId="5">#REF!</definedName>
    <definedName name="_66________________________SMU__t2f_Total_Bookings" localSheetId="4">#REF!</definedName>
    <definedName name="_66________________________SMU__t2f_Total_Bookings">#REF!</definedName>
    <definedName name="_69_________________________SMU__t2f_Total_Bookings" localSheetId="5">#REF!</definedName>
    <definedName name="_69_________________________SMU__t2f_Total_Bookings" localSheetId="4">#REF!</definedName>
    <definedName name="_69_________________________SMU__t2f_Total_Bookings">#REF!</definedName>
    <definedName name="_6Excel_BuiltIn_Print_Area_3_1_1_1_1_1_1_1">"$#REF!.$A$45:$M$67"</definedName>
    <definedName name="_7_______SMU__t2f_Total_Bookings" localSheetId="5">#REF!</definedName>
    <definedName name="_7_______SMU__t2f_Total_Bookings" localSheetId="4">#REF!</definedName>
    <definedName name="_7_______SMU__t2f_Total_Bookings">#REF!</definedName>
    <definedName name="_7___Excel_BuiltIn_Print_Area_5_1" localSheetId="5">#REF!</definedName>
    <definedName name="_7___Excel_BuiltIn_Print_Area_5_1" localSheetId="4">#REF!</definedName>
    <definedName name="_7___Excel_BuiltIn_Print_Area_5_1">#REF!</definedName>
    <definedName name="_7__SMU__t2f_Total_Bookings" localSheetId="5">#REF!</definedName>
    <definedName name="_7__SMU__t2f_Total_Bookings" localSheetId="4">#REF!</definedName>
    <definedName name="_7__SMU__t2f_Total_Bookings">#REF!</definedName>
    <definedName name="_72__________________________SMU__t2f_Total_Bookings" localSheetId="5">#REF!</definedName>
    <definedName name="_72__________________________SMU__t2f_Total_Bookings" localSheetId="4">#REF!</definedName>
    <definedName name="_72__________________________SMU__t2f_Total_Bookings">#REF!</definedName>
    <definedName name="_75___________________________SMU__t2f_Total_Bookings" localSheetId="5">#REF!</definedName>
    <definedName name="_75___________________________SMU__t2f_Total_Bookings" localSheetId="4">#REF!</definedName>
    <definedName name="_75___________________________SMU__t2f_Total_Bookings">#REF!</definedName>
    <definedName name="_78____________________________SMU__t2f_Total_Bookings" localSheetId="5">#REF!</definedName>
    <definedName name="_78____________________________SMU__t2f_Total_Bookings" localSheetId="4">#REF!</definedName>
    <definedName name="_78____________________________SMU__t2f_Total_Bookings">#REF!</definedName>
    <definedName name="_7Excel_BuiltIn_Print_Area_4_1" localSheetId="5">#REF!</definedName>
    <definedName name="_7Excel_BuiltIn_Print_Area_4_1" localSheetId="4">#REF!</definedName>
    <definedName name="_7Excel_BuiltIn_Print_Area_4_1">#REF!</definedName>
    <definedName name="_8________SMU__t2f_Total_Bookings" localSheetId="5">#REF!</definedName>
    <definedName name="_8________SMU__t2f_Total_Bookings" localSheetId="4">#REF!</definedName>
    <definedName name="_8________SMU__t2f_Total_Bookings">#REF!</definedName>
    <definedName name="_8__Excel_BuiltIn_Print_Area_14_1" localSheetId="5">#REF!</definedName>
    <definedName name="_8__Excel_BuiltIn_Print_Area_14_1" localSheetId="4">#REF!</definedName>
    <definedName name="_8__Excel_BuiltIn_Print_Area_14_1">#REF!</definedName>
    <definedName name="_81_____________________________SMU__t2f_Total_Bookings" localSheetId="5">#REF!</definedName>
    <definedName name="_81_____________________________SMU__t2f_Total_Bookings" localSheetId="4">#REF!</definedName>
    <definedName name="_81_____________________________SMU__t2f_Total_Bookings">#REF!</definedName>
    <definedName name="_84______________________________SMU__t2f_Total_Bookings" localSheetId="5">#REF!</definedName>
    <definedName name="_84______________________________SMU__t2f_Total_Bookings" localSheetId="4">#REF!</definedName>
    <definedName name="_84______________________________SMU__t2f_Total_Bookings">#REF!</definedName>
    <definedName name="_87_______________________________SMU__t2f_Total_Bookings" localSheetId="5">#REF!</definedName>
    <definedName name="_87_______________________________SMU__t2f_Total_Bookings" localSheetId="4">#REF!</definedName>
    <definedName name="_87_______________________________SMU__t2f_Total_Bookings">#REF!</definedName>
    <definedName name="_8Excel_BuiltIn_Print_Area_5_1" localSheetId="5">#REF!</definedName>
    <definedName name="_8Excel_BuiltIn_Print_Area_5_1" localSheetId="4">#REF!</definedName>
    <definedName name="_8Excel_BuiltIn_Print_Area_5_1">#REF!</definedName>
    <definedName name="_9_________SMU__t2f_Total_Bookings" localSheetId="5">#REF!</definedName>
    <definedName name="_9_________SMU__t2f_Total_Bookings" localSheetId="4">#REF!</definedName>
    <definedName name="_9_________SMU__t2f_Total_Bookings">#REF!</definedName>
    <definedName name="_9__Excel_BuiltIn_Print_Area_2_1_1" localSheetId="5">#REF!</definedName>
    <definedName name="_9__Excel_BuiltIn_Print_Area_2_1_1" localSheetId="4">#REF!</definedName>
    <definedName name="_9__Excel_BuiltIn_Print_Area_2_1_1">#REF!</definedName>
    <definedName name="_90________________________________SMU__t2f_Total_Bookings" localSheetId="5">#REF!</definedName>
    <definedName name="_90________________________________SMU__t2f_Total_Bookings" localSheetId="4">#REF!</definedName>
    <definedName name="_90________________________________SMU__t2f_Total_Bookings">#REF!</definedName>
    <definedName name="_93_________________________________SMU__t2f_Total_Bookings" localSheetId="5">#REF!</definedName>
    <definedName name="_93_________________________________SMU__t2f_Total_Bookings" localSheetId="4">#REF!</definedName>
    <definedName name="_93_________________________________SMU__t2f_Total_Bookings">#REF!</definedName>
    <definedName name="_96__________________________________SMU__t2f_Total_Bookings" localSheetId="5">#REF!</definedName>
    <definedName name="_96__________________________________SMU__t2f_Total_Bookings" localSheetId="4">#REF!</definedName>
    <definedName name="_96__________________________________SMU__t2f_Total_Bookings">#REF!</definedName>
    <definedName name="_99___________________________________SMU__t2f_Total_Bookings" localSheetId="5">#REF!</definedName>
    <definedName name="_99___________________________________SMU__t2f_Total_Bookings" localSheetId="4">#REF!</definedName>
    <definedName name="_99___________________________________SMU__t2f_Total_Bookings">#REF!</definedName>
    <definedName name="_9Excel_BuiltIn_Print_Area_8_1_1_1_1" localSheetId="5">#REF!</definedName>
    <definedName name="_9Excel_BuiltIn_Print_Area_8_1_1_1_1" localSheetId="4">#REF!</definedName>
    <definedName name="_9Excel_BuiltIn_Print_Area_8_1_1_1_1">#REF!</definedName>
    <definedName name="_A" localSheetId="5">#REF!</definedName>
    <definedName name="_A" localSheetId="4">#REF!</definedName>
    <definedName name="_A">#REF!</definedName>
    <definedName name="_A_1">"$#REF!.$HG$1"</definedName>
    <definedName name="_A_5" localSheetId="5">#REF!</definedName>
    <definedName name="_A_5" localSheetId="4">#REF!</definedName>
    <definedName name="_A_5">#REF!</definedName>
    <definedName name="_A_8" localSheetId="5">#REF!</definedName>
    <definedName name="_A_8" localSheetId="4">#REF!</definedName>
    <definedName name="_A_8">#REF!</definedName>
    <definedName name="_abs02" localSheetId="5">#REF!</definedName>
    <definedName name="_abs02" localSheetId="4">#REF!</definedName>
    <definedName name="_abs02">#REF!</definedName>
    <definedName name="_ABS08" localSheetId="5">#REF!</definedName>
    <definedName name="_ABS08" localSheetId="4">#REF!</definedName>
    <definedName name="_ABS08">#REF!</definedName>
    <definedName name="_ABS12" localSheetId="5">#REF!</definedName>
    <definedName name="_ABS12" localSheetId="4">#REF!</definedName>
    <definedName name="_ABS12">#REF!</definedName>
    <definedName name="_abs123" localSheetId="5">#REF!</definedName>
    <definedName name="_abs123" localSheetId="4">#REF!</definedName>
    <definedName name="_abs123">#REF!</definedName>
    <definedName name="_abs1253" localSheetId="5">#REF!</definedName>
    <definedName name="_abs1253" localSheetId="4">#REF!</definedName>
    <definedName name="_abs1253">#REF!</definedName>
    <definedName name="_ABS16" localSheetId="5">#REF!</definedName>
    <definedName name="_ABS16" localSheetId="4">#REF!</definedName>
    <definedName name="_ABS16">#REF!</definedName>
    <definedName name="_ABS269" localSheetId="5">#REF!</definedName>
    <definedName name="_ABS269" localSheetId="4">#REF!</definedName>
    <definedName name="_ABS269">#REF!</definedName>
    <definedName name="_abs28" localSheetId="5">#REF!</definedName>
    <definedName name="_abs28" localSheetId="4">#REF!</definedName>
    <definedName name="_abs28">#REF!</definedName>
    <definedName name="_acv456">[14]!PAGE_WIDTH</definedName>
    <definedName name="_acv457">[4]!PAGE_WIDTH</definedName>
    <definedName name="_aL06">'[12]Supplier List'!$A$2:$A$105</definedName>
    <definedName name="_awe122" localSheetId="5">#REF!</definedName>
    <definedName name="_awe122" localSheetId="4">#REF!</definedName>
    <definedName name="_awe122">#REF!</definedName>
    <definedName name="_C" localSheetId="5">#REF!</definedName>
    <definedName name="_C" localSheetId="4">#REF!</definedName>
    <definedName name="_C">#REF!</definedName>
    <definedName name="_C_1">"$#REF!.$IV$8154"</definedName>
    <definedName name="_C_5" localSheetId="5">#REF!</definedName>
    <definedName name="_C_5" localSheetId="4">#REF!</definedName>
    <definedName name="_C_5">#REF!</definedName>
    <definedName name="_C_8" localSheetId="5">#REF!</definedName>
    <definedName name="_C_8" localSheetId="4">#REF!</definedName>
    <definedName name="_C_8">#REF!</definedName>
    <definedName name="_F" localSheetId="5">#REF!</definedName>
    <definedName name="_F" localSheetId="4">#REF!</definedName>
    <definedName name="_F">#REF!</definedName>
    <definedName name="_F_1">"$#REF!.$HG$#REF!"</definedName>
    <definedName name="_F_5" localSheetId="5">#REF!</definedName>
    <definedName name="_F_5" localSheetId="4">#REF!</definedName>
    <definedName name="_F_5">#REF!</definedName>
    <definedName name="_F_8" localSheetId="5">#REF!</definedName>
    <definedName name="_F_8" localSheetId="4">#REF!</definedName>
    <definedName name="_F_8">#REF!</definedName>
    <definedName name="_Fill" localSheetId="5" hidden="1">#REF!</definedName>
    <definedName name="_Fill" localSheetId="4" hidden="1">#REF!</definedName>
    <definedName name="_Fill" hidden="1">#REF!</definedName>
    <definedName name="_xlnm._FilterDatabase" hidden="1">[15]Sheet1!#REF!</definedName>
    <definedName name="_fob0301" localSheetId="5">#REF!</definedName>
    <definedName name="_fob0301" localSheetId="4">#REF!</definedName>
    <definedName name="_fob0301">#REF!</definedName>
    <definedName name="_fob0302" localSheetId="5">#REF!</definedName>
    <definedName name="_fob0302" localSheetId="4">#REF!</definedName>
    <definedName name="_fob0302">#REF!</definedName>
    <definedName name="_fob0303" localSheetId="5">#REF!</definedName>
    <definedName name="_fob0303" localSheetId="4">#REF!</definedName>
    <definedName name="_fob0303">#REF!</definedName>
    <definedName name="_fob0304" localSheetId="5">#REF!</definedName>
    <definedName name="_fob0304" localSheetId="4">#REF!</definedName>
    <definedName name="_fob0304">#REF!</definedName>
    <definedName name="_fob0305" localSheetId="5">#REF!</definedName>
    <definedName name="_fob0305" localSheetId="4">#REF!</definedName>
    <definedName name="_fob0305">#REF!</definedName>
    <definedName name="_fob0306" localSheetId="5">#REF!</definedName>
    <definedName name="_fob0306" localSheetId="4">#REF!</definedName>
    <definedName name="_fob0306">#REF!</definedName>
    <definedName name="_fob0307" localSheetId="5">#REF!</definedName>
    <definedName name="_fob0307" localSheetId="4">#REF!</definedName>
    <definedName name="_fob0307">#REF!</definedName>
    <definedName name="_fob0308" localSheetId="5">#REF!</definedName>
    <definedName name="_fob0308" localSheetId="4">#REF!</definedName>
    <definedName name="_fob0308">#REF!</definedName>
    <definedName name="_fob0309" localSheetId="5">#REF!</definedName>
    <definedName name="_fob0309" localSheetId="4">#REF!</definedName>
    <definedName name="_fob0309">#REF!</definedName>
    <definedName name="_fob0310" localSheetId="5">#REF!</definedName>
    <definedName name="_fob0310" localSheetId="4">#REF!</definedName>
    <definedName name="_fob0310">#REF!</definedName>
    <definedName name="_fob0311" localSheetId="5">#REF!</definedName>
    <definedName name="_fob0311" localSheetId="4">#REF!</definedName>
    <definedName name="_fob0311">#REF!</definedName>
    <definedName name="_fob0312" localSheetId="5">#REF!</definedName>
    <definedName name="_fob0312" localSheetId="4">#REF!</definedName>
    <definedName name="_fob0312">#REF!</definedName>
    <definedName name="_fob0401" localSheetId="5">#N/A</definedName>
    <definedName name="_fob0401" localSheetId="4">#REF!</definedName>
    <definedName name="_fob0401">#REF!</definedName>
    <definedName name="_fob0402" localSheetId="5">#N/A</definedName>
    <definedName name="_fob0402" localSheetId="4">#REF!</definedName>
    <definedName name="_fob0402">#REF!</definedName>
    <definedName name="_fob0403" localSheetId="5">#N/A</definedName>
    <definedName name="_fob0403" localSheetId="4">#REF!</definedName>
    <definedName name="_fob0403">#REF!</definedName>
    <definedName name="_fob0404" localSheetId="5">#N/A</definedName>
    <definedName name="_fob0404" localSheetId="4">#REF!</definedName>
    <definedName name="_fob0404">#REF!</definedName>
    <definedName name="_fob0405" localSheetId="5">#N/A</definedName>
    <definedName name="_fob0405" localSheetId="4">#REF!</definedName>
    <definedName name="_fob0405">#REF!</definedName>
    <definedName name="_fob0406" localSheetId="5">#N/A</definedName>
    <definedName name="_fob0406" localSheetId="4">#REF!</definedName>
    <definedName name="_fob0406">#REF!</definedName>
    <definedName name="_fob0407" localSheetId="5">#N/A</definedName>
    <definedName name="_fob0407" localSheetId="4">#REF!</definedName>
    <definedName name="_fob0407">#REF!</definedName>
    <definedName name="_fob0408" localSheetId="5">#N/A</definedName>
    <definedName name="_fob0408" localSheetId="4">#REF!</definedName>
    <definedName name="_fob0408">#REF!</definedName>
    <definedName name="_fob0409" localSheetId="5">#N/A</definedName>
    <definedName name="_fob0409" localSheetId="4">#REF!</definedName>
    <definedName name="_fob0409">#REF!</definedName>
    <definedName name="_fob0410" localSheetId="5">#N/A</definedName>
    <definedName name="_fob0410" localSheetId="4">#REF!</definedName>
    <definedName name="_fob0410">#REF!</definedName>
    <definedName name="_fob0411" localSheetId="5">#N/A</definedName>
    <definedName name="_fob0411" localSheetId="4">#REF!</definedName>
    <definedName name="_fob0411">#REF!</definedName>
    <definedName name="_fob0412" localSheetId="5">#N/A</definedName>
    <definedName name="_fob0412" localSheetId="4">#REF!</definedName>
    <definedName name="_fob0412">#REF!</definedName>
    <definedName name="_G" localSheetId="5">#REF!</definedName>
    <definedName name="_G" localSheetId="4">#REF!</definedName>
    <definedName name="_G">#REF!</definedName>
    <definedName name="_G_1">"$#REF!.$HG$7700"</definedName>
    <definedName name="_G_5" localSheetId="5">#REF!</definedName>
    <definedName name="_G_5" localSheetId="4">#REF!</definedName>
    <definedName name="_G_5">#REF!</definedName>
    <definedName name="_G_8" localSheetId="5">#REF!</definedName>
    <definedName name="_G_8" localSheetId="4">#REF!</definedName>
    <definedName name="_G_8">#REF!</definedName>
    <definedName name="_IDA014" localSheetId="5">#REF!</definedName>
    <definedName name="_IDA014" localSheetId="4">#REF!</definedName>
    <definedName name="_IDA014">#REF!</definedName>
    <definedName name="_inv2" localSheetId="5">#REF!</definedName>
    <definedName name="_inv2" localSheetId="4">#REF!</definedName>
    <definedName name="_inv2">#REF!</definedName>
    <definedName name="_J1">[16]!直線55_Click</definedName>
    <definedName name="_jm5510" localSheetId="5">#REF!</definedName>
    <definedName name="_jm5510" localSheetId="4">#REF!</definedName>
    <definedName name="_jm5510">#REF!</definedName>
    <definedName name="_k22" localSheetId="5">#REF!</definedName>
    <definedName name="_k22" localSheetId="4">#REF!</definedName>
    <definedName name="_k22">#REF!</definedName>
    <definedName name="_Key1" localSheetId="5">[13]Sheet1!#REF!</definedName>
    <definedName name="_Key1" localSheetId="4" hidden="1">#REF!</definedName>
    <definedName name="_Key1" hidden="1">#REF!</definedName>
    <definedName name="_Key2" localSheetId="5">[13]Sheet1!#REF!</definedName>
    <definedName name="_Key2" localSheetId="4" hidden="1">#REF!</definedName>
    <definedName name="_Key2" hidden="1">#REF!</definedName>
    <definedName name="_Key3">[13]Sheet1!#REF!</definedName>
    <definedName name="_LTD11">[5]!A_ANALYSIS</definedName>
    <definedName name="_MAX61" localSheetId="5">#REF!</definedName>
    <definedName name="_MAX61" localSheetId="4">#REF!</definedName>
    <definedName name="_MAX61">#REF!</definedName>
    <definedName name="_mj5510" localSheetId="5">#N/A</definedName>
    <definedName name="_mj5510" localSheetId="4">#REF!</definedName>
    <definedName name="_mj5510">#REF!</definedName>
    <definedName name="_Order1" hidden="1">0</definedName>
    <definedName name="_Order2" hidden="1">255</definedName>
    <definedName name="_P71" hidden="1">39253.4473611111</definedName>
    <definedName name="_pr0301" localSheetId="5">#REF!</definedName>
    <definedName name="_pr0301" localSheetId="4">#REF!</definedName>
    <definedName name="_pr0301">#REF!</definedName>
    <definedName name="_pr0302" localSheetId="5">#REF!</definedName>
    <definedName name="_pr0302" localSheetId="4">#REF!</definedName>
    <definedName name="_pr0302">#REF!</definedName>
    <definedName name="_pr0303" localSheetId="5">#REF!</definedName>
    <definedName name="_pr0303" localSheetId="4">#REF!</definedName>
    <definedName name="_pr0303">#REF!</definedName>
    <definedName name="_pr0304" localSheetId="5">#REF!</definedName>
    <definedName name="_pr0304" localSheetId="4">#REF!</definedName>
    <definedName name="_pr0304">#REF!</definedName>
    <definedName name="_pr0305" localSheetId="5">#REF!</definedName>
    <definedName name="_pr0305" localSheetId="4">#REF!</definedName>
    <definedName name="_pr0305">#REF!</definedName>
    <definedName name="_pr0306" localSheetId="5">#REF!</definedName>
    <definedName name="_pr0306" localSheetId="4">#REF!</definedName>
    <definedName name="_pr0306">#REF!</definedName>
    <definedName name="_pr0307" localSheetId="5">#REF!</definedName>
    <definedName name="_pr0307" localSheetId="4">#REF!</definedName>
    <definedName name="_pr0307">#REF!</definedName>
    <definedName name="_pr0308" localSheetId="5">#REF!</definedName>
    <definedName name="_pr0308" localSheetId="4">#REF!</definedName>
    <definedName name="_pr0308">#REF!</definedName>
    <definedName name="_pr0309" localSheetId="5">#REF!</definedName>
    <definedName name="_pr0309" localSheetId="4">#REF!</definedName>
    <definedName name="_pr0309">#REF!</definedName>
    <definedName name="_pr0310" localSheetId="5">#REF!</definedName>
    <definedName name="_pr0310" localSheetId="4">#REF!</definedName>
    <definedName name="_pr0310">#REF!</definedName>
    <definedName name="_pr0311" localSheetId="5">#REF!</definedName>
    <definedName name="_pr0311" localSheetId="4">#REF!</definedName>
    <definedName name="_pr0311">#REF!</definedName>
    <definedName name="_pr0312" localSheetId="5">#REF!</definedName>
    <definedName name="_pr0312" localSheetId="4">#REF!</definedName>
    <definedName name="_pr0312">#REF!</definedName>
    <definedName name="_pr0401" localSheetId="5">#N/A</definedName>
    <definedName name="_pr0401" localSheetId="4">#REF!</definedName>
    <definedName name="_pr0401">#REF!</definedName>
    <definedName name="_pr0402" localSheetId="5">#N/A</definedName>
    <definedName name="_pr0402" localSheetId="4">#REF!</definedName>
    <definedName name="_pr0402">#REF!</definedName>
    <definedName name="_pr0403" localSheetId="5">#N/A</definedName>
    <definedName name="_pr0403" localSheetId="4">#REF!</definedName>
    <definedName name="_pr0403">#REF!</definedName>
    <definedName name="_pr0404" localSheetId="5">#N/A</definedName>
    <definedName name="_pr0404" localSheetId="4">#REF!</definedName>
    <definedName name="_pr0404">#REF!</definedName>
    <definedName name="_pr0405" localSheetId="5">#N/A</definedName>
    <definedName name="_pr0405" localSheetId="4">#REF!</definedName>
    <definedName name="_pr0405">#REF!</definedName>
    <definedName name="_pr0406" localSheetId="5">#N/A</definedName>
    <definedName name="_pr0406" localSheetId="4">#REF!</definedName>
    <definedName name="_pr0406">#REF!</definedName>
    <definedName name="_pr0407" localSheetId="5">#N/A</definedName>
    <definedName name="_pr0407" localSheetId="4">#REF!</definedName>
    <definedName name="_pr0407">#REF!</definedName>
    <definedName name="_pr0408" localSheetId="5">#N/A</definedName>
    <definedName name="_pr0408" localSheetId="4">#REF!</definedName>
    <definedName name="_pr0408">#REF!</definedName>
    <definedName name="_pr0409" localSheetId="5">#N/A</definedName>
    <definedName name="_pr0409" localSheetId="4">#REF!</definedName>
    <definedName name="_pr0409">#REF!</definedName>
    <definedName name="_pr0410" localSheetId="5">#N/A</definedName>
    <definedName name="_pr0410" localSheetId="4">#REF!</definedName>
    <definedName name="_pr0410">#REF!</definedName>
    <definedName name="_pr0411" localSheetId="5">#N/A</definedName>
    <definedName name="_pr0411" localSheetId="4">#REF!</definedName>
    <definedName name="_pr0411">#REF!</definedName>
    <definedName name="_pr0412" localSheetId="5">#N/A</definedName>
    <definedName name="_pr0412" localSheetId="4">#REF!</definedName>
    <definedName name="_pr0412">#REF!</definedName>
    <definedName name="_Q" localSheetId="5">#REF!</definedName>
    <definedName name="_Q" localSheetId="4">#REF!</definedName>
    <definedName name="_Q">#REF!</definedName>
    <definedName name="_Q_1">"$#REF!.$IV$8154"</definedName>
    <definedName name="_Q_5" localSheetId="5">#REF!</definedName>
    <definedName name="_Q_5" localSheetId="4">#REF!</definedName>
    <definedName name="_Q_5">#REF!</definedName>
    <definedName name="_Q_8" localSheetId="5">#REF!</definedName>
    <definedName name="_Q_8" localSheetId="4">#REF!</definedName>
    <definedName name="_Q_8">#REF!</definedName>
    <definedName name="_sdi2" localSheetId="5">#REF!</definedName>
    <definedName name="_sdi2" localSheetId="4">#REF!</definedName>
    <definedName name="_sdi2">#REF!</definedName>
    <definedName name="_SDI2222" localSheetId="5">#REF!</definedName>
    <definedName name="_SDI2222" localSheetId="4">#REF!</definedName>
    <definedName name="_SDI2222">#REF!</definedName>
    <definedName name="_sg1" localSheetId="5">#REF!</definedName>
    <definedName name="_sg1" localSheetId="4">#REF!</definedName>
    <definedName name="_sg1">#REF!</definedName>
    <definedName name="_SMU__t2f_Total_Bookings" localSheetId="5">#N/A</definedName>
    <definedName name="_SMU__t2f_Total_Bookings" localSheetId="4">#REF!</definedName>
    <definedName name="_SMU__t2f_Total_Bookings">#REF!</definedName>
    <definedName name="_Sort" localSheetId="5" hidden="1">#REF!</definedName>
    <definedName name="_Sort" localSheetId="4" hidden="1">#REF!</definedName>
    <definedName name="_Sort" hidden="1">#REF!</definedName>
    <definedName name="_TY14" localSheetId="5" xml:space="preserve"> IF(#REF! = "", "",#REF!)</definedName>
    <definedName name="_TY14" localSheetId="4">IF(#REF!="","",#REF!)</definedName>
    <definedName name="_TY14">IF(#REF!="","",#REF!)</definedName>
    <definedName name="_VSL05">"'http://vtgw.t2group.co.kr/Jung%2520San%2520Team%2520Member%255CVT05%2520NOS%2520implementation%255CPlan%255CKE%2520HOACH%2520VSL05%25204%25205%25206%25207.xls'#$XL4Poppy.$C$39"</definedName>
    <definedName name="_Z" localSheetId="5">#REF!</definedName>
    <definedName name="_Z" localSheetId="4">#REF!</definedName>
    <definedName name="_Z">#REF!</definedName>
    <definedName name="_Z_1">"$#REF!.$HG$3"</definedName>
    <definedName name="_Z_5" localSheetId="5">#REF!</definedName>
    <definedName name="_Z_5" localSheetId="4">#REF!</definedName>
    <definedName name="_Z_5">#REF!</definedName>
    <definedName name="_Z_8" localSheetId="5">#REF!</definedName>
    <definedName name="_Z_8" localSheetId="4">#REF!</definedName>
    <definedName name="_Z_8">#REF!</definedName>
    <definedName name="_查詢1" localSheetId="5">#REF!</definedName>
    <definedName name="_查詢1" localSheetId="4">#REF!</definedName>
    <definedName name="_查詢1">#REF!</definedName>
    <definedName name="_查询1" localSheetId="5">#REF!</definedName>
    <definedName name="_查询1" localSheetId="4">#REF!</definedName>
    <definedName name="_查询1">#REF!</definedName>
    <definedName name="A" localSheetId="5">#REF!</definedName>
    <definedName name="A" localSheetId="4">#REF!</definedName>
    <definedName name="A">#REF!</definedName>
    <definedName name="a??u55_Click">[17]!a??u55_Click</definedName>
    <definedName name="a??u55_Click_5">"'smb://Walter/upper/TECH/MERRY/178049A.XLS'#a??u55_Click"</definedName>
    <definedName name="a??u55_Click_8">"'smb://Walter/upper/TECH/MERRY/178049A.XLS'#a??u55_Click"</definedName>
    <definedName name="A_5" localSheetId="5">#REF!</definedName>
    <definedName name="A_5" localSheetId="4">#REF!</definedName>
    <definedName name="A_5">#REF!</definedName>
    <definedName name="A_8" localSheetId="5">#REF!</definedName>
    <definedName name="A_8" localSheetId="4">#REF!</definedName>
    <definedName name="A_8">#REF!</definedName>
    <definedName name="A_ANALYSIS">[18]!A_ANALYSIS</definedName>
    <definedName name="A_ANALYSIS_12">NA()</definedName>
    <definedName name="A_ANALYSIS_12_5">NA()</definedName>
    <definedName name="A_ANALYSIS_12_8">NA()</definedName>
    <definedName name="A_ANALYSIS_13">NA()</definedName>
    <definedName name="A_ANALYSIS_13_5">NA()</definedName>
    <definedName name="A_ANALYSIS_13_8">NA()</definedName>
    <definedName name="A_ANALYSIS_14">NA()</definedName>
    <definedName name="A_ANALYSIS_14_5">NA()</definedName>
    <definedName name="A_ANALYSIS_14_8">NA()</definedName>
    <definedName name="A_ANALYSIS_3">#N/A</definedName>
    <definedName name="A_ANALYSIS_4">#N/A</definedName>
    <definedName name="A_ANALYSIS_42">#N/A</definedName>
    <definedName name="A_ANALYSIS_49">#N/A</definedName>
    <definedName name="A_ANALYSIS_5">"'smb://Ujang/mst/My%252520Documents/spec/MST/TERRA%252520SEBEC%2525205%252520ZIP/GS/My%252520Documents/new%252520CSS%252520PU%252520form(95).xls'#A_ANALYSIS"</definedName>
    <definedName name="A_ANALYSIS_6">NA()</definedName>
    <definedName name="A_ANALYSIS_6_5">NA()</definedName>
    <definedName name="A_ANALYSIS_6_8">NA()</definedName>
    <definedName name="A_ANALYSIS_7">NA()</definedName>
    <definedName name="A_ANALYSIS_7_5">NA()</definedName>
    <definedName name="A_ANALYSIS_7_8">NA()</definedName>
    <definedName name="A_ANALYSIS_8">"'smb://Ujang/mst/My%2520Documents/spec/MST/TERRA%2520SEBEC%25205%2520ZIP/GS/My%2520Documents/new%2520CSS%2520PU%2520form(95).xls'#A_ANALYSIS"</definedName>
    <definedName name="A_ANALYSIS_8_5">NA()</definedName>
    <definedName name="A_ANALYSIS_8_8">NA()</definedName>
    <definedName name="A_HARDNESS">[18]!A_HARDNESS</definedName>
    <definedName name="A_HARDNESS_12">NA()</definedName>
    <definedName name="A_HARDNESS_12_5">NA()</definedName>
    <definedName name="A_HARDNESS_12_8">NA()</definedName>
    <definedName name="A_HARDNESS_13">NA()</definedName>
    <definedName name="A_HARDNESS_13_5">NA()</definedName>
    <definedName name="A_HARDNESS_13_8">NA()</definedName>
    <definedName name="A_HARDNESS_14">NA()</definedName>
    <definedName name="A_HARDNESS_14_5">NA()</definedName>
    <definedName name="A_HARDNESS_14_8">NA()</definedName>
    <definedName name="A_HARDNESS_3">#N/A</definedName>
    <definedName name="A_HARDNESS_4">#N/A</definedName>
    <definedName name="A_HARDNESS_42">#N/A</definedName>
    <definedName name="A_HARDNESS_49">#N/A</definedName>
    <definedName name="A_HARDNESS_5">"'smb://Ujang/mst/My%252520Documents/spec/MST/TERRA%252520SEBEC%2525205%252520ZIP/GS/My%252520Documents/new%252520CSS%252520PU%252520form(95).xls'#A_HARDNESS"</definedName>
    <definedName name="A_HARDNESS_6">NA()</definedName>
    <definedName name="A_HARDNESS_6_5">NA()</definedName>
    <definedName name="A_HARDNESS_6_8">NA()</definedName>
    <definedName name="A_HARDNESS_7">NA()</definedName>
    <definedName name="A_HARDNESS_7_5">NA()</definedName>
    <definedName name="A_HARDNESS_7_8">NA()</definedName>
    <definedName name="A_HARDNESS_8">"'smb://Ujang/mst/My%2520Documents/spec/MST/TERRA%2520SEBEC%25205%2520ZIP/GS/My%2520Documents/new%2520CSS%2520PU%2520form(95).xls'#A_HARDNESS"</definedName>
    <definedName name="A_HARDNESS_8_5">NA()</definedName>
    <definedName name="A_HARDNESS_8_8">NA()</definedName>
    <definedName name="A_SG">[18]!A_SG</definedName>
    <definedName name="A_SG_12">NA()</definedName>
    <definedName name="A_SG_12_5">NA()</definedName>
    <definedName name="A_SG_12_8">NA()</definedName>
    <definedName name="A_SG_13">NA()</definedName>
    <definedName name="A_SG_13_5">NA()</definedName>
    <definedName name="A_SG_13_8">NA()</definedName>
    <definedName name="A_SG_14">NA()</definedName>
    <definedName name="A_SG_14_5">NA()</definedName>
    <definedName name="A_SG_14_8">NA()</definedName>
    <definedName name="A_SG_3">#N/A</definedName>
    <definedName name="A_SG_4">#N/A</definedName>
    <definedName name="A_SG_42">#N/A</definedName>
    <definedName name="A_SG_49">#N/A</definedName>
    <definedName name="A_SG_5">"'smb://Ujang/mst/My%252520Documents/spec/MST/TERRA%252520SEBEC%2525205%252520ZIP/GS/My%252520Documents/new%252520CSS%252520PU%252520form(95).xls'#A_SG"</definedName>
    <definedName name="A_SG_6">NA()</definedName>
    <definedName name="A_SG_6_5">NA()</definedName>
    <definedName name="A_SG_6_8">NA()</definedName>
    <definedName name="A_SG_7">NA()</definedName>
    <definedName name="A_SG_7_5">NA()</definedName>
    <definedName name="A_SG_7_8">NA()</definedName>
    <definedName name="A_SG_8">"'smb://Ujang/mst/My%2520Documents/spec/MST/TERRA%2520SEBEC%25205%2520ZIP/GS/My%2520Documents/new%2520CSS%2520PU%2520form(95).xls'#A_SG"</definedName>
    <definedName name="A_SG_8_5">NA()</definedName>
    <definedName name="A_SG_8_8">NA()</definedName>
    <definedName name="A_VOLUME">[18]!A_VOLUME</definedName>
    <definedName name="A_VOLUME_12">NA()</definedName>
    <definedName name="A_VOLUME_12_5">NA()</definedName>
    <definedName name="A_VOLUME_12_8">NA()</definedName>
    <definedName name="A_VOLUME_13">NA()</definedName>
    <definedName name="A_VOLUME_13_5">NA()</definedName>
    <definedName name="A_VOLUME_13_8">NA()</definedName>
    <definedName name="A_VOLUME_14">NA()</definedName>
    <definedName name="A_VOLUME_14_5">NA()</definedName>
    <definedName name="A_VOLUME_14_8">NA()</definedName>
    <definedName name="A_VOLUME_3">#N/A</definedName>
    <definedName name="A_VOLUME_4">#N/A</definedName>
    <definedName name="A_VOLUME_42">#N/A</definedName>
    <definedName name="A_VOLUME_49">#N/A</definedName>
    <definedName name="A_VOLUME_5">"'smb://Ujang/mst/My%252520Documents/spec/MST/TERRA%252520SEBEC%2525205%252520ZIP/GS/My%252520Documents/new%252520CSS%252520PU%252520form(95).xls'#A_VOLUME"</definedName>
    <definedName name="A_VOLUME_6">NA()</definedName>
    <definedName name="A_VOLUME_6_5">NA()</definedName>
    <definedName name="A_VOLUME_6_8">NA()</definedName>
    <definedName name="A_VOLUME_7">NA()</definedName>
    <definedName name="A_VOLUME_7_5">NA()</definedName>
    <definedName name="A_VOLUME_7_8">NA()</definedName>
    <definedName name="A_VOLUME_8">"'smb://Ujang/mst/My%2520Documents/spec/MST/TERRA%2520SEBEC%25205%2520ZIP/GS/My%2520Documents/new%2520CSS%2520PU%2520form(95).xls'#A_VOLUME"</definedName>
    <definedName name="A_VOLUME_8_5">NA()</definedName>
    <definedName name="A_VOLUME_8_8">NA()</definedName>
    <definedName name="A_WEIGHTS">[18]!A_WEIGHTS</definedName>
    <definedName name="A_WEIGHTS_12">NA()</definedName>
    <definedName name="A_WEIGHTS_12_5">NA()</definedName>
    <definedName name="A_WEIGHTS_12_8">NA()</definedName>
    <definedName name="A_WEIGHTS_13">NA()</definedName>
    <definedName name="A_WEIGHTS_13_5">NA()</definedName>
    <definedName name="A_WEIGHTS_13_8">NA()</definedName>
    <definedName name="A_WEIGHTS_14">NA()</definedName>
    <definedName name="A_WEIGHTS_14_5">NA()</definedName>
    <definedName name="A_WEIGHTS_14_8">NA()</definedName>
    <definedName name="A_WEIGHTS_3">#N/A</definedName>
    <definedName name="A_WEIGHTS_4">#N/A</definedName>
    <definedName name="A_WEIGHTS_42">#N/A</definedName>
    <definedName name="A_WEIGHTS_49">#N/A</definedName>
    <definedName name="A_WEIGHTS_5">"'smb://Ujang/mst/My%252520Documents/spec/MST/TERRA%252520SEBEC%2525205%252520ZIP/GS/My%252520Documents/new%252520CSS%252520PU%252520form(95).xls'#A_WEIGHTS"</definedName>
    <definedName name="A_WEIGHTS_6">NA()</definedName>
    <definedName name="A_WEIGHTS_6_5">NA()</definedName>
    <definedName name="A_WEIGHTS_6_8">NA()</definedName>
    <definedName name="A_WEIGHTS_7">NA()</definedName>
    <definedName name="A_WEIGHTS_7_5">NA()</definedName>
    <definedName name="A_WEIGHTS_7_8">NA()</definedName>
    <definedName name="A_WEIGHTS_8">"'smb://Ujang/mst/My%2520Documents/spec/MST/TERRA%2520SEBEC%25205%2520ZIP/GS/My%2520Documents/new%2520CSS%2520PU%2520form(95).xls'#A_WEIGHTS"</definedName>
    <definedName name="A_WEIGHTS_8_5">NA()</definedName>
    <definedName name="A_WEIGHTS_8_8">NA()</definedName>
    <definedName name="A4PAPER">[18]!A4PAPER</definedName>
    <definedName name="A4PAPER_12">NA()</definedName>
    <definedName name="A4PAPER_12_5">NA()</definedName>
    <definedName name="A4PAPER_12_8">NA()</definedName>
    <definedName name="A4PAPER_13">NA()</definedName>
    <definedName name="A4PAPER_13_5">NA()</definedName>
    <definedName name="A4PAPER_13_8">NA()</definedName>
    <definedName name="A4PAPER_14">NA()</definedName>
    <definedName name="A4PAPER_14_5">NA()</definedName>
    <definedName name="A4PAPER_14_8">NA()</definedName>
    <definedName name="A4PAPER_3">#N/A</definedName>
    <definedName name="A4PAPER_4">#N/A</definedName>
    <definedName name="A4PAPER_42">#N/A</definedName>
    <definedName name="A4PAPER_49">#N/A</definedName>
    <definedName name="A4PAPER_5">"'smb://Ujang/mst/My%252520Documents/spec/MST/TERRA%252520SEBEC%2525205%252520ZIP/GS/My%252520Documents/new%252520CSS%252520PU%252520form(95).xls'#A4PAPER"</definedName>
    <definedName name="A4PAPER_6">NA()</definedName>
    <definedName name="A4PAPER_6_5">NA()</definedName>
    <definedName name="A4PAPER_6_8">NA()</definedName>
    <definedName name="A4PAPER_7">NA()</definedName>
    <definedName name="A4PAPER_7_5">NA()</definedName>
    <definedName name="A4PAPER_7_8">NA()</definedName>
    <definedName name="A4PAPER_8">"'smb://Ujang/mst/My%2520Documents/spec/MST/TERRA%2520SEBEC%25205%2520ZIP/GS/My%2520Documents/new%2520CSS%2520PU%2520form(95).xls'#A4PAPER"</definedName>
    <definedName name="A4PAPER_8_5">NA()</definedName>
    <definedName name="A4PAPER_8_8">NA()</definedName>
    <definedName name="aa" localSheetId="5">#REF!</definedName>
    <definedName name="aa" localSheetId="4">#REF!</definedName>
    <definedName name="aa">#REF!</definedName>
    <definedName name="aa_5" localSheetId="5">#REF!</definedName>
    <definedName name="aa_5" localSheetId="4">#REF!</definedName>
    <definedName name="aa_5">#REF!</definedName>
    <definedName name="aa_8" localSheetId="5">#REF!</definedName>
    <definedName name="aa_8" localSheetId="4">#REF!</definedName>
    <definedName name="aa_8">#REF!</definedName>
    <definedName name="aaa" localSheetId="5">#REF!</definedName>
    <definedName name="aaa" localSheetId="4">#REF!</definedName>
    <definedName name="aaa">#REF!</definedName>
    <definedName name="aaa." localSheetId="5">#REF!</definedName>
    <definedName name="aaa." localSheetId="4">#REF!</definedName>
    <definedName name="aaa.">#REF!</definedName>
    <definedName name="aaaa" localSheetId="5">#REF!</definedName>
    <definedName name="aaaa" localSheetId="4">#REF!</definedName>
    <definedName name="aaaa">#REF!</definedName>
    <definedName name="aaaaa" localSheetId="5">#REF!</definedName>
    <definedName name="aaaaa" localSheetId="4">#REF!</definedName>
    <definedName name="aaaaa">#REF!</definedName>
    <definedName name="aaaaaa" localSheetId="5">#REF!</definedName>
    <definedName name="aaaaaa" localSheetId="4">#REF!</definedName>
    <definedName name="aaaaaa">#REF!</definedName>
    <definedName name="aaaaaaa" localSheetId="5">#REF!</definedName>
    <definedName name="aaaaaaa" localSheetId="4">#REF!</definedName>
    <definedName name="aaaaaaa">#REF!</definedName>
    <definedName name="AAAAAAAAAA" localSheetId="5">#REF!</definedName>
    <definedName name="AAAAAAAAAA" localSheetId="4">#REF!</definedName>
    <definedName name="AAAAAAAAAA">#REF!</definedName>
    <definedName name="AAAAAAAAAAA" localSheetId="5">#REF!</definedName>
    <definedName name="AAAAAAAAAAA" localSheetId="4">#REF!</definedName>
    <definedName name="AAAAAAAAAAA">#REF!</definedName>
    <definedName name="aaabbb" localSheetId="5">#REF!</definedName>
    <definedName name="aaabbb" localSheetId="4">#REF!</definedName>
    <definedName name="aaabbb">#REF!</definedName>
    <definedName name="ab">'[19]Upper Cutting Schedules (8)'!A4PAPER</definedName>
    <definedName name="ab_4">#N/A</definedName>
    <definedName name="ab_42">#N/A</definedName>
    <definedName name="ab_49">#N/A</definedName>
    <definedName name="ab_5">"'smb://Ayu/MY%252520DOCUMENTS/My%252520Documents/new%252520CSS%252520PU%252520form(95).xls'#A4PAPER"</definedName>
    <definedName name="ab_8">"'smb://Ayu/MY%2520DOCUMENTS/My%2520Documents/new%2520CSS%2520PU%2520form(95).xls'#A4PAPER"</definedName>
    <definedName name="abc" localSheetId="5">#REF!</definedName>
    <definedName name="abc" localSheetId="4">#REF!</definedName>
    <definedName name="abc">#REF!</definedName>
    <definedName name="ABDSN" localSheetId="5">#REF!</definedName>
    <definedName name="ABDSN" localSheetId="4">#REF!</definedName>
    <definedName name="ABDSN">#REF!</definedName>
    <definedName name="abg" localSheetId="5">#REF!</definedName>
    <definedName name="abg" localSheetId="4">#REF!</definedName>
    <definedName name="abg">#REF!</definedName>
    <definedName name="ABNSIDA.." localSheetId="5">#REF!</definedName>
    <definedName name="ABNSIDA.." localSheetId="4">#REF!</definedName>
    <definedName name="ABNSIDA..">#REF!</definedName>
    <definedName name="ABS" localSheetId="5">#REF!</definedName>
    <definedName name="ABS" localSheetId="4">#REF!</definedName>
    <definedName name="ABS">#REF!</definedName>
    <definedName name="ABSD" localSheetId="5">#REF!</definedName>
    <definedName name="ABSD" localSheetId="4">#REF!</definedName>
    <definedName name="ABSD">#REF!</definedName>
    <definedName name="absda" localSheetId="5">#REF!</definedName>
    <definedName name="absda" localSheetId="4">#REF!</definedName>
    <definedName name="absda">#REF!</definedName>
    <definedName name="ABSDG" localSheetId="5">#REF!</definedName>
    <definedName name="ABSDG" localSheetId="4">#REF!</definedName>
    <definedName name="ABSDG">#REF!</definedName>
    <definedName name="ABSEN" localSheetId="5">#REF!</definedName>
    <definedName name="ABSEN" localSheetId="4">#REF!</definedName>
    <definedName name="ABSEN">#REF!</definedName>
    <definedName name="absen12345" localSheetId="5">#REF!</definedName>
    <definedName name="absen12345" localSheetId="4">#REF!</definedName>
    <definedName name="absen12345">#REF!</definedName>
    <definedName name="absen279" localSheetId="5">#REF!</definedName>
    <definedName name="absen279" localSheetId="4">#REF!</definedName>
    <definedName name="absen279">#REF!</definedName>
    <definedName name="absenayu" localSheetId="5">#REF!</definedName>
    <definedName name="absenayu" localSheetId="4">#REF!</definedName>
    <definedName name="absenayu">#REF!</definedName>
    <definedName name="absencut" localSheetId="5">#REF!</definedName>
    <definedName name="absencut" localSheetId="4">#REF!</definedName>
    <definedName name="absencut">#REF!</definedName>
    <definedName name="ABSENF" localSheetId="5">#REF!</definedName>
    <definedName name="ABSENF" localSheetId="4">#REF!</definedName>
    <definedName name="ABSENF">#REF!</definedName>
    <definedName name="absenfantasi" localSheetId="5">#REF!</definedName>
    <definedName name="absenfantasi" localSheetId="4">#REF!</definedName>
    <definedName name="absenfantasi">#REF!</definedName>
    <definedName name="ABSENFF" localSheetId="5">#REF!</definedName>
    <definedName name="ABSENFF" localSheetId="4">#REF!</definedName>
    <definedName name="ABSENFF">#REF!</definedName>
    <definedName name="ABSENIDA" localSheetId="5">#REF!</definedName>
    <definedName name="ABSENIDA" localSheetId="4">#REF!</definedName>
    <definedName name="ABSENIDA">#REF!</definedName>
    <definedName name="absennnnnn" localSheetId="5">#REF!</definedName>
    <definedName name="absennnnnn" localSheetId="4">#REF!</definedName>
    <definedName name="absennnnnn">#REF!</definedName>
    <definedName name="ABSENSD" localSheetId="5">#REF!</definedName>
    <definedName name="ABSENSD" localSheetId="4">#REF!</definedName>
    <definedName name="ABSENSD">#REF!</definedName>
    <definedName name="ABSENSDI" localSheetId="5">#REF!</definedName>
    <definedName name="ABSENSDI" localSheetId="4">#REF!</definedName>
    <definedName name="ABSENSDI">#REF!</definedName>
    <definedName name="absensdi2" localSheetId="5">#REF!</definedName>
    <definedName name="absensdi2" localSheetId="4">#REF!</definedName>
    <definedName name="absensdi2">#REF!</definedName>
    <definedName name="ABSENSDI212" localSheetId="5">#REF!</definedName>
    <definedName name="ABSENSDI212" localSheetId="4">#REF!</definedName>
    <definedName name="ABSENSDI212">#REF!</definedName>
    <definedName name="absensdi2ind" localSheetId="5">#REF!</definedName>
    <definedName name="absensdi2ind" localSheetId="4">#REF!</definedName>
    <definedName name="absensdi2ind">#REF!</definedName>
    <definedName name="ABSENSI" localSheetId="5">#REF!</definedName>
    <definedName name="ABSENSI" localSheetId="4">#REF!</definedName>
    <definedName name="ABSENSI">#REF!</definedName>
    <definedName name="ABSENSI07" localSheetId="5">#REF!</definedName>
    <definedName name="ABSENSI07" localSheetId="4">#REF!</definedName>
    <definedName name="ABSENSI07">#REF!</definedName>
    <definedName name="ABSENSI10" localSheetId="5">#REF!</definedName>
    <definedName name="ABSENSI10" localSheetId="4">#REF!</definedName>
    <definedName name="ABSENSI10">#REF!</definedName>
    <definedName name="ABSENSI12" localSheetId="5">#REF!</definedName>
    <definedName name="ABSENSI12" localSheetId="4">#REF!</definedName>
    <definedName name="ABSENSI12">#REF!</definedName>
    <definedName name="ABSENSI123" localSheetId="5">#REF!</definedName>
    <definedName name="ABSENSI123" localSheetId="4">#REF!</definedName>
    <definedName name="ABSENSI123">#REF!</definedName>
    <definedName name="absensi1234" localSheetId="5">#REF!</definedName>
    <definedName name="absensi1234" localSheetId="4">#REF!</definedName>
    <definedName name="absensi1234">#REF!</definedName>
    <definedName name="absensi14" localSheetId="5">#REF!</definedName>
    <definedName name="absensi14" localSheetId="4">#REF!</definedName>
    <definedName name="absensi14">#REF!</definedName>
    <definedName name="ABSENSI16" localSheetId="5">#REF!</definedName>
    <definedName name="ABSENSI16" localSheetId="4">#REF!</definedName>
    <definedName name="ABSENSI16">#REF!</definedName>
    <definedName name="ABSENSIA" localSheetId="5">#REF!</definedName>
    <definedName name="ABSENSIA" localSheetId="4">#REF!</definedName>
    <definedName name="ABSENSIA">#REF!</definedName>
    <definedName name="absensiaa" localSheetId="5">#REF!</definedName>
    <definedName name="absensiaa" localSheetId="4">#REF!</definedName>
    <definedName name="absensiaa">#REF!</definedName>
    <definedName name="absensiaaa" localSheetId="5">#REF!</definedName>
    <definedName name="absensiaaa" localSheetId="4">#REF!</definedName>
    <definedName name="absensiaaa">#REF!</definedName>
    <definedName name="absensiaaaa" localSheetId="5">#REF!</definedName>
    <definedName name="absensiaaaa" localSheetId="4">#REF!</definedName>
    <definedName name="absensiaaaa">#REF!</definedName>
    <definedName name="absensiabc" localSheetId="5">#REF!</definedName>
    <definedName name="absensiabc" localSheetId="4">#REF!</definedName>
    <definedName name="absensiabc">#REF!</definedName>
    <definedName name="ABSENSIDA" localSheetId="5">#REF!</definedName>
    <definedName name="ABSENSIDA" localSheetId="4">#REF!</definedName>
    <definedName name="ABSENSIDA">#REF!</definedName>
    <definedName name="absensiiiiiiiiiiiiiiiiiiiiiiii" localSheetId="5">#REF!</definedName>
    <definedName name="absensiiiiiiiiiiiiiiiiiiiiiiii" localSheetId="4">#REF!</definedName>
    <definedName name="absensiiiiiiiiiiiiiiiiiiiiiiii">#REF!</definedName>
    <definedName name="ABSENSIINDO" localSheetId="5">#REF!</definedName>
    <definedName name="ABSENSIINDO" localSheetId="4">#REF!</definedName>
    <definedName name="ABSENSIINDO">#REF!</definedName>
    <definedName name="ABSENSIKARY" localSheetId="5">#REF!</definedName>
    <definedName name="ABSENSIKARY" localSheetId="4">#REF!</definedName>
    <definedName name="ABSENSIKARY">#REF!</definedName>
    <definedName name="ABSENSISDI" localSheetId="5">#REF!</definedName>
    <definedName name="ABSENSISDI" localSheetId="4">#REF!</definedName>
    <definedName name="ABSENSISDI">#REF!</definedName>
    <definedName name="ABSENSOOCT" localSheetId="5">#REF!</definedName>
    <definedName name="ABSENSOOCT" localSheetId="4">#REF!</definedName>
    <definedName name="ABSENSOOCT">#REF!</definedName>
    <definedName name="absg" localSheetId="5">#REF!</definedName>
    <definedName name="absg" localSheetId="4">#REF!</definedName>
    <definedName name="absg">#REF!</definedName>
    <definedName name="absgggg" localSheetId="5">#REF!</definedName>
    <definedName name="absgggg" localSheetId="4">#REF!</definedName>
    <definedName name="absgggg">#REF!</definedName>
    <definedName name="ABSIDA" localSheetId="5">#REF!</definedName>
    <definedName name="ABSIDA" localSheetId="4">#REF!</definedName>
    <definedName name="ABSIDA">#REF!</definedName>
    <definedName name="ABSIDASDI2" localSheetId="5">#REF!</definedName>
    <definedName name="ABSIDASDI2" localSheetId="4">#REF!</definedName>
    <definedName name="ABSIDASDI2">#REF!</definedName>
    <definedName name="absidasdi22" localSheetId="5">#REF!</definedName>
    <definedName name="absidasdi22" localSheetId="4">#REF!</definedName>
    <definedName name="absidasdi22">#REF!</definedName>
    <definedName name="ABSN" localSheetId="5">#REF!</definedName>
    <definedName name="ABSN" localSheetId="4">#REF!</definedName>
    <definedName name="ABSN">#REF!</definedName>
    <definedName name="ABSN....." localSheetId="5">#REF!</definedName>
    <definedName name="ABSN....." localSheetId="4">#REF!</definedName>
    <definedName name="ABSN.....">#REF!</definedName>
    <definedName name="ABSN011" localSheetId="5">#REF!</definedName>
    <definedName name="ABSN011" localSheetId="4">#REF!</definedName>
    <definedName name="ABSN011">#REF!</definedName>
    <definedName name="ABSN10" localSheetId="5">#REF!</definedName>
    <definedName name="ABSN10" localSheetId="4">#REF!</definedName>
    <definedName name="ABSN10">#REF!</definedName>
    <definedName name="ABSN12" localSheetId="5">#REF!</definedName>
    <definedName name="ABSN12" localSheetId="4">#REF!</definedName>
    <definedName name="ABSN12">#REF!</definedName>
    <definedName name="absn14" localSheetId="5">#REF!</definedName>
    <definedName name="absn14" localSheetId="4">#REF!</definedName>
    <definedName name="absn14">#REF!</definedName>
    <definedName name="ABSN16" localSheetId="5">#REF!</definedName>
    <definedName name="ABSN16" localSheetId="4">#REF!</definedName>
    <definedName name="ABSN16">#REF!</definedName>
    <definedName name="ABSN1616" localSheetId="5">#REF!</definedName>
    <definedName name="ABSN1616" localSheetId="4">#REF!</definedName>
    <definedName name="ABSN1616">#REF!</definedName>
    <definedName name="ABSN166" localSheetId="5">#REF!</definedName>
    <definedName name="ABSN166" localSheetId="4">#REF!</definedName>
    <definedName name="ABSN166">#REF!</definedName>
    <definedName name="ABSN18888" localSheetId="5">#REF!</definedName>
    <definedName name="ABSN18888" localSheetId="4">#REF!</definedName>
    <definedName name="ABSN18888">#REF!</definedName>
    <definedName name="ABSN2" localSheetId="5">#REF!</definedName>
    <definedName name="ABSN2" localSheetId="4">#REF!</definedName>
    <definedName name="ABSN2">#REF!</definedName>
    <definedName name="absn2313" localSheetId="5">#REF!</definedName>
    <definedName name="absn2313" localSheetId="4">#REF!</definedName>
    <definedName name="absn2313">#REF!</definedName>
    <definedName name="absn28" localSheetId="5">#REF!</definedName>
    <definedName name="absn28" localSheetId="4">#REF!</definedName>
    <definedName name="absn28">#REF!</definedName>
    <definedName name="ABSN9" localSheetId="5">#REF!</definedName>
    <definedName name="ABSN9" localSheetId="4">#REF!</definedName>
    <definedName name="ABSN9">#REF!</definedName>
    <definedName name="ABSNAYU" localSheetId="5">#REF!</definedName>
    <definedName name="ABSNAYU" localSheetId="4">#REF!</definedName>
    <definedName name="ABSNAYU">#REF!</definedName>
    <definedName name="ABSND" localSheetId="5">#REF!</definedName>
    <definedName name="ABSND" localSheetId="4">#REF!</definedName>
    <definedName name="ABSND">#REF!</definedName>
    <definedName name="absndi2" localSheetId="5">#REF!</definedName>
    <definedName name="absndi2" localSheetId="4">#REF!</definedName>
    <definedName name="absndi2">#REF!</definedName>
    <definedName name="ABSNDNF" localSheetId="5">#REF!</definedName>
    <definedName name="ABSNDNF" localSheetId="4">#REF!</definedName>
    <definedName name="ABSNDNF">#REF!</definedName>
    <definedName name="ABSNES" localSheetId="5">#REF!</definedName>
    <definedName name="ABSNES" localSheetId="4">#REF!</definedName>
    <definedName name="ABSNES">#REF!</definedName>
    <definedName name="ABSNF" localSheetId="5">#REF!</definedName>
    <definedName name="ABSNF" localSheetId="4">#REF!</definedName>
    <definedName name="ABSNF">#REF!</definedName>
    <definedName name="ABSNID.." localSheetId="5">#REF!</definedName>
    <definedName name="ABSNID.." localSheetId="4">#REF!</definedName>
    <definedName name="ABSNID..">#REF!</definedName>
    <definedName name="ABSNID..." localSheetId="5">#REF!</definedName>
    <definedName name="ABSNID..." localSheetId="4">#REF!</definedName>
    <definedName name="ABSNID...">#REF!</definedName>
    <definedName name="ABSNID10" localSheetId="5">#REF!</definedName>
    <definedName name="ABSNID10" localSheetId="4">#REF!</definedName>
    <definedName name="ABSNID10">#REF!</definedName>
    <definedName name="ABSNIDA" localSheetId="5">#REF!</definedName>
    <definedName name="ABSNIDA" localSheetId="4">#REF!</definedName>
    <definedName name="ABSNIDA">#REF!</definedName>
    <definedName name="ABSNIDA.." localSheetId="5">#REF!</definedName>
    <definedName name="ABSNIDA.." localSheetId="4">#REF!</definedName>
    <definedName name="ABSNIDA..">#REF!</definedName>
    <definedName name="ABSNIDSDI" localSheetId="5">#REF!</definedName>
    <definedName name="ABSNIDSDI" localSheetId="4">#REF!</definedName>
    <definedName name="ABSNIDSDI">#REF!</definedName>
    <definedName name="ABSNIY" localSheetId="5">#REF!</definedName>
    <definedName name="ABSNIY" localSheetId="4">#REF!</definedName>
    <definedName name="ABSNIY">#REF!</definedName>
    <definedName name="absnmmmmmmm" localSheetId="5">#REF!</definedName>
    <definedName name="absnmmmmmmm" localSheetId="4">#REF!</definedName>
    <definedName name="absnmmmmmmm">#REF!</definedName>
    <definedName name="ABSNOKT" localSheetId="5">#REF!</definedName>
    <definedName name="ABSNOKT" localSheetId="4">#REF!</definedName>
    <definedName name="ABSNOKT">#REF!</definedName>
    <definedName name="ABSNSDI" localSheetId="5">#REF!</definedName>
    <definedName name="ABSNSDI" localSheetId="4">#REF!</definedName>
    <definedName name="ABSNSDI">#REF!</definedName>
    <definedName name="ABSNSDI.." localSheetId="5">#REF!</definedName>
    <definedName name="ABSNSDI.." localSheetId="4">#REF!</definedName>
    <definedName name="ABSNSDI..">#REF!</definedName>
    <definedName name="ABSNSDI10" localSheetId="5">#REF!</definedName>
    <definedName name="ABSNSDI10" localSheetId="4">#REF!</definedName>
    <definedName name="ABSNSDI10">#REF!</definedName>
    <definedName name="ABSNSDI1234" localSheetId="5">#REF!</definedName>
    <definedName name="ABSNSDI1234" localSheetId="4">#REF!</definedName>
    <definedName name="ABSNSDI1234">#REF!</definedName>
    <definedName name="ABSNSDI2" localSheetId="5">#REF!</definedName>
    <definedName name="ABSNSDI2" localSheetId="4">#REF!</definedName>
    <definedName name="ABSNSDI2">#REF!</definedName>
    <definedName name="ABSNSDIIDA" localSheetId="5">#REF!</definedName>
    <definedName name="ABSNSDIIDA" localSheetId="4">#REF!</definedName>
    <definedName name="ABSNSDIIDA">#REF!</definedName>
    <definedName name="ABSNSI09" localSheetId="5">#REF!</definedName>
    <definedName name="ABSNSI09" localSheetId="4">#REF!</definedName>
    <definedName name="ABSNSI09">#REF!</definedName>
    <definedName name="ABSNSID" localSheetId="5">#REF!</definedName>
    <definedName name="ABSNSID" localSheetId="4">#REF!</definedName>
    <definedName name="ABSNSID">#REF!</definedName>
    <definedName name="ABSNSIFF" localSheetId="5">#REF!</definedName>
    <definedName name="ABSNSIFF" localSheetId="4">#REF!</definedName>
    <definedName name="ABSNSIFF">#REF!</definedName>
    <definedName name="ABSNSIID" localSheetId="5">#REF!</definedName>
    <definedName name="ABSNSIID" localSheetId="4">#REF!</definedName>
    <definedName name="ABSNSIID">#REF!</definedName>
    <definedName name="absnstaff" localSheetId="5">#REF!</definedName>
    <definedName name="absnstaff" localSheetId="4">#REF!</definedName>
    <definedName name="absnstaff">#REF!</definedName>
    <definedName name="ABSNTOK" localSheetId="5">#REF!</definedName>
    <definedName name="ABSNTOK" localSheetId="4">#REF!</definedName>
    <definedName name="ABSNTOK">#REF!</definedName>
    <definedName name="ABSOCT09" localSheetId="5">#REF!</definedName>
    <definedName name="ABSOCT09" localSheetId="4">#REF!</definedName>
    <definedName name="ABSOCT09">#REF!</definedName>
    <definedName name="ABSOCT11" localSheetId="5">#REF!</definedName>
    <definedName name="ABSOCT11" localSheetId="4">#REF!</definedName>
    <definedName name="ABSOCT11">#REF!</definedName>
    <definedName name="absoct23" localSheetId="5">#REF!</definedName>
    <definedName name="absoct23" localSheetId="4">#REF!</definedName>
    <definedName name="absoct23">#REF!</definedName>
    <definedName name="abssaedong" localSheetId="5">#REF!</definedName>
    <definedName name="abssaedong" localSheetId="4">#REF!</definedName>
    <definedName name="abssaedong">#REF!</definedName>
    <definedName name="ABSSDI" localSheetId="5">#REF!</definedName>
    <definedName name="ABSSDI" localSheetId="4">#REF!</definedName>
    <definedName name="ABSSDI">#REF!</definedName>
    <definedName name="ActualColumnTitles" localSheetId="5">#REF!</definedName>
    <definedName name="ActualColumnTitles" localSheetId="4">#REF!</definedName>
    <definedName name="ActualColumnTitles">#REF!</definedName>
    <definedName name="ad" localSheetId="5">#REF!</definedName>
    <definedName name="ad" localSheetId="4">#REF!</definedName>
    <definedName name="ad">#REF!</definedName>
    <definedName name="add" localSheetId="5">#REF!</definedName>
    <definedName name="add" localSheetId="4">#REF!</definedName>
    <definedName name="add">#REF!</definedName>
    <definedName name="add_5" localSheetId="5">#REF!</definedName>
    <definedName name="add_5" localSheetId="4">#REF!</definedName>
    <definedName name="add_5">#REF!</definedName>
    <definedName name="add_8" localSheetId="5">#REF!</definedName>
    <definedName name="add_8" localSheetId="4">#REF!</definedName>
    <definedName name="add_8">#REF!</definedName>
    <definedName name="added" localSheetId="5">#REF!</definedName>
    <definedName name="added" localSheetId="4">#REF!</definedName>
    <definedName name="added">#REF!</definedName>
    <definedName name="added_5" localSheetId="5">#REF!</definedName>
    <definedName name="added_5" localSheetId="4">#REF!</definedName>
    <definedName name="added_5">#REF!</definedName>
    <definedName name="added_8" localSheetId="5">#REF!</definedName>
    <definedName name="added_8" localSheetId="4">#REF!</definedName>
    <definedName name="added_8">#REF!</definedName>
    <definedName name="Address" localSheetId="5">#REF!</definedName>
    <definedName name="Address" localSheetId="4">#REF!</definedName>
    <definedName name="Address">#REF!</definedName>
    <definedName name="adfadf" localSheetId="5">#REF!</definedName>
    <definedName name="adfadf" localSheetId="4">#REF!</definedName>
    <definedName name="adfadf">#REF!</definedName>
    <definedName name="adfadfdafa" localSheetId="5">#N/A</definedName>
    <definedName name="adfadfdafa" localSheetId="4">#REF!</definedName>
    <definedName name="adfadfdafa">#REF!</definedName>
    <definedName name="adfadgr" localSheetId="5">#N/A</definedName>
    <definedName name="adfadgr" localSheetId="4">#REF!</definedName>
    <definedName name="adfadgr">#REF!</definedName>
    <definedName name="ADFAEFADF" localSheetId="5">#REF!</definedName>
    <definedName name="ADFAEFADF" localSheetId="4">#REF!</definedName>
    <definedName name="ADFAEFADF">#REF!</definedName>
    <definedName name="ADFAEFQDF" localSheetId="5">#REF!</definedName>
    <definedName name="ADFAEFQDF" localSheetId="4">#REF!</definedName>
    <definedName name="ADFAEFQDF">#REF!</definedName>
    <definedName name="ADFDAD" localSheetId="5">#REF!</definedName>
    <definedName name="ADFDAD" localSheetId="4">#REF!</definedName>
    <definedName name="ADFDAD">#REF!</definedName>
    <definedName name="adfeada" localSheetId="5">#N/A</definedName>
    <definedName name="adfeada" localSheetId="4">#REF!</definedName>
    <definedName name="adfeada">#REF!</definedName>
    <definedName name="ADFECADF" localSheetId="5">[1]피유.프레스!#REF!</definedName>
    <definedName name="ADFECADF" localSheetId="4">#REF!</definedName>
    <definedName name="ADFECADF">#REF!</definedName>
    <definedName name="adfefadf" localSheetId="5">#N/A</definedName>
    <definedName name="adfefadf" localSheetId="4">#REF!</definedName>
    <definedName name="adfefadf">#REF!</definedName>
    <definedName name="ADFEFQWTFQEFA" localSheetId="5">#N/A</definedName>
    <definedName name="ADFEFQWTFQEFA" localSheetId="4">#REF!</definedName>
    <definedName name="ADFEFQWTFQEFA">#REF!</definedName>
    <definedName name="adfqaefad" localSheetId="5">#N/A</definedName>
    <definedName name="adfqaefad" localSheetId="4">#REF!</definedName>
    <definedName name="adfqaefad">#REF!</definedName>
    <definedName name="adfqdadfa" localSheetId="5">#REF!</definedName>
    <definedName name="adfqdadfa" localSheetId="4">#REF!</definedName>
    <definedName name="adfqdadfa">#REF!</definedName>
    <definedName name="adfqefad" localSheetId="5">#REF!</definedName>
    <definedName name="adfqefad" localSheetId="4">#REF!</definedName>
    <definedName name="adfqefad">#REF!</definedName>
    <definedName name="adfqefadf" localSheetId="5">#N/A</definedName>
    <definedName name="adfqefadf" localSheetId="4">#REF!</definedName>
    <definedName name="adfqefadf">#REF!</definedName>
    <definedName name="adfqefadfaef" localSheetId="5">#REF!</definedName>
    <definedName name="adfqefadfaef" localSheetId="4">#REF!</definedName>
    <definedName name="adfqefadfaef">#REF!</definedName>
    <definedName name="adfqfadf" localSheetId="5">[1]피유.프레스!#REF!</definedName>
    <definedName name="adfqfadf" localSheetId="4">#REF!</definedName>
    <definedName name="adfqfadf">#REF!</definedName>
    <definedName name="adfqfaf" localSheetId="5">#REF!</definedName>
    <definedName name="adfqfaf" localSheetId="4">#REF!</definedName>
    <definedName name="adfqfaf">#REF!</definedName>
    <definedName name="ADFQFQEFQ" localSheetId="5">#REF!</definedName>
    <definedName name="ADFQFQEFQ" localSheetId="4">#REF!</definedName>
    <definedName name="ADFQFQEFQ">#REF!</definedName>
    <definedName name="ADFZZXC" localSheetId="5">#REF!</definedName>
    <definedName name="ADFZZXC" localSheetId="4">#REF!</definedName>
    <definedName name="ADFZZXC">#REF!</definedName>
    <definedName name="ADGEGAEG" localSheetId="5">#N/A</definedName>
    <definedName name="ADGEGAEG" localSheetId="4">#REF!</definedName>
    <definedName name="ADGEGAEG">#REF!</definedName>
    <definedName name="Adicolor2" localSheetId="5">#REF!</definedName>
    <definedName name="Adicolor2" localSheetId="4">#REF!</definedName>
    <definedName name="Adicolor2">#REF!</definedName>
    <definedName name="Adicolor2Low">[20]!直線55_Click</definedName>
    <definedName name="adsa" hidden="1">#REF!</definedName>
    <definedName name="ADSDDD" localSheetId="5">#REF!</definedName>
    <definedName name="ADSDDD" localSheetId="4">#REF!</definedName>
    <definedName name="ADSDDD">#REF!</definedName>
    <definedName name="ADSF" localSheetId="5">#N/A</definedName>
    <definedName name="ADSF" localSheetId="4">#REF!</definedName>
    <definedName name="ADSF">#REF!</definedName>
    <definedName name="adsgez" localSheetId="5">#REF!</definedName>
    <definedName name="adsgez" localSheetId="4">#REF!</definedName>
    <definedName name="adsgez">#REF!</definedName>
    <definedName name="ady">[18]!A_SG</definedName>
    <definedName name="ae" localSheetId="5">#N/A</definedName>
    <definedName name="ae" localSheetId="4">#REF!</definedName>
    <definedName name="ae">#REF!</definedName>
    <definedName name="afadf" localSheetId="5">#N/A</definedName>
    <definedName name="afadf" localSheetId="4">#REF!</definedName>
    <definedName name="afadf">#REF!</definedName>
    <definedName name="AFAEFADFADF" localSheetId="5">#REF!</definedName>
    <definedName name="AFAEFADFADF" localSheetId="4">#REF!</definedName>
    <definedName name="AFAEFADFADF">#REF!</definedName>
    <definedName name="affafa" localSheetId="5">#REF!</definedName>
    <definedName name="affafa" localSheetId="4">#REF!</definedName>
    <definedName name="affafa">#REF!</definedName>
    <definedName name="afgafg" localSheetId="5">#N/A</definedName>
    <definedName name="afgafg" localSheetId="4">#REF!</definedName>
    <definedName name="afgafg">#REF!</definedName>
    <definedName name="agefaefa" localSheetId="5">#N/A</definedName>
    <definedName name="agefaefa" localSheetId="4">#REF!</definedName>
    <definedName name="agefaefa">#REF!</definedName>
    <definedName name="AGEFQEFQEFA" localSheetId="5">#REF!</definedName>
    <definedName name="AGEFQEFQEFA" localSheetId="4">#REF!</definedName>
    <definedName name="AGEFQEFQEFA">#REF!</definedName>
    <definedName name="ageqfa" localSheetId="5">#N/A</definedName>
    <definedName name="ageqfa" localSheetId="4">#REF!</definedName>
    <definedName name="ageqfa">#REF!</definedName>
    <definedName name="agggegr" localSheetId="5">#REF!</definedName>
    <definedName name="agggegr" localSheetId="4">#REF!</definedName>
    <definedName name="agggegr">#REF!</definedName>
    <definedName name="AL41\" localSheetId="5">#REF!</definedName>
    <definedName name="AL41\" localSheetId="4">#REF!</definedName>
    <definedName name="AL41\">#REF!</definedName>
    <definedName name="ALFAOMEGA" localSheetId="5">#REF!</definedName>
    <definedName name="ALFAOMEGA" localSheetId="4">#REF!</definedName>
    <definedName name="ALFAOMEGA">#REF!</definedName>
    <definedName name="alpha" localSheetId="5">#REF!</definedName>
    <definedName name="alpha" localSheetId="4">#REF!</definedName>
    <definedName name="alpha">#REF!</definedName>
    <definedName name="amount0301" localSheetId="5">#REF!</definedName>
    <definedName name="amount0301" localSheetId="4">#REF!</definedName>
    <definedName name="amount0301">#REF!</definedName>
    <definedName name="amount0302" localSheetId="5">#REF!</definedName>
    <definedName name="amount0302" localSheetId="4">#REF!</definedName>
    <definedName name="amount0302">#REF!</definedName>
    <definedName name="amount0303" localSheetId="5">#REF!</definedName>
    <definedName name="amount0303" localSheetId="4">#REF!</definedName>
    <definedName name="amount0303">#REF!</definedName>
    <definedName name="amount0304" localSheetId="5">#REF!</definedName>
    <definedName name="amount0304" localSheetId="4">#REF!</definedName>
    <definedName name="amount0304">#REF!</definedName>
    <definedName name="amount0305" localSheetId="5">#REF!</definedName>
    <definedName name="amount0305" localSheetId="4">#REF!</definedName>
    <definedName name="amount0305">#REF!</definedName>
    <definedName name="amount0306" localSheetId="5">#REF!</definedName>
    <definedName name="amount0306" localSheetId="4">#REF!</definedName>
    <definedName name="amount0306">#REF!</definedName>
    <definedName name="amount0307" localSheetId="5">#REF!</definedName>
    <definedName name="amount0307" localSheetId="4">#REF!</definedName>
    <definedName name="amount0307">#REF!</definedName>
    <definedName name="amount0308" localSheetId="5">#REF!</definedName>
    <definedName name="amount0308" localSheetId="4">#REF!</definedName>
    <definedName name="amount0308">#REF!</definedName>
    <definedName name="amount0309" localSheetId="5">#REF!</definedName>
    <definedName name="amount0309" localSheetId="4">#REF!</definedName>
    <definedName name="amount0309">#REF!</definedName>
    <definedName name="amount0310" localSheetId="5">#REF!</definedName>
    <definedName name="amount0310" localSheetId="4">#REF!</definedName>
    <definedName name="amount0310">#REF!</definedName>
    <definedName name="amount0311" localSheetId="5">#REF!</definedName>
    <definedName name="amount0311" localSheetId="4">#REF!</definedName>
    <definedName name="amount0311">#REF!</definedName>
    <definedName name="amount0312" localSheetId="5">#REF!</definedName>
    <definedName name="amount0312" localSheetId="4">#REF!</definedName>
    <definedName name="amount0312">#REF!</definedName>
    <definedName name="amount0401" localSheetId="5">#N/A</definedName>
    <definedName name="amount0401" localSheetId="4">#REF!</definedName>
    <definedName name="amount0401">#REF!</definedName>
    <definedName name="amount0402" localSheetId="5">#N/A</definedName>
    <definedName name="amount0402" localSheetId="4">#REF!</definedName>
    <definedName name="amount0402">#REF!</definedName>
    <definedName name="amount0403" localSheetId="5">#N/A</definedName>
    <definedName name="amount0403" localSheetId="4">#REF!</definedName>
    <definedName name="amount0403">#REF!</definedName>
    <definedName name="amount0404" localSheetId="5">#N/A</definedName>
    <definedName name="amount0404" localSheetId="4">#REF!</definedName>
    <definedName name="amount0404">#REF!</definedName>
    <definedName name="amount0405" localSheetId="5">#N/A</definedName>
    <definedName name="amount0405" localSheetId="4">#REF!</definedName>
    <definedName name="amount0405">#REF!</definedName>
    <definedName name="amount0406" localSheetId="5">#N/A</definedName>
    <definedName name="amount0406" localSheetId="4">#REF!</definedName>
    <definedName name="amount0406">#REF!</definedName>
    <definedName name="amount0407" localSheetId="5">#N/A</definedName>
    <definedName name="amount0407" localSheetId="4">#REF!</definedName>
    <definedName name="amount0407">#REF!</definedName>
    <definedName name="amount0408" localSheetId="5">#N/A</definedName>
    <definedName name="amount0408" localSheetId="4">#REF!</definedName>
    <definedName name="amount0408">#REF!</definedName>
    <definedName name="amount0409" localSheetId="5">#N/A</definedName>
    <definedName name="amount0409" localSheetId="4">#REF!</definedName>
    <definedName name="amount0409">#REF!</definedName>
    <definedName name="amount0410" localSheetId="5">#N/A</definedName>
    <definedName name="amount0410" localSheetId="4">#REF!</definedName>
    <definedName name="amount0410">#REF!</definedName>
    <definedName name="amount0411" localSheetId="5">#N/A</definedName>
    <definedName name="amount0411" localSheetId="4">#REF!</definedName>
    <definedName name="amount0411">#REF!</definedName>
    <definedName name="amount0412" localSheetId="5">#N/A</definedName>
    <definedName name="amount0412" localSheetId="4">#REF!</definedName>
    <definedName name="amount0412">#REF!</definedName>
    <definedName name="ANDI" localSheetId="5">#REF!</definedName>
    <definedName name="ANDI" localSheetId="4">#REF!</definedName>
    <definedName name="ANDI">#REF!</definedName>
    <definedName name="ANDI_12">"$#REF!.$#REF!$#REF!"</definedName>
    <definedName name="ANDI_12_5">"$#REF!.$#REF!$#REF!"</definedName>
    <definedName name="ANDI_13">"$#REF!.$#REF!$#REF!"</definedName>
    <definedName name="ANDI_13_5">"$#REF!.$#REF!$#REF!"</definedName>
    <definedName name="ANDI_14">"$#REF!.$#REF!$#REF!"</definedName>
    <definedName name="ANDI_14_5">"$#REF!.$#REF!$#REF!"</definedName>
    <definedName name="ANDI_3" localSheetId="5">#REF!</definedName>
    <definedName name="ANDI_3" localSheetId="4">#REF!</definedName>
    <definedName name="ANDI_3">#REF!</definedName>
    <definedName name="ANDI_3_5" localSheetId="5">#REF!</definedName>
    <definedName name="ANDI_3_5" localSheetId="4">#REF!</definedName>
    <definedName name="ANDI_3_5">#REF!</definedName>
    <definedName name="ANDI_5" localSheetId="5">#REF!</definedName>
    <definedName name="ANDI_5" localSheetId="4">#REF!</definedName>
    <definedName name="ANDI_5">#REF!</definedName>
    <definedName name="ANDI_5_5" localSheetId="5">#REF!</definedName>
    <definedName name="ANDI_5_5" localSheetId="4">#REF!</definedName>
    <definedName name="ANDI_5_5">#REF!</definedName>
    <definedName name="ANDI_8" localSheetId="5">#REF!</definedName>
    <definedName name="ANDI_8" localSheetId="4">#REF!</definedName>
    <definedName name="ANDI_8">#REF!</definedName>
    <definedName name="aqqq" localSheetId="5">#REF!</definedName>
    <definedName name="aqqq" localSheetId="4">#REF!</definedName>
    <definedName name="aqqq">#REF!</definedName>
    <definedName name="Area" localSheetId="5">OFFSET([21]List!$B$2,,,COUNTA([21]List!$B$2:$B$15))</definedName>
    <definedName name="Area">OFFSET([22]List!$B$2, , ,COUNTA([22]List!$B$2:$B$15))</definedName>
    <definedName name="argreg" localSheetId="5">#N/A</definedName>
    <definedName name="argreg" localSheetId="4">#REF!</definedName>
    <definedName name="argreg">#REF!</definedName>
    <definedName name="AS" localSheetId="5">[2]!AS</definedName>
    <definedName name="as">#N/A</definedName>
    <definedName name="asasasa">[23]Sep!#REF!</definedName>
    <definedName name="asasdasd">[2]!asasdasd</definedName>
    <definedName name="asb" localSheetId="5">#REF!</definedName>
    <definedName name="asb" localSheetId="4">#REF!</definedName>
    <definedName name="asb">#REF!</definedName>
    <definedName name="ASD" localSheetId="5">#N/A</definedName>
    <definedName name="ASD" localSheetId="4">#REF!</definedName>
    <definedName name="ASD">#REF!</definedName>
    <definedName name="asdfg" localSheetId="5">#REF!</definedName>
    <definedName name="asdfg" localSheetId="4">#REF!</definedName>
    <definedName name="asdfg">#REF!</definedName>
    <definedName name="asdfg1" localSheetId="5">#REF!</definedName>
    <definedName name="asdfg1" localSheetId="4">#REF!</definedName>
    <definedName name="asdfg1">#REF!</definedName>
    <definedName name="asdfsdafsdfsdaf" localSheetId="5">#REF!</definedName>
    <definedName name="asdfsdafsdfsdaf" localSheetId="4">#REF!</definedName>
    <definedName name="asdfsdafsdfsdaf">#REF!</definedName>
    <definedName name="ASDG" localSheetId="5">#REF!</definedName>
    <definedName name="ASDG" localSheetId="4">#REF!</definedName>
    <definedName name="ASDG">#REF!</definedName>
    <definedName name="ASDG_3" localSheetId="5">#REF!</definedName>
    <definedName name="ASDG_3" localSheetId="4">#REF!</definedName>
    <definedName name="ASDG_3">#REF!</definedName>
    <definedName name="ASDG_4" localSheetId="5">#REF!</definedName>
    <definedName name="ASDG_4" localSheetId="4">#REF!</definedName>
    <definedName name="ASDG_4">#REF!</definedName>
    <definedName name="ASDSA" localSheetId="5">#N/A</definedName>
    <definedName name="ASDSA" localSheetId="4">#REF!</definedName>
    <definedName name="ASDSA">#REF!</definedName>
    <definedName name="ASEDW" localSheetId="5">#REF!</definedName>
    <definedName name="ASEDW" localSheetId="4">#REF!</definedName>
    <definedName name="ASEDW">#REF!</definedName>
    <definedName name="asep">BlankMacro1</definedName>
    <definedName name="ASG">#N/A</definedName>
    <definedName name="asl">[6]!A_ANALYSIS</definedName>
    <definedName name="ASS" localSheetId="5">#REF!</definedName>
    <definedName name="ASS" localSheetId="4">#REF!</definedName>
    <definedName name="ASS">#REF!</definedName>
    <definedName name="ASSEM" localSheetId="5">#REF!</definedName>
    <definedName name="ASSEM" localSheetId="4">#REF!</definedName>
    <definedName name="ASSEM">#REF!</definedName>
    <definedName name="ASSEM_12">"$#REF!.$E$62:$F$62"</definedName>
    <definedName name="ASSEM_13">"$#REF!.$E$62:$F$62"</definedName>
    <definedName name="ASSEM_14">"$#REF!.$E$62:$F$62"</definedName>
    <definedName name="ASSEM_3" localSheetId="5">#REF!</definedName>
    <definedName name="ASSEM_3" localSheetId="4">#REF!</definedName>
    <definedName name="ASSEM_3">#REF!</definedName>
    <definedName name="ASSEM_3_5" localSheetId="5">#REF!</definedName>
    <definedName name="ASSEM_3_5" localSheetId="4">#REF!</definedName>
    <definedName name="ASSEM_3_5">#REF!</definedName>
    <definedName name="ASSEM_6">"$#REF!.$E$62:$F$62"</definedName>
    <definedName name="ASSEM_7">"$#REF!.$E$62:$F$62"</definedName>
    <definedName name="ASSEM_8">"$#REF!.$E$62:$F$62"</definedName>
    <definedName name="ASSM" localSheetId="5">#REF!</definedName>
    <definedName name="ASSM" localSheetId="4">#REF!</definedName>
    <definedName name="ASSM">#REF!</definedName>
    <definedName name="ASSU">#N/A</definedName>
    <definedName name="Assy_Begin" localSheetId="5">#REF!</definedName>
    <definedName name="Assy_Begin" localSheetId="4">#REF!</definedName>
    <definedName name="Assy_Begin">#REF!</definedName>
    <definedName name="Assy_Begin_12" localSheetId="5">#REF!</definedName>
    <definedName name="Assy_Begin_12" localSheetId="4">#REF!</definedName>
    <definedName name="Assy_Begin_12">#REF!</definedName>
    <definedName name="Assy_Begin_12_5" localSheetId="5">#REF!</definedName>
    <definedName name="Assy_Begin_12_5" localSheetId="4">#REF!</definedName>
    <definedName name="Assy_Begin_12_5">#REF!</definedName>
    <definedName name="Assy_Begin_12_5_5" localSheetId="5">#REF!</definedName>
    <definedName name="Assy_Begin_12_5_5" localSheetId="4">#REF!</definedName>
    <definedName name="Assy_Begin_12_5_5">#REF!</definedName>
    <definedName name="Assy_Begin_12_8" localSheetId="5">#REF!</definedName>
    <definedName name="Assy_Begin_12_8" localSheetId="4">#REF!</definedName>
    <definedName name="Assy_Begin_12_8">#REF!</definedName>
    <definedName name="Assy_Begin_13" localSheetId="5">#REF!</definedName>
    <definedName name="Assy_Begin_13" localSheetId="4">#REF!</definedName>
    <definedName name="Assy_Begin_13">#REF!</definedName>
    <definedName name="Assy_Begin_13_5" localSheetId="5">#REF!</definedName>
    <definedName name="Assy_Begin_13_5" localSheetId="4">#REF!</definedName>
    <definedName name="Assy_Begin_13_5">#REF!</definedName>
    <definedName name="Assy_Begin_13_5_5" localSheetId="5">#REF!</definedName>
    <definedName name="Assy_Begin_13_5_5" localSheetId="4">#REF!</definedName>
    <definedName name="Assy_Begin_13_5_5">#REF!</definedName>
    <definedName name="Assy_Begin_13_8" localSheetId="5">#REF!</definedName>
    <definedName name="Assy_Begin_13_8" localSheetId="4">#REF!</definedName>
    <definedName name="Assy_Begin_13_8">#REF!</definedName>
    <definedName name="Assy_Begin_14" localSheetId="5">#REF!</definedName>
    <definedName name="Assy_Begin_14" localSheetId="4">#REF!</definedName>
    <definedName name="Assy_Begin_14">#REF!</definedName>
    <definedName name="Assy_Begin_14_5" localSheetId="5">#REF!</definedName>
    <definedName name="Assy_Begin_14_5" localSheetId="4">#REF!</definedName>
    <definedName name="Assy_Begin_14_5">#REF!</definedName>
    <definedName name="Assy_Begin_14_5_5" localSheetId="5">#REF!</definedName>
    <definedName name="Assy_Begin_14_5_5" localSheetId="4">#REF!</definedName>
    <definedName name="Assy_Begin_14_5_5">#REF!</definedName>
    <definedName name="Assy_Begin_14_8" localSheetId="5">#REF!</definedName>
    <definedName name="Assy_Begin_14_8" localSheetId="4">#REF!</definedName>
    <definedName name="Assy_Begin_14_8">#REF!</definedName>
    <definedName name="Assy_Begin_3" localSheetId="5">#REF!</definedName>
    <definedName name="Assy_Begin_3" localSheetId="4">#REF!</definedName>
    <definedName name="Assy_Begin_3">#REF!</definedName>
    <definedName name="Assy_Begin_5" localSheetId="5">#REF!</definedName>
    <definedName name="Assy_Begin_5" localSheetId="4">#REF!</definedName>
    <definedName name="Assy_Begin_5">#REF!</definedName>
    <definedName name="Assy_Begin_8" localSheetId="5">#REF!</definedName>
    <definedName name="Assy_Begin_8" localSheetId="4">#REF!</definedName>
    <definedName name="Assy_Begin_8">#REF!</definedName>
    <definedName name="Assy_End" localSheetId="5">#REF!</definedName>
    <definedName name="Assy_End" localSheetId="4">#REF!</definedName>
    <definedName name="Assy_End">#REF!</definedName>
    <definedName name="Assy_End_12" localSheetId="5">#REF!</definedName>
    <definedName name="Assy_End_12" localSheetId="4">#REF!</definedName>
    <definedName name="Assy_End_12">#REF!</definedName>
    <definedName name="Assy_End_12_5" localSheetId="5">#REF!</definedName>
    <definedName name="Assy_End_12_5" localSheetId="4">#REF!</definedName>
    <definedName name="Assy_End_12_5">#REF!</definedName>
    <definedName name="Assy_End_12_5_5" localSheetId="5">#REF!</definedName>
    <definedName name="Assy_End_12_5_5" localSheetId="4">#REF!</definedName>
    <definedName name="Assy_End_12_5_5">#REF!</definedName>
    <definedName name="Assy_End_12_8" localSheetId="5">#REF!</definedName>
    <definedName name="Assy_End_12_8" localSheetId="4">#REF!</definedName>
    <definedName name="Assy_End_12_8">#REF!</definedName>
    <definedName name="Assy_End_13" localSheetId="5">#REF!</definedName>
    <definedName name="Assy_End_13" localSheetId="4">#REF!</definedName>
    <definedName name="Assy_End_13">#REF!</definedName>
    <definedName name="Assy_End_13_5" localSheetId="5">#REF!</definedName>
    <definedName name="Assy_End_13_5" localSheetId="4">#REF!</definedName>
    <definedName name="Assy_End_13_5">#REF!</definedName>
    <definedName name="Assy_End_13_5_5" localSheetId="5">#REF!</definedName>
    <definedName name="Assy_End_13_5_5" localSheetId="4">#REF!</definedName>
    <definedName name="Assy_End_13_5_5">#REF!</definedName>
    <definedName name="Assy_End_13_8" localSheetId="5">#REF!</definedName>
    <definedName name="Assy_End_13_8" localSheetId="4">#REF!</definedName>
    <definedName name="Assy_End_13_8">#REF!</definedName>
    <definedName name="Assy_End_14" localSheetId="5">#REF!</definedName>
    <definedName name="Assy_End_14" localSheetId="4">#REF!</definedName>
    <definedName name="Assy_End_14">#REF!</definedName>
    <definedName name="Assy_End_14_5" localSheetId="5">#REF!</definedName>
    <definedName name="Assy_End_14_5" localSheetId="4">#REF!</definedName>
    <definedName name="Assy_End_14_5">#REF!</definedName>
    <definedName name="Assy_End_14_5_5" localSheetId="5">#REF!</definedName>
    <definedName name="Assy_End_14_5_5" localSheetId="4">#REF!</definedName>
    <definedName name="Assy_End_14_5_5">#REF!</definedName>
    <definedName name="Assy_End_14_8" localSheetId="5">#REF!</definedName>
    <definedName name="Assy_End_14_8" localSheetId="4">#REF!</definedName>
    <definedName name="Assy_End_14_8">#REF!</definedName>
    <definedName name="Assy_End_3" localSheetId="5">#REF!</definedName>
    <definedName name="Assy_End_3" localSheetId="4">#REF!</definedName>
    <definedName name="Assy_End_3">#REF!</definedName>
    <definedName name="Assy_End_5" localSheetId="5">#REF!</definedName>
    <definedName name="Assy_End_5" localSheetId="4">#REF!</definedName>
    <definedName name="Assy_End_5">#REF!</definedName>
    <definedName name="Assy_End_8" localSheetId="5">#REF!</definedName>
    <definedName name="Assy_End_8" localSheetId="4">#REF!</definedName>
    <definedName name="Assy_End_8">#REF!</definedName>
    <definedName name="Attach" localSheetId="5">#REF!</definedName>
    <definedName name="Attach" localSheetId="4">#REF!</definedName>
    <definedName name="Attach">#REF!</definedName>
    <definedName name="ATTACHING" localSheetId="5">#REF!</definedName>
    <definedName name="ATTACHING" localSheetId="4">#REF!</definedName>
    <definedName name="ATTACHING">#REF!</definedName>
    <definedName name="AveSizeTable">[24]Sum!$B$48:$AH$76</definedName>
    <definedName name="AveSizeTable_3">[24]Sum!$B$48:$AH$76</definedName>
    <definedName name="AveSizeTable_4">[24]Sum!$B$48:$AH$76</definedName>
    <definedName name="AveSizeTable_5" localSheetId="5">#REF!</definedName>
    <definedName name="AveSizeTable_5" localSheetId="4">#REF!</definedName>
    <definedName name="AveSizeTable_5">#REF!</definedName>
    <definedName name="AveSizeTable_8" localSheetId="5">#REF!</definedName>
    <definedName name="AveSizeTable_8" localSheetId="4">#REF!</definedName>
    <definedName name="AveSizeTable_8">#REF!</definedName>
    <definedName name="aw" localSheetId="5">#REF!</definedName>
    <definedName name="aw" localSheetId="4">#REF!</definedName>
    <definedName name="aw">#REF!</definedName>
    <definedName name="awi" localSheetId="5">#REF!</definedName>
    <definedName name="awi" localSheetId="4">#REF!</definedName>
    <definedName name="awi">#REF!</definedName>
    <definedName name="awi_12">"$#REF!.$A$#REF!"</definedName>
    <definedName name="awi_13">"$#REF!.$A$#REF!"</definedName>
    <definedName name="awi_14">"$#REF!.$A$#REF!"</definedName>
    <definedName name="awi_3" localSheetId="5">#REF!</definedName>
    <definedName name="awi_3" localSheetId="4">#REF!</definedName>
    <definedName name="awi_3">#REF!</definedName>
    <definedName name="AWQ" localSheetId="5">#N/A</definedName>
    <definedName name="AWQ" localSheetId="4">#REF!</definedName>
    <definedName name="AWQ">#REF!</definedName>
    <definedName name="ayeby" localSheetId="5">#N/A</definedName>
    <definedName name="ayeby" localSheetId="4">#REF!</definedName>
    <definedName name="ayeby">#REF!</definedName>
    <definedName name="B" localSheetId="5">#REF!</definedName>
    <definedName name="B" localSheetId="4">#REF!</definedName>
    <definedName name="B">#REF!</definedName>
    <definedName name="B_5" localSheetId="5">#REF!</definedName>
    <definedName name="B_5" localSheetId="4">#REF!</definedName>
    <definedName name="B_5">#REF!</definedName>
    <definedName name="B_5_1">#N/A</definedName>
    <definedName name="B_5_5" localSheetId="5">#REF!</definedName>
    <definedName name="B_5_5" localSheetId="4">#REF!</definedName>
    <definedName name="B_5_5">#REF!</definedName>
    <definedName name="B_8" localSheetId="5">#REF!</definedName>
    <definedName name="B_8" localSheetId="4">#REF!</definedName>
    <definedName name="B_8">#REF!</definedName>
    <definedName name="BABY" localSheetId="5">#REF!</definedName>
    <definedName name="BABY" localSheetId="4">#REF!</definedName>
    <definedName name="BABY">#REF!</definedName>
    <definedName name="BABY_4" localSheetId="5">#REF!</definedName>
    <definedName name="BABY_4" localSheetId="4">#REF!</definedName>
    <definedName name="BABY_4">#REF!</definedName>
    <definedName name="BABY_42" localSheetId="5">#REF!</definedName>
    <definedName name="BABY_42" localSheetId="4">#REF!</definedName>
    <definedName name="BABY_42">#REF!</definedName>
    <definedName name="BABY_49" localSheetId="5">#REF!</definedName>
    <definedName name="BABY_49" localSheetId="4">#REF!</definedName>
    <definedName name="BABY_49">#REF!</definedName>
    <definedName name="BALL_HM" localSheetId="5">#REF!</definedName>
    <definedName name="BALL_HM" localSheetId="4">#REF!</definedName>
    <definedName name="BALL_HM">#REF!</definedName>
    <definedName name="BANGKEP" localSheetId="5">#N/A</definedName>
    <definedName name="BANGKEP" localSheetId="4">#REF!</definedName>
    <definedName name="BANGKEP">#REF!</definedName>
    <definedName name="bbb" localSheetId="5">#REF!</definedName>
    <definedName name="bbb" localSheetId="4">#REF!</definedName>
    <definedName name="bbb">#REF!</definedName>
    <definedName name="bbbb" localSheetId="5">#REF!</definedName>
    <definedName name="bbbb" localSheetId="4">#REF!</definedName>
    <definedName name="bbbb">#REF!</definedName>
    <definedName name="bbbbb" localSheetId="5">#REF!</definedName>
    <definedName name="bbbbb" localSheetId="4">#REF!</definedName>
    <definedName name="bbbbb">#REF!</definedName>
    <definedName name="bbbbbb" localSheetId="5">#REF!</definedName>
    <definedName name="bbbbbb" localSheetId="4">#REF!</definedName>
    <definedName name="bbbbbb">#REF!</definedName>
    <definedName name="bbbbbbbbbbb" localSheetId="5">#REF!</definedName>
    <definedName name="bbbbbbbbbbb" localSheetId="4">#REF!</definedName>
    <definedName name="bbbbbbbbbbb">#REF!</definedName>
    <definedName name="BCV" localSheetId="5">#REF!</definedName>
    <definedName name="BCV" localSheetId="4">#REF!</definedName>
    <definedName name="BCV">#REF!</definedName>
    <definedName name="bebek" localSheetId="5">#REF!</definedName>
    <definedName name="bebek" localSheetId="4">#REF!</definedName>
    <definedName name="bebek">#REF!</definedName>
    <definedName name="BHBGHJ">#N/A</definedName>
    <definedName name="BINDING" localSheetId="5">#REF!</definedName>
    <definedName name="BINDING" localSheetId="4">#REF!</definedName>
    <definedName name="BINDING">#REF!</definedName>
    <definedName name="BINDING_ZZ" localSheetId="5">#REF!</definedName>
    <definedName name="BINDING_ZZ" localSheetId="4">#REF!</definedName>
    <definedName name="BINDING_ZZ">#REF!</definedName>
    <definedName name="binh" localSheetId="5">#N/A</definedName>
    <definedName name="binh" localSheetId="4">#REF!</definedName>
    <definedName name="binh">#REF!</definedName>
    <definedName name="bj" localSheetId="5">#REF!</definedName>
    <definedName name="bj" localSheetId="4">#REF!</definedName>
    <definedName name="bj">#REF!</definedName>
    <definedName name="BOTTOM" localSheetId="5">#REF!</definedName>
    <definedName name="BOTTOM" localSheetId="4">#REF!</definedName>
    <definedName name="BOTTOM">#REF!</definedName>
    <definedName name="bpfc" localSheetId="5">#REF!</definedName>
    <definedName name="bpfc" localSheetId="4">#REF!</definedName>
    <definedName name="bpfc">#REF!</definedName>
    <definedName name="bpfc_5" localSheetId="5">#REF!</definedName>
    <definedName name="bpfc_5" localSheetId="4">#REF!</definedName>
    <definedName name="bpfc_5">#REF!</definedName>
    <definedName name="bpfc_8" localSheetId="5">#REF!</definedName>
    <definedName name="bpfc_8" localSheetId="4">#REF!</definedName>
    <definedName name="bpfc_8">#REF!</definedName>
    <definedName name="BPFC1" localSheetId="5">#REF!</definedName>
    <definedName name="BPFC1" localSheetId="4">#REF!</definedName>
    <definedName name="BPFC1">#REF!</definedName>
    <definedName name="Brand" localSheetId="5">OFFSET([25]List!$E$3,,,COUNTA([25]List!$E$3:$E$75))</definedName>
    <definedName name="Brand">OFFSET([26]List!$E$3, , ,COUNTA([26]List!$E$3:$E$75))</definedName>
    <definedName name="brezx" localSheetId="5">#REF!</definedName>
    <definedName name="brezx" localSheetId="4">#REF!</definedName>
    <definedName name="brezx">#REF!</definedName>
    <definedName name="browek" localSheetId="5">#REF!</definedName>
    <definedName name="browek" localSheetId="4">#REF!</definedName>
    <definedName name="browek">#REF!</definedName>
    <definedName name="brty" localSheetId="5">#REF!</definedName>
    <definedName name="brty" localSheetId="4">#REF!</definedName>
    <definedName name="brty">#REF!</definedName>
    <definedName name="brtybe" localSheetId="5">#N/A</definedName>
    <definedName name="brtybe" localSheetId="4">#REF!</definedName>
    <definedName name="brtybe">#REF!</definedName>
    <definedName name="bsom">BlankMacro1</definedName>
    <definedName name="BTRS" localSheetId="5">#N/A</definedName>
    <definedName name="BTRS" localSheetId="4">#REF!</definedName>
    <definedName name="BTRS">#REF!</definedName>
    <definedName name="BTRSS" localSheetId="5">#REF!</definedName>
    <definedName name="BTRSS" localSheetId="4">#REF!</definedName>
    <definedName name="BTRSS">#REF!</definedName>
    <definedName name="BTRTSS" localSheetId="5">#N/A</definedName>
    <definedName name="BTRTSS" localSheetId="4">#REF!</definedName>
    <definedName name="BTRTSS">#REF!</definedName>
    <definedName name="Bust">#N/A</definedName>
    <definedName name="BUTTON">#N/A</definedName>
    <definedName name="button1">"Option Button 4"</definedName>
    <definedName name="BVT" localSheetId="5">#REF!</definedName>
    <definedName name="BVT" localSheetId="4">#REF!</definedName>
    <definedName name="BVT">#REF!</definedName>
    <definedName name="bvv" localSheetId="5">#REF!</definedName>
    <definedName name="bvv" localSheetId="4">#REF!</definedName>
    <definedName name="bvv">#REF!</definedName>
    <definedName name="byr5btyx" localSheetId="5">#N/A</definedName>
    <definedName name="byr5btyx" localSheetId="4">#REF!</definedName>
    <definedName name="byr5btyx">#REF!</definedName>
    <definedName name="byrbtrb" localSheetId="5">#N/A</definedName>
    <definedName name="byrbtrb" localSheetId="4">#REF!</definedName>
    <definedName name="byrbtrb">#REF!</definedName>
    <definedName name="C_D" localSheetId="5">#REF!</definedName>
    <definedName name="C_D" localSheetId="4">#REF!</definedName>
    <definedName name="C_D">#REF!</definedName>
    <definedName name="C_D_12" localSheetId="5">#REF!</definedName>
    <definedName name="C_D_12" localSheetId="4">#REF!</definedName>
    <definedName name="C_D_12">#REF!</definedName>
    <definedName name="C_D_12_5" localSheetId="5">#REF!</definedName>
    <definedName name="C_D_12_5" localSheetId="4">#REF!</definedName>
    <definedName name="C_D_12_5">#REF!</definedName>
    <definedName name="C_D_12_5_5" localSheetId="5">#REF!</definedName>
    <definedName name="C_D_12_5_5" localSheetId="4">#REF!</definedName>
    <definedName name="C_D_12_5_5">#REF!</definedName>
    <definedName name="C_D_12_8" localSheetId="5">#REF!</definedName>
    <definedName name="C_D_12_8" localSheetId="4">#REF!</definedName>
    <definedName name="C_D_12_8">#REF!</definedName>
    <definedName name="C_D_13" localSheetId="5">#REF!</definedName>
    <definedName name="C_D_13" localSheetId="4">#REF!</definedName>
    <definedName name="C_D_13">#REF!</definedName>
    <definedName name="C_D_13_5" localSheetId="5">#REF!</definedName>
    <definedName name="C_D_13_5" localSheetId="4">#REF!</definedName>
    <definedName name="C_D_13_5">#REF!</definedName>
    <definedName name="C_D_13_5_5" localSheetId="5">#REF!</definedName>
    <definedName name="C_D_13_5_5" localSheetId="4">#REF!</definedName>
    <definedName name="C_D_13_5_5">#REF!</definedName>
    <definedName name="C_D_13_8" localSheetId="5">#REF!</definedName>
    <definedName name="C_D_13_8" localSheetId="4">#REF!</definedName>
    <definedName name="C_D_13_8">#REF!</definedName>
    <definedName name="C_D_14" localSheetId="5">#REF!</definedName>
    <definedName name="C_D_14" localSheetId="4">#REF!</definedName>
    <definedName name="C_D_14">#REF!</definedName>
    <definedName name="C_D_14_5" localSheetId="5">#REF!</definedName>
    <definedName name="C_D_14_5" localSheetId="4">#REF!</definedName>
    <definedName name="C_D_14_5">#REF!</definedName>
    <definedName name="C_D_14_5_5" localSheetId="5">#REF!</definedName>
    <definedName name="C_D_14_5_5" localSheetId="4">#REF!</definedName>
    <definedName name="C_D_14_5_5">#REF!</definedName>
    <definedName name="C_D_14_8" localSheetId="5">#REF!</definedName>
    <definedName name="C_D_14_8" localSheetId="4">#REF!</definedName>
    <definedName name="C_D_14_8">#REF!</definedName>
    <definedName name="C_D_3" localSheetId="5">#REF!</definedName>
    <definedName name="C_D_3" localSheetId="4">#REF!</definedName>
    <definedName name="C_D_3">#REF!</definedName>
    <definedName name="C_D_5" localSheetId="5">#REF!</definedName>
    <definedName name="C_D_5" localSheetId="4">#REF!</definedName>
    <definedName name="C_D_5">#REF!</definedName>
    <definedName name="C_D_8" localSheetId="5">#REF!</definedName>
    <definedName name="C_D_8" localSheetId="4">#REF!</definedName>
    <definedName name="C_D_8">#REF!</definedName>
    <definedName name="cal">'[27]LOP Tool'!#REF!</definedName>
    <definedName name="Calendar" localSheetId="5">#REF!</definedName>
    <definedName name="Calendar" localSheetId="4">#REF!</definedName>
    <definedName name="Calendar">#REF!</definedName>
    <definedName name="Category" localSheetId="5">OFFSET([25]List!$F$3,,,COUNTA([25]List!$F$3:$F$75))</definedName>
    <definedName name="Category">OFFSET([26]List!$F$3, , ,COUNTA([26]List!$F$3:$F$75))</definedName>
    <definedName name="cc" localSheetId="5">#REF!</definedName>
    <definedName name="cc" localSheetId="4">#REF!</definedName>
    <definedName name="cc">#REF!</definedName>
    <definedName name="CCBB" localSheetId="5">#REF!</definedName>
    <definedName name="CCBB" localSheetId="4">#REF!</definedName>
    <definedName name="CCBB">#REF!</definedName>
    <definedName name="ccc">#N/A</definedName>
    <definedName name="cccc" localSheetId="5">#REF!</definedName>
    <definedName name="cccc" localSheetId="4">#REF!</definedName>
    <definedName name="cccc">#REF!</definedName>
    <definedName name="CCCCC" localSheetId="5">#REF!</definedName>
    <definedName name="CCCCC" localSheetId="4">#REF!</definedName>
    <definedName name="CCCCC">#REF!</definedName>
    <definedName name="cdc" localSheetId="5">#REF!</definedName>
    <definedName name="cdc" localSheetId="4">#REF!</definedName>
    <definedName name="cdc">#REF!</definedName>
    <definedName name="CDD" localSheetId="5">#REF!</definedName>
    <definedName name="CDD" localSheetId="4">#REF!</definedName>
    <definedName name="CDD">#REF!</definedName>
    <definedName name="CDD_12">"$#REF!.$#REF!$#REF!"</definedName>
    <definedName name="CDD_12_5">"$#REF!.$#REF!$#REF!"</definedName>
    <definedName name="CDD_13">"$#REF!.$#REF!$#REF!"</definedName>
    <definedName name="CDD_13_5">"$#REF!.$#REF!$#REF!"</definedName>
    <definedName name="CDD_14">"$#REF!.$#REF!$#REF!"</definedName>
    <definedName name="CDD_14_5">"$#REF!.$#REF!$#REF!"</definedName>
    <definedName name="CDD_3" localSheetId="5">#REF!</definedName>
    <definedName name="CDD_3" localSheetId="4">#REF!</definedName>
    <definedName name="CDD_3">#REF!</definedName>
    <definedName name="CDD_3_5" localSheetId="5">#REF!</definedName>
    <definedName name="CDD_3_5" localSheetId="4">#REF!</definedName>
    <definedName name="CDD_3_5">#REF!</definedName>
    <definedName name="CDD_4" localSheetId="5">#REF!</definedName>
    <definedName name="CDD_4" localSheetId="4">#REF!</definedName>
    <definedName name="CDD_4">#REF!</definedName>
    <definedName name="CDD_42" localSheetId="5">#REF!</definedName>
    <definedName name="CDD_42" localSheetId="4">#REF!</definedName>
    <definedName name="CDD_42">#REF!</definedName>
    <definedName name="CDD_49" localSheetId="5">#REF!</definedName>
    <definedName name="CDD_49" localSheetId="4">#REF!</definedName>
    <definedName name="CDD_49">#REF!</definedName>
    <definedName name="CDD_5" localSheetId="5">#REF!</definedName>
    <definedName name="CDD_5" localSheetId="4">#REF!</definedName>
    <definedName name="CDD_5">#REF!</definedName>
    <definedName name="CDD_5_5" localSheetId="5">#REF!</definedName>
    <definedName name="CDD_5_5" localSheetId="4">#REF!</definedName>
    <definedName name="CDD_5_5">#REF!</definedName>
    <definedName name="CDD_6">"$#REF!.$#REF!$#REF!"</definedName>
    <definedName name="CDD_6_5">"$#REF!.$#REF!$#REF!"</definedName>
    <definedName name="CDD_7">"$#REF!.$#REF!$#REF!"</definedName>
    <definedName name="CDD_7_5">"$#REF!.$#REF!$#REF!"</definedName>
    <definedName name="CDD_8" localSheetId="5">#REF!</definedName>
    <definedName name="CDD_8" localSheetId="4">#REF!</definedName>
    <definedName name="CDD_8">#REF!</definedName>
    <definedName name="CDD_8_5">"$#REF!.$#REF!$#REF!"</definedName>
    <definedName name="CFM" localSheetId="5">#REF!</definedName>
    <definedName name="CFM" localSheetId="4">#REF!</definedName>
    <definedName name="CFM">#REF!</definedName>
    <definedName name="CFM_12" localSheetId="5">#REF!</definedName>
    <definedName name="CFM_12" localSheetId="4">#REF!</definedName>
    <definedName name="CFM_12">#REF!</definedName>
    <definedName name="CFM_12_5" localSheetId="5">#REF!</definedName>
    <definedName name="CFM_12_5" localSheetId="4">#REF!</definedName>
    <definedName name="CFM_12_5">#REF!</definedName>
    <definedName name="CFM_12_5_5" localSheetId="5">#REF!</definedName>
    <definedName name="CFM_12_5_5" localSheetId="4">#REF!</definedName>
    <definedName name="CFM_12_5_5">#REF!</definedName>
    <definedName name="CFM_12_8" localSheetId="5">#REF!</definedName>
    <definedName name="CFM_12_8" localSheetId="4">#REF!</definedName>
    <definedName name="CFM_12_8">#REF!</definedName>
    <definedName name="CFM_13" localSheetId="5">#REF!</definedName>
    <definedName name="CFM_13" localSheetId="4">#REF!</definedName>
    <definedName name="CFM_13">#REF!</definedName>
    <definedName name="CFM_13_5" localSheetId="5">#REF!</definedName>
    <definedName name="CFM_13_5" localSheetId="4">#REF!</definedName>
    <definedName name="CFM_13_5">#REF!</definedName>
    <definedName name="CFM_13_5_5" localSheetId="5">#REF!</definedName>
    <definedName name="CFM_13_5_5" localSheetId="4">#REF!</definedName>
    <definedName name="CFM_13_5_5">#REF!</definedName>
    <definedName name="CFM_13_8" localSheetId="5">#REF!</definedName>
    <definedName name="CFM_13_8" localSheetId="4">#REF!</definedName>
    <definedName name="CFM_13_8">#REF!</definedName>
    <definedName name="CFM_14" localSheetId="5">#REF!</definedName>
    <definedName name="CFM_14" localSheetId="4">#REF!</definedName>
    <definedName name="CFM_14">#REF!</definedName>
    <definedName name="CFM_14_5" localSheetId="5">#REF!</definedName>
    <definedName name="CFM_14_5" localSheetId="4">#REF!</definedName>
    <definedName name="CFM_14_5">#REF!</definedName>
    <definedName name="CFM_14_5_5" localSheetId="5">#REF!</definedName>
    <definedName name="CFM_14_5_5" localSheetId="4">#REF!</definedName>
    <definedName name="CFM_14_5_5">#REF!</definedName>
    <definedName name="CFM_14_8" localSheetId="5">#REF!</definedName>
    <definedName name="CFM_14_8" localSheetId="4">#REF!</definedName>
    <definedName name="CFM_14_8">#REF!</definedName>
    <definedName name="CFM_3" localSheetId="5">#REF!</definedName>
    <definedName name="CFM_3" localSheetId="4">#REF!</definedName>
    <definedName name="CFM_3">#REF!</definedName>
    <definedName name="CFM_5" localSheetId="5">#REF!</definedName>
    <definedName name="CFM_5" localSheetId="4">#REF!</definedName>
    <definedName name="CFM_5">#REF!</definedName>
    <definedName name="CFM_8" localSheetId="5">#REF!</definedName>
    <definedName name="CFM_8" localSheetId="4">#REF!</definedName>
    <definedName name="CFM_8">#REF!</definedName>
    <definedName name="CFMD" localSheetId="5">#REF!</definedName>
    <definedName name="CFMD" localSheetId="4">#REF!</definedName>
    <definedName name="CFMD">#REF!</definedName>
    <definedName name="CFMD_12" localSheetId="5">#REF!</definedName>
    <definedName name="CFMD_12" localSheetId="4">#REF!</definedName>
    <definedName name="CFMD_12">#REF!</definedName>
    <definedName name="CFMD_12_5" localSheetId="5">#REF!</definedName>
    <definedName name="CFMD_12_5" localSheetId="4">#REF!</definedName>
    <definedName name="CFMD_12_5">#REF!</definedName>
    <definedName name="CFMD_12_5_5" localSheetId="5">#REF!</definedName>
    <definedName name="CFMD_12_5_5" localSheetId="4">#REF!</definedName>
    <definedName name="CFMD_12_5_5">#REF!</definedName>
    <definedName name="CFMD_12_8" localSheetId="5">#REF!</definedName>
    <definedName name="CFMD_12_8" localSheetId="4">#REF!</definedName>
    <definedName name="CFMD_12_8">#REF!</definedName>
    <definedName name="CFMD_13" localSheetId="5">#REF!</definedName>
    <definedName name="CFMD_13" localSheetId="4">#REF!</definedName>
    <definedName name="CFMD_13">#REF!</definedName>
    <definedName name="CFMD_13_5" localSheetId="5">#REF!</definedName>
    <definedName name="CFMD_13_5" localSheetId="4">#REF!</definedName>
    <definedName name="CFMD_13_5">#REF!</definedName>
    <definedName name="CFMD_13_5_5" localSheetId="5">#REF!</definedName>
    <definedName name="CFMD_13_5_5" localSheetId="4">#REF!</definedName>
    <definedName name="CFMD_13_5_5">#REF!</definedName>
    <definedName name="CFMD_13_8" localSheetId="5">#REF!</definedName>
    <definedName name="CFMD_13_8" localSheetId="4">#REF!</definedName>
    <definedName name="CFMD_13_8">#REF!</definedName>
    <definedName name="CFMD_14" localSheetId="5">#REF!</definedName>
    <definedName name="CFMD_14" localSheetId="4">#REF!</definedName>
    <definedName name="CFMD_14">#REF!</definedName>
    <definedName name="CFMD_14_5" localSheetId="5">#REF!</definedName>
    <definedName name="CFMD_14_5" localSheetId="4">#REF!</definedName>
    <definedName name="CFMD_14_5">#REF!</definedName>
    <definedName name="CFMD_14_5_5" localSheetId="5">#REF!</definedName>
    <definedName name="CFMD_14_5_5" localSheetId="4">#REF!</definedName>
    <definedName name="CFMD_14_5_5">#REF!</definedName>
    <definedName name="CFMD_14_8" localSheetId="5">#REF!</definedName>
    <definedName name="CFMD_14_8" localSheetId="4">#REF!</definedName>
    <definedName name="CFMD_14_8">#REF!</definedName>
    <definedName name="CFMD_3" localSheetId="5">#REF!</definedName>
    <definedName name="CFMD_3" localSheetId="4">#REF!</definedName>
    <definedName name="CFMD_3">#REF!</definedName>
    <definedName name="CFMD_5" localSheetId="5">#REF!</definedName>
    <definedName name="CFMD_5" localSheetId="4">#REF!</definedName>
    <definedName name="CFMD_5">#REF!</definedName>
    <definedName name="CFMD_8" localSheetId="5">#REF!</definedName>
    <definedName name="CFMD_8" localSheetId="4">#REF!</definedName>
    <definedName name="CFMD_8">#REF!</definedName>
    <definedName name="CGWGS" localSheetId="5">#N/A</definedName>
    <definedName name="CGWGS" localSheetId="4">#REF!</definedName>
    <definedName name="CGWGS">#REF!</definedName>
    <definedName name="cha">BlankMacro1</definedName>
    <definedName name="Chart" localSheetId="5">#REF!</definedName>
    <definedName name="Chart" localSheetId="4">#REF!</definedName>
    <definedName name="Chart">#REF!</definedName>
    <definedName name="Chart2" localSheetId="5">#REF!</definedName>
    <definedName name="Chart2" localSheetId="4">#REF!</definedName>
    <definedName name="Chart2">#REF!</definedName>
    <definedName name="citeras" localSheetId="5">#REF!</definedName>
    <definedName name="citeras" localSheetId="4">#REF!</definedName>
    <definedName name="citeras">#REF!</definedName>
    <definedName name="citeras2" localSheetId="5">#REF!</definedName>
    <definedName name="citeras2" localSheetId="4">#REF!</definedName>
    <definedName name="citeras2">#REF!</definedName>
    <definedName name="City" localSheetId="5">#N/A</definedName>
    <definedName name="City" localSheetId="4">#REF!</definedName>
    <definedName name="City">#REF!</definedName>
    <definedName name="Cleaning" localSheetId="5">#REF!</definedName>
    <definedName name="Cleaning" localSheetId="4">#REF!</definedName>
    <definedName name="Cleaning">#REF!</definedName>
    <definedName name="coba" localSheetId="5">#REF!</definedName>
    <definedName name="coba" localSheetId="4">#REF!</definedName>
    <definedName name="coba">#REF!</definedName>
    <definedName name="coba_12">"$#REF!.$#REF!$#REF!"</definedName>
    <definedName name="coba_12_5">"$#REF!.$#REF!$#REF!"</definedName>
    <definedName name="coba_13">"$#REF!.$#REF!$#REF!"</definedName>
    <definedName name="coba_13_5">"$#REF!.$#REF!$#REF!"</definedName>
    <definedName name="coba_14">"$#REF!.$#REF!$#REF!"</definedName>
    <definedName name="coba_14_5">"$#REF!.$#REF!$#REF!"</definedName>
    <definedName name="coba_3" localSheetId="5">#REF!</definedName>
    <definedName name="coba_3" localSheetId="4">#REF!</definedName>
    <definedName name="coba_3">#REF!</definedName>
    <definedName name="coba_3_5" localSheetId="5">#REF!</definedName>
    <definedName name="coba_3_5" localSheetId="4">#REF!</definedName>
    <definedName name="coba_3_5">#REF!</definedName>
    <definedName name="coba_4" localSheetId="5">#REF!</definedName>
    <definedName name="coba_4" localSheetId="4">#REF!</definedName>
    <definedName name="coba_4">#REF!</definedName>
    <definedName name="coba_42" localSheetId="5">#REF!</definedName>
    <definedName name="coba_42" localSheetId="4">#REF!</definedName>
    <definedName name="coba_42">#REF!</definedName>
    <definedName name="coba_49" localSheetId="5">#REF!</definedName>
    <definedName name="coba_49" localSheetId="4">#REF!</definedName>
    <definedName name="coba_49">#REF!</definedName>
    <definedName name="coba_5" localSheetId="5">#REF!</definedName>
    <definedName name="coba_5" localSheetId="4">#REF!</definedName>
    <definedName name="coba_5">#REF!</definedName>
    <definedName name="coba_5_5" localSheetId="5">#REF!</definedName>
    <definedName name="coba_5_5" localSheetId="4">#REF!</definedName>
    <definedName name="coba_5_5">#REF!</definedName>
    <definedName name="coba_6">"$#REF!.$#REF!$#REF!"</definedName>
    <definedName name="coba_6_5">"$#REF!.$#REF!$#REF!"</definedName>
    <definedName name="coba_7">"$#REF!.$#REF!$#REF!"</definedName>
    <definedName name="coba_7_5">"$#REF!.$#REF!$#REF!"</definedName>
    <definedName name="coba_8" localSheetId="5">#REF!</definedName>
    <definedName name="coba_8" localSheetId="4">#REF!</definedName>
    <definedName name="coba_8">#REF!</definedName>
    <definedName name="coba_8_5">"$#REF!.$#REF!$#REF!"</definedName>
    <definedName name="Code" localSheetId="5" hidden="1">#REF!</definedName>
    <definedName name="Code" localSheetId="4" hidden="1">#REF!</definedName>
    <definedName name="Code" hidden="1">#REF!</definedName>
    <definedName name="COLOR" localSheetId="5">#REF!</definedName>
    <definedName name="COLOR" localSheetId="4">#REF!</definedName>
    <definedName name="COLOR">#REF!</definedName>
    <definedName name="color_4" localSheetId="5">#REF!</definedName>
    <definedName name="color_4" localSheetId="4">#REF!</definedName>
    <definedName name="color_4">#REF!</definedName>
    <definedName name="color_42" localSheetId="5">#REF!</definedName>
    <definedName name="color_42" localSheetId="4">#REF!</definedName>
    <definedName name="color_42">#REF!</definedName>
    <definedName name="color_49" localSheetId="5">#REF!</definedName>
    <definedName name="color_49" localSheetId="4">#REF!</definedName>
    <definedName name="color_49">#REF!</definedName>
    <definedName name="comment" localSheetId="5">[28]Sheet1!$C$2:$C$12</definedName>
    <definedName name="comment">[29]Sheet1!$C$2:$C$12</definedName>
    <definedName name="COMP" localSheetId="5">#REF!</definedName>
    <definedName name="COMP" localSheetId="4">#REF!</definedName>
    <definedName name="COMP">#REF!</definedName>
    <definedName name="Company" localSheetId="5">#N/A</definedName>
    <definedName name="Company" localSheetId="4">#REF!</definedName>
    <definedName name="Company">#REF!</definedName>
    <definedName name="Concated" localSheetId="5">OFFSET(#REF!,0,0,COUNTIF((#REF!),"&gt;0"))</definedName>
    <definedName name="Concated" localSheetId="4">OFFSET(#REF!,0,0,COUNTIF((#REF!),"&gt;0"))</definedName>
    <definedName name="Concated">OFFSET(#REF!,0,0,COUNTIF((#REF!),"&gt;0"))</definedName>
    <definedName name="CONSIDERED_RATINGS" localSheetId="5">[30]Tables!$A$194:$A$197</definedName>
    <definedName name="CONSIDERED_RATINGS">[31]Tables!$A$194:$A$197</definedName>
    <definedName name="CONSUMER_FOCUS" localSheetId="5">[32]Tables!$A$70:$A$78</definedName>
    <definedName name="CONSUMER_FOCUS">[33]Tables!$A$70:$A$78</definedName>
    <definedName name="CONSUMER_GROUP" localSheetId="5">[32]Tables!$A$8:$A$9</definedName>
    <definedName name="CONSUMER_GROUP">[33]Tables!$A$8:$A$9</definedName>
    <definedName name="Continue">#N/A</definedName>
    <definedName name="cou" localSheetId="5">#REF!</definedName>
    <definedName name="cou" localSheetId="4">#REF!</definedName>
    <definedName name="cou">#REF!</definedName>
    <definedName name="cou_1">#N/A</definedName>
    <definedName name="cou_21" localSheetId="5">#REF!</definedName>
    <definedName name="cou_21" localSheetId="4">#REF!</definedName>
    <definedName name="cou_21">#REF!</definedName>
    <definedName name="cou_5" localSheetId="5">#REF!</definedName>
    <definedName name="cou_5" localSheetId="4">#REF!</definedName>
    <definedName name="cou_5">#REF!</definedName>
    <definedName name="cou_8" localSheetId="5">#REF!</definedName>
    <definedName name="cou_8" localSheetId="4">#REF!</definedName>
    <definedName name="cou_8">#REF!</definedName>
    <definedName name="cou_9" localSheetId="5">#REF!</definedName>
    <definedName name="cou_9" localSheetId="4">#REF!</definedName>
    <definedName name="cou_9">#REF!</definedName>
    <definedName name="Countries" localSheetId="5">OFFSET([34]List!$B$3,,,COUNTA([34]List!$B$3:$B$50))</definedName>
    <definedName name="Countries">OFFSET([35]List!$B$3, , ,COUNTA([35]List!$B$3:$B$50))</definedName>
    <definedName name="Country" localSheetId="5">#N/A</definedName>
    <definedName name="Country" localSheetId="4">#REF!</definedName>
    <definedName name="Country">#REF!</definedName>
    <definedName name="Country_1" localSheetId="5">#REF!</definedName>
    <definedName name="Country_1">#N/A</definedName>
    <definedName name="Country_10" localSheetId="5">#REF!</definedName>
    <definedName name="Country_10" localSheetId="4">#REF!</definedName>
    <definedName name="Country_10">#REF!</definedName>
    <definedName name="Country_2" localSheetId="5">#REF!</definedName>
    <definedName name="Country_2" localSheetId="4">#REF!</definedName>
    <definedName name="Country_2">#REF!</definedName>
    <definedName name="Country_21" localSheetId="5">#REF!</definedName>
    <definedName name="Country_21" localSheetId="4">#REF!</definedName>
    <definedName name="Country_21">#REF!</definedName>
    <definedName name="Country_3" localSheetId="5">#REF!</definedName>
    <definedName name="Country_3" localSheetId="4">#REF!</definedName>
    <definedName name="Country_3">#REF!</definedName>
    <definedName name="Country_4" localSheetId="5">#REF!</definedName>
    <definedName name="Country_4" localSheetId="4">#REF!</definedName>
    <definedName name="Country_4">#REF!</definedName>
    <definedName name="Country_5" localSheetId="5">#REF!</definedName>
    <definedName name="Country_5" localSheetId="4">#REF!</definedName>
    <definedName name="Country_5">#REF!</definedName>
    <definedName name="Country_8" localSheetId="5">#REF!</definedName>
    <definedName name="Country_8" localSheetId="4">#REF!</definedName>
    <definedName name="Country_8">#REF!</definedName>
    <definedName name="Country_9" localSheetId="5">#REF!</definedName>
    <definedName name="Country_9" localSheetId="4">#REF!</definedName>
    <definedName name="Country_9">#REF!</definedName>
    <definedName name="country1">'[36]Supplier List'!$E$2:$E$23</definedName>
    <definedName name="cover" localSheetId="5">#REF!</definedName>
    <definedName name="cover" localSheetId="4">#REF!</definedName>
    <definedName name="cover">#REF!</definedName>
    <definedName name="cover_12">"$#REF!.$E$62:$F$62"</definedName>
    <definedName name="cover_13">"$#REF!.$E$62:$F$62"</definedName>
    <definedName name="cover_14">"$#REF!.$E$62:$F$62"</definedName>
    <definedName name="cover_3" localSheetId="5">#REF!</definedName>
    <definedName name="cover_3" localSheetId="4">#REF!</definedName>
    <definedName name="cover_3">#REF!</definedName>
    <definedName name="cover_4" localSheetId="5">#REF!</definedName>
    <definedName name="cover_4" localSheetId="4">#REF!</definedName>
    <definedName name="cover_4">#REF!</definedName>
    <definedName name="cover_6">"$#REF!.$E$62:$F$62"</definedName>
    <definedName name="cover_7">"$#REF!.$E$62:$F$62"</definedName>
    <definedName name="cover_8">"$#REF!.$E$62:$F$62"</definedName>
    <definedName name="COVER1" localSheetId="5">#REF!</definedName>
    <definedName name="COVER1" localSheetId="4">#REF!</definedName>
    <definedName name="COVER1">#REF!</definedName>
    <definedName name="Cover2" localSheetId="5">#REF!</definedName>
    <definedName name="Cover2" localSheetId="4">#REF!</definedName>
    <definedName name="Cover2">#REF!</definedName>
    <definedName name="CTBCal" localSheetId="5">#REF!</definedName>
    <definedName name="CTBCal" localSheetId="4">#REF!</definedName>
    <definedName name="CTBCal">#REF!</definedName>
    <definedName name="Cum" localSheetId="5">OFFSET(#REF!,0,0,COUNTIF((#REF!),"&gt;0"))</definedName>
    <definedName name="Cum" localSheetId="4">OFFSET(#REF!,0,0,COUNTIF((#REF!),"&gt;0"))</definedName>
    <definedName name="Cum">OFFSET(#REF!,0,0,COUNTIF((#REF!),"&gt;0"))</definedName>
    <definedName name="cuo">[37]Tables!#REF!</definedName>
    <definedName name="CustomID" localSheetId="5">#REF!</definedName>
    <definedName name="CustomID" localSheetId="4">#REF!</definedName>
    <definedName name="CustomID">#REF!</definedName>
    <definedName name="CustomID_12">"'smb://Emmanuel/D_Base%2520%2520%2520P_P_I_C/My%2520Documents/cvs/CONVERSE%2520ORDER.xls'#$APL.$A$#REF!:'smb://Emmanuel/D_Base%2520%2520%2520P_P_I_C/My%2520Documents/cvs/CONVERSE%2520ORDER.xls'#$APL.$A$88"</definedName>
    <definedName name="CustomID_12_5">"'smb://Emmanuel/D_Base%2520%2520%2520P_P_I_C/My%2520Documents/cvs/CONVERSE%2520ORDER.xls'#$APL.$C$#REF!:'smb://Emmanuel/D_Base%2520%2520%2520P_P_I_C/My%2520Documents/cvs/CONVERSE%2520ORDER.xls'#$APL.$CM$88"</definedName>
    <definedName name="CustomID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2_8">"'smb://Emmanuel/D_Base%252520%252520%252520P_P_I_C/My%252520Documents/cvs/CONVERSE%252520ORDER.xls'#$APL.$A$#REF!:'smb://Emmanuel/D_Base%252520%252520%252520P_P_I_C/My%252520Documents/cvs/CONVERSE%252520ORDER.xls'#$APL.$A$88"</definedName>
    <definedName name="CustomID_13">"'smb://Emmanuel/D_Base%2520%2520%2520P_P_I_C/My%2520Documents/cvs/CONVERSE%2520ORDER.xls'#$APL.$A$#REF!:'smb://Emmanuel/D_Base%2520%2520%2520P_P_I_C/My%2520Documents/cvs/CONVERSE%2520ORDER.xls'#$APL.$A$88"</definedName>
    <definedName name="CustomID_13_5">"'smb://Emmanuel/D_Base%2520%2520%2520P_P_I_C/My%2520Documents/cvs/CONVERSE%2520ORDER.xls'#$APL.$C$#REF!:'smb://Emmanuel/D_Base%2520%2520%2520P_P_I_C/My%2520Documents/cvs/CONVERSE%2520ORDER.xls'#$APL.$CM$88"</definedName>
    <definedName name="CustomID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3_8">"'smb://Emmanuel/D_Base%252520%252520%252520P_P_I_C/My%252520Documents/cvs/CONVERSE%252520ORDER.xls'#$APL.$A$#REF!:'smb://Emmanuel/D_Base%252520%252520%252520P_P_I_C/My%252520Documents/cvs/CONVERSE%252520ORDER.xls'#$APL.$A$88"</definedName>
    <definedName name="CustomID_14">"'smb://Emmanuel/D_Base%2520%2520%2520P_P_I_C/My%2520Documents/cvs/CONVERSE%2520ORDER.xls'#$APL.$A$#REF!:'smb://Emmanuel/D_Base%2520%2520%2520P_P_I_C/My%2520Documents/cvs/CONVERSE%2520ORDER.xls'#$APL.$A$88"</definedName>
    <definedName name="CustomID_14_5">"'smb://Emmanuel/D_Base%2520%2520%2520P_P_I_C/My%2520Documents/cvs/CONVERSE%2520ORDER.xls'#$APL.$C$#REF!:'smb://Emmanuel/D_Base%2520%2520%2520P_P_I_C/My%2520Documents/cvs/CONVERSE%2520ORDER.xls'#$APL.$CM$88"</definedName>
    <definedName name="CustomID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4_8">"'smb://Emmanuel/D_Base%252520%252520%252520P_P_I_C/My%252520Documents/cvs/CONVERSE%252520ORDER.xls'#$APL.$A$#REF!:'smb://Emmanuel/D_Base%252520%252520%252520P_P_I_C/My%252520Documents/cvs/CONVERSE%252520ORDER.xls'#$APL.$A$88"</definedName>
    <definedName name="CustomID_3">"'smb://Emmanuel/D_Base%2520%2520%2520P_P_I_C/My%2520Documents/cvs/CONVERSE%2520ORDER.xls'#$APL.$C$#REF!:'smb://Emmanuel/D_Base%2520%2520%2520P_P_I_C/My%2520Documents/cvs/CONVERSE%2520ORDER.xls'#$APL.$CM$88"</definedName>
    <definedName name="CustomID_5">"'smb://Emmanuel/D_Base%252520%252520%252520P_P_I_C/My%252520Documents/cvs/CONVERSE%252520ORDER.xls'#$APL.$C$#REF!:'smb://Emmanuel/D_Base%252520%252520%252520P_P_I_C/My%252520Documents/cvs/CONVERSE%252520ORDER.xls'#$APL.$CM$88"</definedName>
    <definedName name="CustomID_8">"'smb://Emmanuel/D_Base%2520%2520%2520P_P_I_C/My%2520Documents/cvs/CONVERSE%2520ORDER.xls'#$APL.$C$#REF!:'smb://Emmanuel/D_Base%2520%2520%2520P_P_I_C/My%2520Documents/cvs/CONVERSE%2520ORDER.xls'#$APL.$CM$88"</definedName>
    <definedName name="Cut_Begin" localSheetId="5">#REF!</definedName>
    <definedName name="Cut_Begin" localSheetId="4">#REF!</definedName>
    <definedName name="Cut_Begin">#REF!</definedName>
    <definedName name="Cut_Begin_12" localSheetId="5">#REF!</definedName>
    <definedName name="Cut_Begin_12" localSheetId="4">#REF!</definedName>
    <definedName name="Cut_Begin_12">#REF!</definedName>
    <definedName name="Cut_Begin_12_5" localSheetId="5">#REF!</definedName>
    <definedName name="Cut_Begin_12_5" localSheetId="4">#REF!</definedName>
    <definedName name="Cut_Begin_12_5">#REF!</definedName>
    <definedName name="Cut_Begin_12_5_5" localSheetId="5">#REF!</definedName>
    <definedName name="Cut_Begin_12_5_5" localSheetId="4">#REF!</definedName>
    <definedName name="Cut_Begin_12_5_5">#REF!</definedName>
    <definedName name="Cut_Begin_12_8" localSheetId="5">#REF!</definedName>
    <definedName name="Cut_Begin_12_8" localSheetId="4">#REF!</definedName>
    <definedName name="Cut_Begin_12_8">#REF!</definedName>
    <definedName name="Cut_Begin_13" localSheetId="5">#REF!</definedName>
    <definedName name="Cut_Begin_13" localSheetId="4">#REF!</definedName>
    <definedName name="Cut_Begin_13">#REF!</definedName>
    <definedName name="Cut_Begin_13_5" localSheetId="5">#REF!</definedName>
    <definedName name="Cut_Begin_13_5" localSheetId="4">#REF!</definedName>
    <definedName name="Cut_Begin_13_5">#REF!</definedName>
    <definedName name="Cut_Begin_13_5_5" localSheetId="5">#REF!</definedName>
    <definedName name="Cut_Begin_13_5_5" localSheetId="4">#REF!</definedName>
    <definedName name="Cut_Begin_13_5_5">#REF!</definedName>
    <definedName name="Cut_Begin_13_8" localSheetId="5">#REF!</definedName>
    <definedName name="Cut_Begin_13_8" localSheetId="4">#REF!</definedName>
    <definedName name="Cut_Begin_13_8">#REF!</definedName>
    <definedName name="Cut_Begin_14" localSheetId="5">#REF!</definedName>
    <definedName name="Cut_Begin_14" localSheetId="4">#REF!</definedName>
    <definedName name="Cut_Begin_14">#REF!</definedName>
    <definedName name="Cut_Begin_14_5" localSheetId="5">#REF!</definedName>
    <definedName name="Cut_Begin_14_5" localSheetId="4">#REF!</definedName>
    <definedName name="Cut_Begin_14_5">#REF!</definedName>
    <definedName name="Cut_Begin_14_5_5" localSheetId="5">#REF!</definedName>
    <definedName name="Cut_Begin_14_5_5" localSheetId="4">#REF!</definedName>
    <definedName name="Cut_Begin_14_5_5">#REF!</definedName>
    <definedName name="Cut_Begin_14_8" localSheetId="5">#REF!</definedName>
    <definedName name="Cut_Begin_14_8" localSheetId="4">#REF!</definedName>
    <definedName name="Cut_Begin_14_8">#REF!</definedName>
    <definedName name="Cut_Begin_3" localSheetId="5">#REF!</definedName>
    <definedName name="Cut_Begin_3" localSheetId="4">#REF!</definedName>
    <definedName name="Cut_Begin_3">#REF!</definedName>
    <definedName name="Cut_Begin_5" localSheetId="5">#REF!</definedName>
    <definedName name="Cut_Begin_5" localSheetId="4">#REF!</definedName>
    <definedName name="Cut_Begin_5">#REF!</definedName>
    <definedName name="Cut_Begin_8" localSheetId="5">#REF!</definedName>
    <definedName name="Cut_Begin_8" localSheetId="4">#REF!</definedName>
    <definedName name="Cut_Begin_8">#REF!</definedName>
    <definedName name="Cut_End" localSheetId="5">#REF!</definedName>
    <definedName name="Cut_End" localSheetId="4">#REF!</definedName>
    <definedName name="Cut_End">#REF!</definedName>
    <definedName name="Cut_End_12" localSheetId="5">#REF!</definedName>
    <definedName name="Cut_End_12" localSheetId="4">#REF!</definedName>
    <definedName name="Cut_End_12">#REF!</definedName>
    <definedName name="Cut_End_12_5" localSheetId="5">#REF!</definedName>
    <definedName name="Cut_End_12_5" localSheetId="4">#REF!</definedName>
    <definedName name="Cut_End_12_5">#REF!</definedName>
    <definedName name="Cut_End_12_5_5" localSheetId="5">#REF!</definedName>
    <definedName name="Cut_End_12_5_5" localSheetId="4">#REF!</definedName>
    <definedName name="Cut_End_12_5_5">#REF!</definedName>
    <definedName name="Cut_End_12_8" localSheetId="5">#REF!</definedName>
    <definedName name="Cut_End_12_8" localSheetId="4">#REF!</definedName>
    <definedName name="Cut_End_12_8">#REF!</definedName>
    <definedName name="Cut_End_13" localSheetId="5">#REF!</definedName>
    <definedName name="Cut_End_13" localSheetId="4">#REF!</definedName>
    <definedName name="Cut_End_13">#REF!</definedName>
    <definedName name="Cut_End_13_5" localSheetId="5">#REF!</definedName>
    <definedName name="Cut_End_13_5" localSheetId="4">#REF!</definedName>
    <definedName name="Cut_End_13_5">#REF!</definedName>
    <definedName name="Cut_End_13_5_5" localSheetId="5">#REF!</definedName>
    <definedName name="Cut_End_13_5_5" localSheetId="4">#REF!</definedName>
    <definedName name="Cut_End_13_5_5">#REF!</definedName>
    <definedName name="Cut_End_13_8" localSheetId="5">#REF!</definedName>
    <definedName name="Cut_End_13_8" localSheetId="4">#REF!</definedName>
    <definedName name="Cut_End_13_8">#REF!</definedName>
    <definedName name="Cut_End_14" localSheetId="5">#REF!</definedName>
    <definedName name="Cut_End_14" localSheetId="4">#REF!</definedName>
    <definedName name="Cut_End_14">#REF!</definedName>
    <definedName name="Cut_End_14_5" localSheetId="5">#REF!</definedName>
    <definedName name="Cut_End_14_5" localSheetId="4">#REF!</definedName>
    <definedName name="Cut_End_14_5">#REF!</definedName>
    <definedName name="Cut_End_14_5_5" localSheetId="5">#REF!</definedName>
    <definedName name="Cut_End_14_5_5" localSheetId="4">#REF!</definedName>
    <definedName name="Cut_End_14_5_5">#REF!</definedName>
    <definedName name="Cut_End_14_8" localSheetId="5">#REF!</definedName>
    <definedName name="Cut_End_14_8" localSheetId="4">#REF!</definedName>
    <definedName name="Cut_End_14_8">#REF!</definedName>
    <definedName name="Cut_End_3" localSheetId="5">#REF!</definedName>
    <definedName name="Cut_End_3" localSheetId="4">#REF!</definedName>
    <definedName name="Cut_End_3">#REF!</definedName>
    <definedName name="Cut_End_5" localSheetId="5">#REF!</definedName>
    <definedName name="Cut_End_5" localSheetId="4">#REF!</definedName>
    <definedName name="Cut_End_5">#REF!</definedName>
    <definedName name="Cut_End_8" localSheetId="5">#REF!</definedName>
    <definedName name="Cut_End_8" localSheetId="4">#REF!</definedName>
    <definedName name="Cut_End_8">#REF!</definedName>
    <definedName name="cuting" localSheetId="5">#REF!</definedName>
    <definedName name="cuting" localSheetId="4">#REF!</definedName>
    <definedName name="cuting">#REF!</definedName>
    <definedName name="CUTTING" localSheetId="5">#REF!</definedName>
    <definedName name="CUTTING" localSheetId="4">#REF!</definedName>
    <definedName name="CUTTING">#REF!</definedName>
    <definedName name="CUTTING_5" localSheetId="5">#REF!</definedName>
    <definedName name="CUTTING_5" localSheetId="4">#REF!</definedName>
    <definedName name="CUTTING_5">#REF!</definedName>
    <definedName name="CUTTING_5_1">#N/A</definedName>
    <definedName name="CUTTING_5_5" localSheetId="5">#REF!</definedName>
    <definedName name="CUTTING_5_5" localSheetId="4">#REF!</definedName>
    <definedName name="CUTTING_5_5">#REF!</definedName>
    <definedName name="CUTTING_8" localSheetId="5">#REF!</definedName>
    <definedName name="CUTTING_8" localSheetId="4">#REF!</definedName>
    <definedName name="CUTTING_8">#REF!</definedName>
    <definedName name="Cutting1" localSheetId="5">#REF!</definedName>
    <definedName name="Cutting1" localSheetId="4">#REF!</definedName>
    <definedName name="Cutting1">#REF!</definedName>
    <definedName name="cvg" localSheetId="5">#REF!</definedName>
    <definedName name="cvg" localSheetId="4">#REF!</definedName>
    <definedName name="cvg">#REF!</definedName>
    <definedName name="CVHJS">#REF!</definedName>
    <definedName name="cvncncncncnccnc">'[19]Upper Cutting Schedules (8)'!A4PAPER</definedName>
    <definedName name="D" localSheetId="5">#REF!</definedName>
    <definedName name="D" localSheetId="4">#REF!</definedName>
    <definedName name="D">#REF!</definedName>
    <definedName name="D_5" localSheetId="5">#REF!</definedName>
    <definedName name="D_5" localSheetId="4">#REF!</definedName>
    <definedName name="D_5">#REF!</definedName>
    <definedName name="D_8" localSheetId="5">#REF!</definedName>
    <definedName name="D_8" localSheetId="4">#REF!</definedName>
    <definedName name="D_8">#REF!</definedName>
    <definedName name="dadali" localSheetId="5">#REF!</definedName>
    <definedName name="dadali" localSheetId="4">#REF!</definedName>
    <definedName name="dadali">#REF!</definedName>
    <definedName name="dadf" localSheetId="5">#N/A</definedName>
    <definedName name="dadf" localSheetId="4">#REF!</definedName>
    <definedName name="dadf">#REF!</definedName>
    <definedName name="DAEQ" localSheetId="5">#REF!</definedName>
    <definedName name="DAEQ" localSheetId="4">#REF!</definedName>
    <definedName name="DAEQ">#REF!</definedName>
    <definedName name="DAFAF3EFD" localSheetId="5">#N/A</definedName>
    <definedName name="DAFAF3EFD" localSheetId="4">#REF!</definedName>
    <definedName name="DAFAF3EFD">#REF!</definedName>
    <definedName name="DAFAFEDADFA" localSheetId="5">#N/A</definedName>
    <definedName name="DAFAFEDADFA" localSheetId="4">#REF!</definedName>
    <definedName name="DAFAFEDADFA">#REF!</definedName>
    <definedName name="DAFDFA" localSheetId="5">#REF!</definedName>
    <definedName name="DAFDFA" localSheetId="4">#REF!</definedName>
    <definedName name="DAFDFA">#REF!</definedName>
    <definedName name="dafdfahbr" localSheetId="5">#REF!</definedName>
    <definedName name="dafdfahbr" localSheetId="4">#REF!</definedName>
    <definedName name="dafdfahbr">#REF!</definedName>
    <definedName name="DAFEAD4E" localSheetId="5">#N/A</definedName>
    <definedName name="DAFEAD4E" localSheetId="4">#REF!</definedName>
    <definedName name="DAFEAD4E">#REF!</definedName>
    <definedName name="daily">BlankMacro1</definedName>
    <definedName name="daily1">BlankMacro1</definedName>
    <definedName name="damn">BlankMacro1</definedName>
    <definedName name="DASDIII" localSheetId="5">#REF!</definedName>
    <definedName name="DASDIII" localSheetId="4">#REF!</definedName>
    <definedName name="DASDIII">#REF!</definedName>
    <definedName name="dat">'[27]LOP Tool'!#REF!</definedName>
    <definedName name="data" localSheetId="5">[38]heso!$B$1:$J$65536</definedName>
    <definedName name="data">[39]heso!$B$1:$J$65536</definedName>
    <definedName name="DATA_01" localSheetId="5" hidden="1">#REF!</definedName>
    <definedName name="DATA_01" localSheetId="4" hidden="1">#REF!</definedName>
    <definedName name="DATA_01" hidden="1">#REF!</definedName>
    <definedName name="DATA_02" localSheetId="5" hidden="1">#REF!</definedName>
    <definedName name="DATA_02" localSheetId="4" hidden="1">#REF!</definedName>
    <definedName name="DATA_02" hidden="1">#REF!</definedName>
    <definedName name="DATA_03" localSheetId="5" hidden="1">#REF!</definedName>
    <definedName name="DATA_03" localSheetId="4" hidden="1">#REF!</definedName>
    <definedName name="DATA_03" hidden="1">#REF!</definedName>
    <definedName name="DATA_04" localSheetId="5" hidden="1">#REF!</definedName>
    <definedName name="DATA_04" localSheetId="4" hidden="1">#REF!</definedName>
    <definedName name="DATA_04" hidden="1">#REF!</definedName>
    <definedName name="DATA_05" localSheetId="5" hidden="1">#REF!</definedName>
    <definedName name="DATA_05" localSheetId="4" hidden="1">#REF!</definedName>
    <definedName name="DATA_05" hidden="1">#REF!</definedName>
    <definedName name="data1" localSheetId="5" hidden="1">#REF!</definedName>
    <definedName name="data1" localSheetId="4" hidden="1">#REF!</definedName>
    <definedName name="data1" hidden="1">#REF!</definedName>
    <definedName name="data2" localSheetId="5" hidden="1">#REF!</definedName>
    <definedName name="data2" localSheetId="4" hidden="1">#REF!</definedName>
    <definedName name="data2" hidden="1">#REF!</definedName>
    <definedName name="data3" localSheetId="5" hidden="1">#REF!</definedName>
    <definedName name="data3" localSheetId="4" hidden="1">#REF!</definedName>
    <definedName name="data3" hidden="1">#REF!</definedName>
    <definedName name="Data4" localSheetId="5">OFFSET(#REF!,0,0,COUNTIF((#REF!),"&gt;0"))</definedName>
    <definedName name="Data4" localSheetId="4">OFFSET(#REF!,0,0,COUNTIF((#REF!),"&gt;0"))</definedName>
    <definedName name="Data4">OFFSET(#REF!,0,0,COUNTIF((#REF!),"&gt;0"))</definedName>
    <definedName name="_xlnm.Database" localSheetId="5">#REF!</definedName>
    <definedName name="_xlnm.Database" localSheetId="4">#REF!</definedName>
    <definedName name="_xlnm.Database">#REF!</definedName>
    <definedName name="DATAKU" localSheetId="5" hidden="1">#REF!</definedName>
    <definedName name="DATAKU" localSheetId="4" hidden="1">#REF!</definedName>
    <definedName name="DATAKU" hidden="1">#REF!</definedName>
    <definedName name="DD" localSheetId="5">#REF!</definedName>
    <definedName name="DD" localSheetId="4">#REF!</definedName>
    <definedName name="DD">#REF!</definedName>
    <definedName name="ddd" localSheetId="5">#N/A</definedName>
    <definedName name="ddd" localSheetId="4">#REF!</definedName>
    <definedName name="ddd">#REF!</definedName>
    <definedName name="DDDD" localSheetId="5">#REF!</definedName>
    <definedName name="DDDD" localSheetId="4">#REF!</definedName>
    <definedName name="DDDD">#REF!</definedName>
    <definedName name="DDDDDD" localSheetId="5">#REF!</definedName>
    <definedName name="DDDDDD" localSheetId="4">#REF!</definedName>
    <definedName name="DDDDDD">#REF!</definedName>
    <definedName name="ddddddd" localSheetId="5">#N/A</definedName>
    <definedName name="ddddddd" localSheetId="4">#REF!</definedName>
    <definedName name="ddddddd">#REF!</definedName>
    <definedName name="ddddddddddddd" localSheetId="5">#REF!</definedName>
    <definedName name="ddddddddddddd" localSheetId="4">#REF!</definedName>
    <definedName name="ddddddddddddd">#REF!</definedName>
    <definedName name="dddddddddddddd" localSheetId="5">#REF!</definedName>
    <definedName name="dddddddddddddd" localSheetId="4">#REF!</definedName>
    <definedName name="dddddddddddddd">#REF!</definedName>
    <definedName name="ddddddddddddddd">[4]!A_WEIGHTS</definedName>
    <definedName name="ddddds" localSheetId="5">#REF!</definedName>
    <definedName name="ddddds" localSheetId="4">#REF!</definedName>
    <definedName name="ddddds">#REF!</definedName>
    <definedName name="ddf" localSheetId="5">#REF!</definedName>
    <definedName name="ddf" localSheetId="4">#REF!</definedName>
    <definedName name="ddf">#REF!</definedName>
    <definedName name="DE" localSheetId="5">#REF!</definedName>
    <definedName name="DE" localSheetId="4">#REF!</definedName>
    <definedName name="DE">#REF!</definedName>
    <definedName name="dede" localSheetId="5">#REF!</definedName>
    <definedName name="dede" localSheetId="4">#REF!</definedName>
    <definedName name="dede">#REF!</definedName>
    <definedName name="dedi">#REF!</definedName>
    <definedName name="DeepWellPressing" localSheetId="5">#REF!</definedName>
    <definedName name="DeepWellPressing" localSheetId="4">#REF!</definedName>
    <definedName name="DeepWellPressing">#REF!</definedName>
    <definedName name="Delay" localSheetId="5">#REF!</definedName>
    <definedName name="Delay" localSheetId="4">#REF!</definedName>
    <definedName name="Delay">#REF!</definedName>
    <definedName name="Delay_12" localSheetId="5">#REF!</definedName>
    <definedName name="Delay_12" localSheetId="4">#REF!</definedName>
    <definedName name="Delay_12">#REF!</definedName>
    <definedName name="Delay_12_5" localSheetId="5">#REF!</definedName>
    <definedName name="Delay_12_5" localSheetId="4">#REF!</definedName>
    <definedName name="Delay_12_5">#REF!</definedName>
    <definedName name="Delay_12_5_5" localSheetId="5">#REF!</definedName>
    <definedName name="Delay_12_5_5" localSheetId="4">#REF!</definedName>
    <definedName name="Delay_12_5_5">#REF!</definedName>
    <definedName name="Delay_12_8" localSheetId="5">#REF!</definedName>
    <definedName name="Delay_12_8" localSheetId="4">#REF!</definedName>
    <definedName name="Delay_12_8">#REF!</definedName>
    <definedName name="Delay_13" localSheetId="5">#REF!</definedName>
    <definedName name="Delay_13" localSheetId="4">#REF!</definedName>
    <definedName name="Delay_13">#REF!</definedName>
    <definedName name="Delay_13_5" localSheetId="5">#REF!</definedName>
    <definedName name="Delay_13_5" localSheetId="4">#REF!</definedName>
    <definedName name="Delay_13_5">#REF!</definedName>
    <definedName name="Delay_13_5_5" localSheetId="5">#REF!</definedName>
    <definedName name="Delay_13_5_5" localSheetId="4">#REF!</definedName>
    <definedName name="Delay_13_5_5">#REF!</definedName>
    <definedName name="Delay_13_8" localSheetId="5">#REF!</definedName>
    <definedName name="Delay_13_8" localSheetId="4">#REF!</definedName>
    <definedName name="Delay_13_8">#REF!</definedName>
    <definedName name="Delay_14" localSheetId="5">#REF!</definedName>
    <definedName name="Delay_14" localSheetId="4">#REF!</definedName>
    <definedName name="Delay_14">#REF!</definedName>
    <definedName name="Delay_14_5" localSheetId="5">#REF!</definedName>
    <definedName name="Delay_14_5" localSheetId="4">#REF!</definedName>
    <definedName name="Delay_14_5">#REF!</definedName>
    <definedName name="Delay_14_5_5" localSheetId="5">#REF!</definedName>
    <definedName name="Delay_14_5_5" localSheetId="4">#REF!</definedName>
    <definedName name="Delay_14_5_5">#REF!</definedName>
    <definedName name="Delay_14_8" localSheetId="5">#REF!</definedName>
    <definedName name="Delay_14_8" localSheetId="4">#REF!</definedName>
    <definedName name="Delay_14_8">#REF!</definedName>
    <definedName name="Delay_3" localSheetId="5">#REF!</definedName>
    <definedName name="Delay_3" localSheetId="4">#REF!</definedName>
    <definedName name="Delay_3">#REF!</definedName>
    <definedName name="Delay_5" localSheetId="5">#REF!</definedName>
    <definedName name="Delay_5" localSheetId="4">#REF!</definedName>
    <definedName name="Delay_5">#REF!</definedName>
    <definedName name="Delay_8" localSheetId="5">#REF!</definedName>
    <definedName name="Delay_8" localSheetId="4">#REF!</definedName>
    <definedName name="Delay_8">#REF!</definedName>
    <definedName name="deq" localSheetId="5">#REF!</definedName>
    <definedName name="deq" localSheetId="4">#REF!</definedName>
    <definedName name="deq">#REF!</definedName>
    <definedName name="DEVI" localSheetId="5">#REF!</definedName>
    <definedName name="DEVI" localSheetId="4">#REF!</definedName>
    <definedName name="DEVI">#REF!</definedName>
    <definedName name="DF" localSheetId="5">#REF!</definedName>
    <definedName name="DF" localSheetId="4">#REF!</definedName>
    <definedName name="DF">#REF!</definedName>
    <definedName name="DF_3" localSheetId="5">#REF!</definedName>
    <definedName name="DF_3" localSheetId="4">#REF!</definedName>
    <definedName name="DF_3">#REF!</definedName>
    <definedName name="DF_4" localSheetId="5">#REF!</definedName>
    <definedName name="DF_4" localSheetId="4">#REF!</definedName>
    <definedName name="DF_4">#REF!</definedName>
    <definedName name="DFA" localSheetId="5">#REF!</definedName>
    <definedName name="DFA" localSheetId="4">#REF!</definedName>
    <definedName name="DFA">#REF!</definedName>
    <definedName name="DFAD" localSheetId="5">#REF!</definedName>
    <definedName name="DFAD" localSheetId="4">#REF!</definedName>
    <definedName name="DFAD">#REF!</definedName>
    <definedName name="DFADF" localSheetId="5">#REF!</definedName>
    <definedName name="DFADF" localSheetId="4">#REF!</definedName>
    <definedName name="DFADF">#REF!</definedName>
    <definedName name="DFADFA" localSheetId="5">#N/A</definedName>
    <definedName name="DFADFA" localSheetId="4">#REF!</definedName>
    <definedName name="DFADFA">#REF!</definedName>
    <definedName name="dfadfaf" localSheetId="5">#REF!</definedName>
    <definedName name="dfadfaf" localSheetId="4">#REF!</definedName>
    <definedName name="dfadfaf">#REF!</definedName>
    <definedName name="DFADFD" localSheetId="5">#N/A</definedName>
    <definedName name="DFADFD" localSheetId="4">#REF!</definedName>
    <definedName name="DFADFD">#REF!</definedName>
    <definedName name="DFADFDAFADF" localSheetId="5">#N/A</definedName>
    <definedName name="DFADFDAFADF" localSheetId="4">#REF!</definedName>
    <definedName name="DFADFDAFADF">#REF!</definedName>
    <definedName name="DFADFDFAFE" localSheetId="5">#REF!</definedName>
    <definedName name="DFADFDFAFE" localSheetId="4">#REF!</definedName>
    <definedName name="DFADFDFAFE">#REF!</definedName>
    <definedName name="dfadfefa" localSheetId="5">#N/A</definedName>
    <definedName name="dfadfefa" localSheetId="4">#REF!</definedName>
    <definedName name="dfadfefa">#REF!</definedName>
    <definedName name="dfadfqf" localSheetId="5">#REF!</definedName>
    <definedName name="dfadfqf" localSheetId="4">#REF!</definedName>
    <definedName name="dfadfqf">#REF!</definedName>
    <definedName name="DFAEADFAE" localSheetId="5">#REF!</definedName>
    <definedName name="DFAEADFAE" localSheetId="4">#REF!</definedName>
    <definedName name="DFAEADFAE">#REF!</definedName>
    <definedName name="DFAEFAE" localSheetId="5">#REF!</definedName>
    <definedName name="DFAEFAE" localSheetId="4">#REF!</definedName>
    <definedName name="DFAEFAE">#REF!</definedName>
    <definedName name="dfaf" localSheetId="5">#REF!</definedName>
    <definedName name="dfaf" localSheetId="4">#REF!</definedName>
    <definedName name="dfaf">#REF!</definedName>
    <definedName name="DFAFADF" localSheetId="5">#REF!</definedName>
    <definedName name="DFAFADF" localSheetId="4">#REF!</definedName>
    <definedName name="DFAFADF">#REF!</definedName>
    <definedName name="dfafdaf" localSheetId="5">#N/A</definedName>
    <definedName name="dfafdaf" localSheetId="4">#REF!</definedName>
    <definedName name="dfafdaf">#REF!</definedName>
    <definedName name="DFAFDFA" localSheetId="5">#N/A</definedName>
    <definedName name="DFAFDFA" localSheetId="4">#REF!</definedName>
    <definedName name="DFAFDFA">#REF!</definedName>
    <definedName name="dfafdfadfa" localSheetId="5">#N/A</definedName>
    <definedName name="dfafdfadfa" localSheetId="4">#REF!</definedName>
    <definedName name="dfafdfadfa">#REF!</definedName>
    <definedName name="dfafefad" localSheetId="5">#N/A</definedName>
    <definedName name="dfafefad" localSheetId="4">#REF!</definedName>
    <definedName name="dfafefad">#REF!</definedName>
    <definedName name="dfaqaf" localSheetId="5" hidden="1">#REF!</definedName>
    <definedName name="dfaqaf" localSheetId="4" hidden="1">#REF!</definedName>
    <definedName name="dfaqaf" hidden="1">#REF!</definedName>
    <definedName name="DFD" localSheetId="5">#N/A</definedName>
    <definedName name="DFD" localSheetId="4">#REF!</definedName>
    <definedName name="DFD">#REF!</definedName>
    <definedName name="DFDF" localSheetId="5">#REF!</definedName>
    <definedName name="DFDF" localSheetId="4">#REF!</definedName>
    <definedName name="DFDF">#REF!</definedName>
    <definedName name="DFDFADFA" localSheetId="5">#N/A</definedName>
    <definedName name="DFDFADFA" localSheetId="4">#REF!</definedName>
    <definedName name="DFDFADFA">#REF!</definedName>
    <definedName name="dfdfagxc" localSheetId="5">#REF!</definedName>
    <definedName name="dfdfagxc" localSheetId="4">#REF!</definedName>
    <definedName name="dfdfagxc">#REF!</definedName>
    <definedName name="DFDFD" localSheetId="5">#N/A</definedName>
    <definedName name="DFDFD" localSheetId="4">#REF!</definedName>
    <definedName name="DFDFD">#REF!</definedName>
    <definedName name="dfdsfef" localSheetId="5">#N/A</definedName>
    <definedName name="dfdsfef" localSheetId="4">#REF!</definedName>
    <definedName name="dfdsfef">#REF!</definedName>
    <definedName name="DFE335RG" localSheetId="5">#N/A</definedName>
    <definedName name="DFE335RG" localSheetId="4">#REF!</definedName>
    <definedName name="DFE335RG">#REF!</definedName>
    <definedName name="DFEAAEFAEF" localSheetId="5">#REF!</definedName>
    <definedName name="DFEAAEFAEF" localSheetId="4">#REF!</definedName>
    <definedName name="DFEAAEFAEF">#REF!</definedName>
    <definedName name="dfefadfe" localSheetId="5">#REF!</definedName>
    <definedName name="dfefadfe" localSheetId="4">#REF!</definedName>
    <definedName name="dfefadfe">#REF!</definedName>
    <definedName name="DFEFR" localSheetId="5">#REF!</definedName>
    <definedName name="DFEFR" localSheetId="4">#REF!</definedName>
    <definedName name="DFEFR">#REF!</definedName>
    <definedName name="dfgeax" localSheetId="5">[1]피유.프레스!#REF!</definedName>
    <definedName name="dfgeax" localSheetId="4">#REF!</definedName>
    <definedName name="dfgeax">#REF!</definedName>
    <definedName name="dfgegzdfz" localSheetId="5">#REF!</definedName>
    <definedName name="dfgegzdfz" localSheetId="4">#REF!</definedName>
    <definedName name="dfgegzdfz">#REF!</definedName>
    <definedName name="dfhgjfg" localSheetId="5">#REF!</definedName>
    <definedName name="dfhgjfg" localSheetId="4">#REF!</definedName>
    <definedName name="dfhgjfg">#REF!</definedName>
    <definedName name="DFHRS" localSheetId="5">#REF!</definedName>
    <definedName name="DFHRS" localSheetId="4">#REF!</definedName>
    <definedName name="DFHRS">#REF!</definedName>
    <definedName name="dfqefadfq" localSheetId="5">#N/A</definedName>
    <definedName name="dfqefadfq" localSheetId="4">#REF!</definedName>
    <definedName name="dfqefadfq">#REF!</definedName>
    <definedName name="dfqefadfqaef" localSheetId="5">#N/A</definedName>
    <definedName name="dfqefadfqaef" localSheetId="4">#REF!</definedName>
    <definedName name="dfqefadfqaef">#REF!</definedName>
    <definedName name="dfqefagqfa" localSheetId="5">#REF!</definedName>
    <definedName name="dfqefagqfa" localSheetId="4">#REF!</definedName>
    <definedName name="dfqefagqfa">#REF!</definedName>
    <definedName name="DFQEFQEDFA" localSheetId="5">#REF!</definedName>
    <definedName name="DFQEFQEDFA" localSheetId="4">#REF!</definedName>
    <definedName name="DFQEFQEDFA">#REF!</definedName>
    <definedName name="dfqfa" localSheetId="5">#REF!</definedName>
    <definedName name="dfqfa" localSheetId="4">#REF!</definedName>
    <definedName name="dfqfa">#REF!</definedName>
    <definedName name="dfqfadfq" localSheetId="5">#REF!</definedName>
    <definedName name="dfqfadfq" localSheetId="4">#REF!</definedName>
    <definedName name="dfqfadfq">#REF!</definedName>
    <definedName name="dfqfadfqf" localSheetId="5">#N/A</definedName>
    <definedName name="dfqfadfqf" localSheetId="4">#REF!</definedName>
    <definedName name="dfqfadfqf">#REF!</definedName>
    <definedName name="dfsdf" localSheetId="5">#REF!</definedName>
    <definedName name="dfsdf" localSheetId="4">#REF!</definedName>
    <definedName name="dfsdf">#REF!</definedName>
    <definedName name="dfsdgc" localSheetId="5">#REF!</definedName>
    <definedName name="dfsdgc" localSheetId="4">#REF!</definedName>
    <definedName name="dfsdgc">#REF!</definedName>
    <definedName name="dg" localSheetId="5">#REF!</definedName>
    <definedName name="dg" localSheetId="4">#REF!</definedName>
    <definedName name="dg">#REF!</definedName>
    <definedName name="dges" localSheetId="5">#REF!</definedName>
    <definedName name="dges" localSheetId="4">#REF!</definedName>
    <definedName name="dges">#REF!</definedName>
    <definedName name="DGFGEAFE" localSheetId="5">#REF!</definedName>
    <definedName name="DGFGEAFE" localSheetId="4">#REF!</definedName>
    <definedName name="DGFGEAFE">#REF!</definedName>
    <definedName name="DGHDFJHFGK" localSheetId="5">#N/A</definedName>
    <definedName name="DGHDFJHFGK" localSheetId="4">#REF!</definedName>
    <definedName name="DGHDFJHFGK">#REF!</definedName>
    <definedName name="dhdfhdzhf" localSheetId="5">#REF!</definedName>
    <definedName name="dhdfhdzhf" localSheetId="4">#REF!</definedName>
    <definedName name="dhdfhdzhf">#REF!</definedName>
    <definedName name="DHFGKHG" localSheetId="5">#N/A</definedName>
    <definedName name="DHFGKHG" localSheetId="4">#REF!</definedName>
    <definedName name="DHFGKHG">#REF!</definedName>
    <definedName name="dhghfghfghfhsf">[40]!dhghfghfghfhsf</definedName>
    <definedName name="diane">[2]!diane</definedName>
    <definedName name="Direct">[41]BMN405!#REF!</definedName>
    <definedName name="Discount" localSheetId="5" hidden="1">#REF!</definedName>
    <definedName name="Discount" localSheetId="4" hidden="1">#REF!</definedName>
    <definedName name="Discount" hidden="1">#REF!</definedName>
    <definedName name="display_area_2" localSheetId="5" hidden="1">#REF!</definedName>
    <definedName name="display_area_2" localSheetId="4" hidden="1">#REF!</definedName>
    <definedName name="display_area_2" hidden="1">#REF!</definedName>
    <definedName name="djfjhg" localSheetId="5">#N/A</definedName>
    <definedName name="djfjhg" localSheetId="4">#REF!</definedName>
    <definedName name="djfjhg">#REF!</definedName>
    <definedName name="document" localSheetId="5">#REF!</definedName>
    <definedName name="document" localSheetId="4">#REF!</definedName>
    <definedName name="document">#REF!</definedName>
    <definedName name="document_5" localSheetId="5">#REF!</definedName>
    <definedName name="document_5" localSheetId="4">#REF!</definedName>
    <definedName name="document_5">#REF!</definedName>
    <definedName name="document_8" localSheetId="5">#REF!</definedName>
    <definedName name="document_8" localSheetId="4">#REF!</definedName>
    <definedName name="document_8">#REF!</definedName>
    <definedName name="documnt" localSheetId="5">#REF!</definedName>
    <definedName name="documnt" localSheetId="4">#REF!</definedName>
    <definedName name="documnt">#REF!</definedName>
    <definedName name="documnt_5" localSheetId="5">#REF!</definedName>
    <definedName name="documnt_5" localSheetId="4">#REF!</definedName>
    <definedName name="documnt_5">#REF!</definedName>
    <definedName name="documnt_5_1">#N/A</definedName>
    <definedName name="documnt_5_5" localSheetId="5">#REF!</definedName>
    <definedName name="documnt_5_5" localSheetId="4">#REF!</definedName>
    <definedName name="documnt_5_5">#REF!</definedName>
    <definedName name="documnt_6">"$#REF!.$E$62:$F$62"</definedName>
    <definedName name="documnt_7">"$#REF!.$E$62:$F$62"</definedName>
    <definedName name="documnt_8" localSheetId="5">#REF!</definedName>
    <definedName name="documnt_8" localSheetId="4">#REF!</definedName>
    <definedName name="documnt_8">#REF!</definedName>
    <definedName name="DOUBLE_FOLDING" localSheetId="5">#REF!</definedName>
    <definedName name="DOUBLE_FOLDING" localSheetId="4">#REF!</definedName>
    <definedName name="DOUBLE_FOLDING">#REF!</definedName>
    <definedName name="DPMO" localSheetId="5">#REF!</definedName>
    <definedName name="DPMO" localSheetId="4">#REF!</definedName>
    <definedName name="DPMO">#REF!</definedName>
    <definedName name="DPO" localSheetId="5">#REF!</definedName>
    <definedName name="DPO" localSheetId="4">#REF!</definedName>
    <definedName name="DPO">#REF!</definedName>
    <definedName name="DPU" localSheetId="5">#REF!</definedName>
    <definedName name="DPU" localSheetId="4">#REF!</definedName>
    <definedName name="DPU">#REF!</definedName>
    <definedName name="dqa" localSheetId="5">#N/A</definedName>
    <definedName name="dqa" localSheetId="4">#REF!</definedName>
    <definedName name="dqa">#REF!</definedName>
    <definedName name="dqadfadfq" localSheetId="5">#REF!</definedName>
    <definedName name="dqadfadfq" localSheetId="4">#REF!</definedName>
    <definedName name="dqadfadfq">#REF!</definedName>
    <definedName name="DQF" localSheetId="5">#N/A</definedName>
    <definedName name="DQF" localSheetId="4">#REF!</definedName>
    <definedName name="DQF">#REF!</definedName>
    <definedName name="dqfadfqf" localSheetId="5">#N/A</definedName>
    <definedName name="dqfadfqf" localSheetId="4">#REF!</definedName>
    <definedName name="dqfadfqf">#REF!</definedName>
    <definedName name="DQFEA" localSheetId="5">#REF!</definedName>
    <definedName name="DQFEA" localSheetId="4">#REF!</definedName>
    <definedName name="DQFEA">#REF!</definedName>
    <definedName name="drdo">"Drop Down 10"</definedName>
    <definedName name="droplist1" localSheetId="5">#REF!</definedName>
    <definedName name="droplist1" localSheetId="4">#REF!</definedName>
    <definedName name="droplist1">#REF!</definedName>
    <definedName name="droplist2" localSheetId="5">#REF!</definedName>
    <definedName name="droplist2" localSheetId="4">#REF!</definedName>
    <definedName name="droplist2">#REF!</definedName>
    <definedName name="droplist3" localSheetId="5">#REF!</definedName>
    <definedName name="droplist3" localSheetId="4">#REF!</definedName>
    <definedName name="droplist3">#REF!</definedName>
    <definedName name="DSAFGH">'[42]9.11 '!DSAFGH</definedName>
    <definedName name="DSAWDQWDADa" hidden="1">[43]Sheet1!#REF!</definedName>
    <definedName name="dsd">#N/A</definedName>
    <definedName name="dsdfsdf" hidden="1">[43]Sheet1!#REF!</definedName>
    <definedName name="DSF" localSheetId="5">#N/A</definedName>
    <definedName name="DSF" localSheetId="4">#REF!</definedName>
    <definedName name="DSF">#REF!</definedName>
    <definedName name="DSFGDSFG" localSheetId="5">#REF!</definedName>
    <definedName name="DSFGDSFG" localSheetId="4">#REF!</definedName>
    <definedName name="DSFGDSFG">#REF!</definedName>
    <definedName name="dsfrg">'[44]Supplier List'!$E$2:$E$23</definedName>
    <definedName name="dsjg" localSheetId="5">#N/A</definedName>
    <definedName name="dsjg" localSheetId="4">#REF!</definedName>
    <definedName name="dsjg">#REF!</definedName>
    <definedName name="dtyjght" localSheetId="5">#REF!</definedName>
    <definedName name="dtyjght" localSheetId="4">#REF!</definedName>
    <definedName name="dtyjght">#REF!</definedName>
    <definedName name="DYHTFKHJL" localSheetId="5">#N/A</definedName>
    <definedName name="DYHTFKHJL" localSheetId="4">#REF!</definedName>
    <definedName name="DYHTFKHJL">#REF!</definedName>
    <definedName name="dyjg" localSheetId="5">#N/A</definedName>
    <definedName name="dyjg" localSheetId="4">#REF!</definedName>
    <definedName name="dyjg">#REF!</definedName>
    <definedName name="dykuh" localSheetId="5">#N/A</definedName>
    <definedName name="dykuh" localSheetId="4">#REF!</definedName>
    <definedName name="dykuh">#REF!</definedName>
    <definedName name="DYNAMIC_FLYWIRE" localSheetId="5">#REF!</definedName>
    <definedName name="DYNAMIC_FLYWIRE" localSheetId="4">#REF!</definedName>
    <definedName name="DYNAMIC_FLYWIRE">#REF!</definedName>
    <definedName name="E" localSheetId="5">#REF!</definedName>
    <definedName name="E" localSheetId="4">#REF!</definedName>
    <definedName name="E">#REF!</definedName>
    <definedName name="E_5" localSheetId="5">#REF!</definedName>
    <definedName name="E_5" localSheetId="4">#REF!</definedName>
    <definedName name="E_5">#REF!</definedName>
    <definedName name="E_5_1">#N/A</definedName>
    <definedName name="E_5_5" localSheetId="5">#REF!</definedName>
    <definedName name="E_5_5" localSheetId="4">#REF!</definedName>
    <definedName name="E_5_5">#REF!</definedName>
    <definedName name="E_6">"$#REF!.$E$62:$F$62"</definedName>
    <definedName name="E_7">"$#REF!.$E$62:$F$62"</definedName>
    <definedName name="E_8" localSheetId="5">#REF!</definedName>
    <definedName name="E_8" localSheetId="4">#REF!</definedName>
    <definedName name="E_8">#REF!</definedName>
    <definedName name="eagdxzdf3e" localSheetId="5">[1]피유.프레스!#REF!</definedName>
    <definedName name="eagdxzdf3e" localSheetId="4">#REF!</definedName>
    <definedName name="eagdxzdf3e">#REF!</definedName>
    <definedName name="ebgvyh" localSheetId="5">#N/A</definedName>
    <definedName name="ebgvyh" localSheetId="4">#REF!</definedName>
    <definedName name="ebgvyh">#REF!</definedName>
    <definedName name="ed" localSheetId="5">#REF!</definedName>
    <definedName name="ed" localSheetId="4">#REF!</definedName>
    <definedName name="ed">#REF!</definedName>
    <definedName name="ed_12">"$#REF!.$A$1:$AMJ$6"</definedName>
    <definedName name="ed_13">"$#REF!.$A$1:$AMJ$6"</definedName>
    <definedName name="ed_14">"$#REF!.$A$1:$AMJ$6"</definedName>
    <definedName name="ed_3" localSheetId="5">#REF!</definedName>
    <definedName name="ed_3" localSheetId="4">#REF!</definedName>
    <definedName name="ed_3">#REF!</definedName>
    <definedName name="ee" localSheetId="5">#N/A</definedName>
    <definedName name="ee" localSheetId="4">#REF!</definedName>
    <definedName name="ee">#REF!</definedName>
    <definedName name="ef" localSheetId="5">#REF!</definedName>
    <definedName name="ef" localSheetId="4">#REF!</definedName>
    <definedName name="ef">#REF!</definedName>
    <definedName name="EFADAFE" localSheetId="5">#N/A</definedName>
    <definedName name="EFADAFE" localSheetId="4">#REF!</definedName>
    <definedName name="EFADAFE">#REF!</definedName>
    <definedName name="efaf" localSheetId="5">#REF!</definedName>
    <definedName name="efaf" localSheetId="4">#REF!</definedName>
    <definedName name="efaf">#REF!</definedName>
    <definedName name="EFEAFE" localSheetId="5">#REF!</definedName>
    <definedName name="EFEAFE" localSheetId="4">#REF!</definedName>
    <definedName name="EFEAFE">#REF!</definedName>
    <definedName name="efvtreby" localSheetId="5">#N/A</definedName>
    <definedName name="efvtreby" localSheetId="4">#REF!</definedName>
    <definedName name="efvtreby">#REF!</definedName>
    <definedName name="EFWFAFA" localSheetId="5">#REF!</definedName>
    <definedName name="EFWFAFA" localSheetId="4">#REF!</definedName>
    <definedName name="EFWFAFA">#REF!</definedName>
    <definedName name="egeacxgger" localSheetId="5">#N/A</definedName>
    <definedName name="egeacxgger" localSheetId="4">#REF!</definedName>
    <definedName name="egeacxgger">#REF!</definedName>
    <definedName name="ELLA" localSheetId="5">#REF!</definedName>
    <definedName name="ELLA" localSheetId="4">#REF!</definedName>
    <definedName name="ELLA">#REF!</definedName>
    <definedName name="ELSADAY" localSheetId="5">#REF!</definedName>
    <definedName name="ELSADAY" localSheetId="4">#REF!</definedName>
    <definedName name="ELSADAY">#REF!</definedName>
    <definedName name="em">#N/A</definedName>
    <definedName name="Email" localSheetId="5">#N/A</definedName>
    <definedName name="Email" localSheetId="4">#REF!</definedName>
    <definedName name="Email">#REF!</definedName>
    <definedName name="EMB" localSheetId="5">#REF!</definedName>
    <definedName name="EMB" localSheetId="4">#REF!</definedName>
    <definedName name="EMB">#REF!</definedName>
    <definedName name="EMI_Staff" localSheetId="5">#REF!</definedName>
    <definedName name="EMI_Staff" localSheetId="4">#REF!</definedName>
    <definedName name="EMI_Staff">#REF!</definedName>
    <definedName name="EMI_Staff_12">"'smb://Emmanuel/D_Base%2520%2520%2520P_P_I_C/My%2520Documents/cvs/CONVERSE%2520ORDER.xls'#$APL.$B$#REF!:'smb://Emmanuel/D_Base%2520%2520%2520P_P_I_C/My%2520Documents/cvs/CONVERSE%2520ORDER.xls'#$APL.$B$88"</definedName>
    <definedName name="EMI_Staff_12_5">"'smb://Emmanuel/D_Base%2520%2520%2520P_P_I_C/My%2520Documents/cvs/CONVERSE%2520ORDER.xls'#$APL.$C$#REF!:'smb://Emmanuel/D_Base%2520%2520%2520P_P_I_C/My%2520Documents/cvs/CONVERSE%2520ORDER.xls'#$APL.$CM$88"</definedName>
    <definedName name="EMI_Staff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2_8">"'smb://Emmanuel/D_Base%252520%252520%252520P_P_I_C/My%252520Documents/cvs/CONVERSE%252520ORDER.xls'#$APL.$B$#REF!:'smb://Emmanuel/D_Base%252520%252520%252520P_P_I_C/My%252520Documents/cvs/CONVERSE%252520ORDER.xls'#$APL.$B$88"</definedName>
    <definedName name="EMI_Staff_13">"'smb://Emmanuel/D_Base%2520%2520%2520P_P_I_C/My%2520Documents/cvs/CONVERSE%2520ORDER.xls'#$APL.$B$#REF!:'smb://Emmanuel/D_Base%2520%2520%2520P_P_I_C/My%2520Documents/cvs/CONVERSE%2520ORDER.xls'#$APL.$B$88"</definedName>
    <definedName name="EMI_Staff_13_5">"'smb://Emmanuel/D_Base%2520%2520%2520P_P_I_C/My%2520Documents/cvs/CONVERSE%2520ORDER.xls'#$APL.$C$#REF!:'smb://Emmanuel/D_Base%2520%2520%2520P_P_I_C/My%2520Documents/cvs/CONVERSE%2520ORDER.xls'#$APL.$CM$88"</definedName>
    <definedName name="EMI_Staff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3_8">"'smb://Emmanuel/D_Base%252520%252520%252520P_P_I_C/My%252520Documents/cvs/CONVERSE%252520ORDER.xls'#$APL.$B$#REF!:'smb://Emmanuel/D_Base%252520%252520%252520P_P_I_C/My%252520Documents/cvs/CONVERSE%252520ORDER.xls'#$APL.$B$88"</definedName>
    <definedName name="EMI_Staff_14">"'smb://Emmanuel/D_Base%2520%2520%2520P_P_I_C/My%2520Documents/cvs/CONVERSE%2520ORDER.xls'#$APL.$B$#REF!:'smb://Emmanuel/D_Base%2520%2520%2520P_P_I_C/My%2520Documents/cvs/CONVERSE%2520ORDER.xls'#$APL.$B$88"</definedName>
    <definedName name="EMI_Staff_14_5">"'smb://Emmanuel/D_Base%2520%2520%2520P_P_I_C/My%2520Documents/cvs/CONVERSE%2520ORDER.xls'#$APL.$C$#REF!:'smb://Emmanuel/D_Base%2520%2520%2520P_P_I_C/My%2520Documents/cvs/CONVERSE%2520ORDER.xls'#$APL.$CM$88"</definedName>
    <definedName name="EMI_Staff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4_8">"'smb://Emmanuel/D_Base%252520%252520%252520P_P_I_C/My%252520Documents/cvs/CONVERSE%252520ORDER.xls'#$APL.$B$#REF!:'smb://Emmanuel/D_Base%252520%252520%252520P_P_I_C/My%252520Documents/cvs/CONVERSE%252520ORDER.xls'#$APL.$B$88"</definedName>
    <definedName name="EMI_Staff_3">"'smb://Emmanuel/D_Base%2520%2520%2520P_P_I_C/My%2520Documents/cvs/CONVERSE%2520ORDER.xls'#$APL.$C$#REF!:'smb://Emmanuel/D_Base%2520%2520%2520P_P_I_C/My%2520Documents/cvs/CONVERSE%2520ORDER.xls'#$APL.$CM$88"</definedName>
    <definedName name="EMI_Staff_5">"'smb://Emmanuel/D_Base%252520%252520%252520P_P_I_C/My%252520Documents/cvs/CONVERSE%252520ORDER.xls'#$APL.$C$#REF!:'smb://Emmanuel/D_Base%252520%252520%252520P_P_I_C/My%252520Documents/cvs/CONVERSE%252520ORDER.xls'#$APL.$CM$88"</definedName>
    <definedName name="EMI_Staff_8">"'smb://Emmanuel/D_Base%2520%2520%2520P_P_I_C/My%2520Documents/cvs/CONVERSE%2520ORDER.xls'#$APL.$C$#REF!:'smb://Emmanuel/D_Base%2520%2520%2520P_P_I_C/My%2520Documents/cvs/CONVERSE%2520ORDER.xls'#$APL.$CM$88"</definedName>
    <definedName name="eq" localSheetId="5">#REF!</definedName>
    <definedName name="eq" localSheetId="4">#REF!</definedName>
    <definedName name="eq">#REF!</definedName>
    <definedName name="EQD" localSheetId="5">#REF!</definedName>
    <definedName name="EQD" localSheetId="4">#REF!</definedName>
    <definedName name="EQD">#REF!</definedName>
    <definedName name="eqfa" localSheetId="5">#N/A</definedName>
    <definedName name="eqfa" localSheetId="4">#REF!</definedName>
    <definedName name="eqfa">#REF!</definedName>
    <definedName name="EQFADFA" localSheetId="5">#REF!</definedName>
    <definedName name="EQFADFA" localSheetId="4">#REF!</definedName>
    <definedName name="EQFADFA">#REF!</definedName>
    <definedName name="EQFAF" localSheetId="5">#REF!</definedName>
    <definedName name="EQFAF" localSheetId="4">#REF!</definedName>
    <definedName name="EQFAF">#REF!</definedName>
    <definedName name="EQFAZC" localSheetId="5">#REF!</definedName>
    <definedName name="EQFAZC" localSheetId="4">#REF!</definedName>
    <definedName name="EQFAZC">#REF!</definedName>
    <definedName name="EQFEFAE" localSheetId="5">#N/A</definedName>
    <definedName name="EQFEFAE" localSheetId="4">#REF!</definedName>
    <definedName name="EQFEFAE">#REF!</definedName>
    <definedName name="ER" localSheetId="5">#N/A</definedName>
    <definedName name="ER" localSheetId="4">#REF!</definedName>
    <definedName name="ER">#REF!</definedName>
    <definedName name="ERER3" localSheetId="5">#REF!</definedName>
    <definedName name="ERER3" localSheetId="4">#REF!</definedName>
    <definedName name="ERER3">#REF!</definedName>
    <definedName name="ErrName014017641" localSheetId="5">[8]!直線55_Click</definedName>
    <definedName name="ErrName014017641" localSheetId="4">#REF!</definedName>
    <definedName name="ErrName014017641">#REF!</definedName>
    <definedName name="ErrName045352756">[45]!直線55_Click</definedName>
    <definedName name="ErrName053504526">[45]!直線55_Click</definedName>
    <definedName name="ErrName056236863" localSheetId="5">#REF!</definedName>
    <definedName name="ErrName056236863" localSheetId="4">#REF!</definedName>
    <definedName name="ErrName056236863">#REF!</definedName>
    <definedName name="ErrName155663072">#N/A</definedName>
    <definedName name="ErrName257267653" localSheetId="5">#REF!</definedName>
    <definedName name="ErrName257267653" localSheetId="4">#REF!</definedName>
    <definedName name="ErrName257267653">#REF!</definedName>
    <definedName name="ErrName263792931" localSheetId="5">#REF!</definedName>
    <definedName name="ErrName263792931" localSheetId="4">#REF!</definedName>
    <definedName name="ErrName263792931">#REF!</definedName>
    <definedName name="ErrName279342055">[8]!直線55_Click</definedName>
    <definedName name="ErrName289562463">#N/A</definedName>
    <definedName name="ErrName301948010">#N/A</definedName>
    <definedName name="ErrName364018678" localSheetId="5">#REF!</definedName>
    <definedName name="ErrName364018678" localSheetId="4">#REF!</definedName>
    <definedName name="ErrName364018678">#REF!</definedName>
    <definedName name="ErrName373536169" localSheetId="5">#REF!</definedName>
    <definedName name="ErrName373536169" localSheetId="4">#REF!</definedName>
    <definedName name="ErrName373536169">#REF!</definedName>
    <definedName name="ErrName414032697" localSheetId="5">#REF!</definedName>
    <definedName name="ErrName414032697" localSheetId="4">#REF!</definedName>
    <definedName name="ErrName414032697">#REF!</definedName>
    <definedName name="ErrName533424019" localSheetId="5">#REF!</definedName>
    <definedName name="ErrName533424019" localSheetId="4">#REF!</definedName>
    <definedName name="ErrName533424019">#REF!</definedName>
    <definedName name="ErrName579518615" localSheetId="5">#REF!</definedName>
    <definedName name="ErrName579518615" localSheetId="4">#REF!</definedName>
    <definedName name="ErrName579518615">#REF!</definedName>
    <definedName name="ErrName705547510" localSheetId="5">#REF!</definedName>
    <definedName name="ErrName705547510" localSheetId="4">#REF!</definedName>
    <definedName name="ErrName705547510">#REF!</definedName>
    <definedName name="ErrName709037899" localSheetId="5">#REF!</definedName>
    <definedName name="ErrName709037899" localSheetId="4">#REF!</definedName>
    <definedName name="ErrName709037899">#REF!</definedName>
    <definedName name="ErrName760723590" localSheetId="5">#REF!</definedName>
    <definedName name="ErrName760723590" localSheetId="4">#REF!</definedName>
    <definedName name="ErrName760723590">#REF!</definedName>
    <definedName name="ErrName774740099">#N/A</definedName>
    <definedName name="ErrName790480016" localSheetId="5">#REF!</definedName>
    <definedName name="ErrName790480016" localSheetId="4">#REF!</definedName>
    <definedName name="ErrName790480016">#REF!</definedName>
    <definedName name="ErrName862619339" localSheetId="5">#REF!</definedName>
    <definedName name="ErrName862619339" localSheetId="4">#REF!</definedName>
    <definedName name="ErrName862619339">#REF!</definedName>
    <definedName name="ErrName961953162" localSheetId="5">#REF!</definedName>
    <definedName name="ErrName961953162" localSheetId="4">#REF!</definedName>
    <definedName name="ErrName961953162">#REF!</definedName>
    <definedName name="erwas" localSheetId="5">#REF!</definedName>
    <definedName name="erwas" localSheetId="4">#REF!</definedName>
    <definedName name="erwas">#REF!</definedName>
    <definedName name="ESFEWWW" localSheetId="5">#REF!</definedName>
    <definedName name="ESFEWWW" localSheetId="4">#REF!</definedName>
    <definedName name="ESFEWWW">#REF!</definedName>
    <definedName name="ETA" localSheetId="5">#REF!</definedName>
    <definedName name="ETA" localSheetId="4">#REF!</definedName>
    <definedName name="ETA">#REF!</definedName>
    <definedName name="ETA_12" localSheetId="5">#REF!</definedName>
    <definedName name="ETA_12" localSheetId="4">#REF!</definedName>
    <definedName name="ETA_12">#REF!</definedName>
    <definedName name="ETA_12_5" localSheetId="5">#REF!</definedName>
    <definedName name="ETA_12_5" localSheetId="4">#REF!</definedName>
    <definedName name="ETA_12_5">#REF!</definedName>
    <definedName name="ETA_12_5_5" localSheetId="5">#REF!</definedName>
    <definedName name="ETA_12_5_5" localSheetId="4">#REF!</definedName>
    <definedName name="ETA_12_5_5">#REF!</definedName>
    <definedName name="ETA_12_8" localSheetId="5">#REF!</definedName>
    <definedName name="ETA_12_8" localSheetId="4">#REF!</definedName>
    <definedName name="ETA_12_8">#REF!</definedName>
    <definedName name="ETA_13" localSheetId="5">#REF!</definedName>
    <definedName name="ETA_13" localSheetId="4">#REF!</definedName>
    <definedName name="ETA_13">#REF!</definedName>
    <definedName name="ETA_13_5" localSheetId="5">#REF!</definedName>
    <definedName name="ETA_13_5" localSheetId="4">#REF!</definedName>
    <definedName name="ETA_13_5">#REF!</definedName>
    <definedName name="ETA_13_5_5" localSheetId="5">#REF!</definedName>
    <definedName name="ETA_13_5_5" localSheetId="4">#REF!</definedName>
    <definedName name="ETA_13_5_5">#REF!</definedName>
    <definedName name="ETA_13_8" localSheetId="5">#REF!</definedName>
    <definedName name="ETA_13_8" localSheetId="4">#REF!</definedName>
    <definedName name="ETA_13_8">#REF!</definedName>
    <definedName name="ETA_14" localSheetId="5">#REF!</definedName>
    <definedName name="ETA_14" localSheetId="4">#REF!</definedName>
    <definedName name="ETA_14">#REF!</definedName>
    <definedName name="ETA_14_5" localSheetId="5">#REF!</definedName>
    <definedName name="ETA_14_5" localSheetId="4">#REF!</definedName>
    <definedName name="ETA_14_5">#REF!</definedName>
    <definedName name="ETA_14_5_5" localSheetId="5">#REF!</definedName>
    <definedName name="ETA_14_5_5" localSheetId="4">#REF!</definedName>
    <definedName name="ETA_14_5_5">#REF!</definedName>
    <definedName name="ETA_14_8" localSheetId="5">#REF!</definedName>
    <definedName name="ETA_14_8" localSheetId="4">#REF!</definedName>
    <definedName name="ETA_14_8">#REF!</definedName>
    <definedName name="ETA_3" localSheetId="5">#REF!</definedName>
    <definedName name="ETA_3" localSheetId="4">#REF!</definedName>
    <definedName name="ETA_3">#REF!</definedName>
    <definedName name="ETA_5" localSheetId="5">#REF!</definedName>
    <definedName name="ETA_5" localSheetId="4">#REF!</definedName>
    <definedName name="ETA_5">#REF!</definedName>
    <definedName name="ETA_8" localSheetId="5">#REF!</definedName>
    <definedName name="ETA_8" localSheetId="4">#REF!</definedName>
    <definedName name="ETA_8">#REF!</definedName>
    <definedName name="ETRY" localSheetId="5">#N/A</definedName>
    <definedName name="ETRY" localSheetId="4">#REF!</definedName>
    <definedName name="ETRY">#REF!</definedName>
    <definedName name="EV__LASTREFTIME__" hidden="1">39253.4473611111</definedName>
    <definedName name="ewt" localSheetId="5">BlankMacro1</definedName>
    <definedName name="EWT" localSheetId="4">#REF!</definedName>
    <definedName name="EWT">#REF!</definedName>
    <definedName name="EWTE" localSheetId="5">#N/A</definedName>
    <definedName name="EWTE" localSheetId="4">#REF!</definedName>
    <definedName name="EWTE">#REF!</definedName>
    <definedName name="Excel_BuiltIn__FilterDatabase">[15]Sheet1!#REF!</definedName>
    <definedName name="Excel_BuiltIn__FilterDatabase_1" localSheetId="5">#REF!</definedName>
    <definedName name="Excel_BuiltIn__FilterDatabase_1" localSheetId="4">#REF!</definedName>
    <definedName name="Excel_BuiltIn__FilterDatabase_1">#REF!</definedName>
    <definedName name="Excel_BuiltIn__FilterDatabase_18">"$#REF!.$A$1:$M$1"</definedName>
    <definedName name="Excel_BuiltIn__FilterDatabase_4" localSheetId="5">#REF!</definedName>
    <definedName name="Excel_BuiltIn__FilterDatabase_4" localSheetId="4">#REF!</definedName>
    <definedName name="Excel_BuiltIn__FilterDatabase_4">#REF!</definedName>
    <definedName name="Excel_BuiltIn__FilterDatabase_42">[15]Sheet1!#REF!</definedName>
    <definedName name="Excel_BuiltIn__FilterDatabase_49">[15]Sheet1!#REF!</definedName>
    <definedName name="Excel_BuiltIn_Print_Area" localSheetId="5">#REF!</definedName>
    <definedName name="Excel_BuiltIn_Print_Area" localSheetId="4">#REF!</definedName>
    <definedName name="Excel_BuiltIn_Print_Area">#REF!</definedName>
    <definedName name="Excel_BuiltIn_Print_Area_1">"$#REF!.$A$1:$Z$37"</definedName>
    <definedName name="Excel_BuiltIn_Print_Area_1_1" localSheetId="5">#REF!</definedName>
    <definedName name="Excel_BuiltIn_Print_Area_1_1" localSheetId="4">#REF!</definedName>
    <definedName name="Excel_BuiltIn_Print_Area_1_1">#REF!</definedName>
    <definedName name="Excel_BuiltIn_Print_Area_1_1_1" localSheetId="5">#REF!</definedName>
    <definedName name="Excel_BuiltIn_Print_Area_1_1_1" localSheetId="4">#REF!</definedName>
    <definedName name="Excel_BuiltIn_Print_Area_1_1_1">#REF!</definedName>
    <definedName name="Excel_BuiltIn_Print_Area_1_1_1_1" localSheetId="5">#REF!</definedName>
    <definedName name="Excel_BuiltIn_Print_Area_1_1_1_1" localSheetId="4">#REF!</definedName>
    <definedName name="Excel_BuiltIn_Print_Area_1_1_1_1">#REF!</definedName>
    <definedName name="Excel_BuiltIn_Print_Area_1_1_1_1_1" localSheetId="5">#REF!</definedName>
    <definedName name="Excel_BuiltIn_Print_Area_1_1_1_1_1" localSheetId="4">#REF!</definedName>
    <definedName name="Excel_BuiltIn_Print_Area_1_1_1_1_1">#REF!</definedName>
    <definedName name="Excel_BuiltIn_Print_Area_1_1_1_1_1_1" localSheetId="5">#REF!</definedName>
    <definedName name="Excel_BuiltIn_Print_Area_1_1_1_1_1_1" localSheetId="4">#REF!</definedName>
    <definedName name="Excel_BuiltIn_Print_Area_1_1_1_1_1_1">#REF!</definedName>
    <definedName name="Excel_BuiltIn_Print_Area_1_1_1_1_1_1_1" localSheetId="5">#REF!</definedName>
    <definedName name="Excel_BuiltIn_Print_Area_1_1_1_1_1_1_1" localSheetId="4">#REF!</definedName>
    <definedName name="Excel_BuiltIn_Print_Area_1_1_1_1_1_1_1">#REF!</definedName>
    <definedName name="Excel_BuiltIn_Print_Area_10">"$#REF!.$A$1:$IV$64932"</definedName>
    <definedName name="Excel_BuiltIn_Print_Area_10_1" localSheetId="5">#REF!</definedName>
    <definedName name="Excel_BuiltIn_Print_Area_10_1" localSheetId="4">#REF!</definedName>
    <definedName name="Excel_BuiltIn_Print_Area_10_1">#REF!</definedName>
    <definedName name="Excel_BuiltIn_Print_Area_12">"$#REF!.$A$1:$Z$48"</definedName>
    <definedName name="Excel_BuiltIn_Print_Area_12_1" localSheetId="5">#REF!</definedName>
    <definedName name="Excel_BuiltIn_Print_Area_12_1" localSheetId="4">#REF!</definedName>
    <definedName name="Excel_BuiltIn_Print_Area_12_1">#REF!</definedName>
    <definedName name="Excel_BuiltIn_Print_Area_13">"$#REF!.$A$1:$Z$48"</definedName>
    <definedName name="Excel_BuiltIn_Print_Area_13_1" localSheetId="5">#REF!</definedName>
    <definedName name="Excel_BuiltIn_Print_Area_13_1" localSheetId="4">#REF!</definedName>
    <definedName name="Excel_BuiltIn_Print_Area_13_1">#REF!</definedName>
    <definedName name="Excel_BuiltIn_Print_Area_14">"$#REF!.$A$1:$Z$48"</definedName>
    <definedName name="Excel_BuiltIn_Print_Area_15" localSheetId="5">#REF!</definedName>
    <definedName name="Excel_BuiltIn_Print_Area_15" localSheetId="4">#REF!</definedName>
    <definedName name="Excel_BuiltIn_Print_Area_15">#REF!</definedName>
    <definedName name="Excel_BuiltIn_Print_Area_16" localSheetId="5">#REF!</definedName>
    <definedName name="Excel_BuiltIn_Print_Area_16" localSheetId="4">#REF!</definedName>
    <definedName name="Excel_BuiltIn_Print_Area_16">#REF!</definedName>
    <definedName name="Excel_BuiltIn_Print_Area_2" localSheetId="5">"$#REF!.$#REF!$#REF!:$#REF!$#REF!"</definedName>
    <definedName name="Excel_BuiltIn_Print_Area_2" localSheetId="4">#REF!</definedName>
    <definedName name="Excel_BuiltIn_Print_Area_2">#REF!</definedName>
    <definedName name="Excel_BuiltIn_Print_Area_2_1">"$#REF!.$A$45:$M$67"</definedName>
    <definedName name="Excel_BuiltIn_Print_Area_2_1_1" localSheetId="5">#REF!</definedName>
    <definedName name="Excel_BuiltIn_Print_Area_2_1_1" localSheetId="4">#REF!</definedName>
    <definedName name="Excel_BuiltIn_Print_Area_2_1_1">#REF!</definedName>
    <definedName name="Excel_BuiltIn_Print_Area_2_1_1_1" localSheetId="5">#REF!</definedName>
    <definedName name="Excel_BuiltIn_Print_Area_2_1_1_1" localSheetId="4">#REF!</definedName>
    <definedName name="Excel_BuiltIn_Print_Area_2_1_1_1">#REF!</definedName>
    <definedName name="Excel_BuiltIn_Print_Area_21" localSheetId="5">#REF!</definedName>
    <definedName name="Excel_BuiltIn_Print_Area_21" localSheetId="4">#REF!</definedName>
    <definedName name="Excel_BuiltIn_Print_Area_21">#REF!</definedName>
    <definedName name="Excel_BuiltIn_Print_Area_22" localSheetId="5">#REF!</definedName>
    <definedName name="Excel_BuiltIn_Print_Area_22" localSheetId="4">#REF!</definedName>
    <definedName name="Excel_BuiltIn_Print_Area_22">#REF!</definedName>
    <definedName name="Excel_BuiltIn_Print_Area_23" localSheetId="5">#REF!</definedName>
    <definedName name="Excel_BuiltIn_Print_Area_23" localSheetId="4">#REF!</definedName>
    <definedName name="Excel_BuiltIn_Print_Area_23">#REF!</definedName>
    <definedName name="Excel_BuiltIn_Print_Area_3">"$#REF!.$#REF!$#REF!:$#REF!$#REF!"</definedName>
    <definedName name="Excel_BuiltIn_Print_Area_3_1">"$#REF!.$A$46:$T$46"</definedName>
    <definedName name="Excel_BuiltIn_Print_Area_3_1_1">"$#REF!.$#REF!$#REF!:$#REF!$#REF!"</definedName>
    <definedName name="Excel_BuiltIn_Print_Area_3_1_1_1">"$#REF!.$A$1:$T$44"</definedName>
    <definedName name="Excel_BuiltIn_Print_Area_3_1_1_1_1">"$#REF!.$#REF!$#REF!:$#REF!$#REF!"</definedName>
    <definedName name="Excel_BuiltIn_Print_Area_3_1_1_1_1_1">"$#REF!.$#REF!$#REF!:$#REF!$#REF!"</definedName>
    <definedName name="Excel_BuiltIn_Print_Area_3_1_1_1_1_1_1">"$#REF!.$#REF!$#REF!:$#REF!$#REF!"</definedName>
    <definedName name="Excel_BuiltIn_Print_Area_3_1_1_1_1_1_1_1">"$#REF!.$A$45:$M$67"</definedName>
    <definedName name="Excel_BuiltIn_Print_Area_3_1_4">[46]BTRSS!#REF!</definedName>
    <definedName name="Excel_BuiltIn_Print_Area_3_1_4_1" localSheetId="5">#REF!</definedName>
    <definedName name="Excel_BuiltIn_Print_Area_3_1_4_1" localSheetId="4">#REF!</definedName>
    <definedName name="Excel_BuiltIn_Print_Area_3_1_4_1">#REF!</definedName>
    <definedName name="Excel_BuiltIn_Print_Area_3_1_42">[46]BTRSS!#REF!</definedName>
    <definedName name="Excel_BuiltIn_Print_Area_3_1_42_1" localSheetId="5">#REF!</definedName>
    <definedName name="Excel_BuiltIn_Print_Area_3_1_42_1" localSheetId="4">#REF!</definedName>
    <definedName name="Excel_BuiltIn_Print_Area_3_1_42_1">#REF!</definedName>
    <definedName name="Excel_BuiltIn_Print_Area_3_1_49">[46]BTRSS!#REF!</definedName>
    <definedName name="Excel_BuiltIn_Print_Area_3_1_49_1" localSheetId="5">#REF!</definedName>
    <definedName name="Excel_BuiltIn_Print_Area_3_1_49_1" localSheetId="4">#REF!</definedName>
    <definedName name="Excel_BuiltIn_Print_Area_3_1_49_1">#REF!</definedName>
    <definedName name="Excel_BuiltIn_Print_Area_4" localSheetId="5">#REF!</definedName>
    <definedName name="Excel_BuiltIn_Print_Area_4" localSheetId="4">#REF!</definedName>
    <definedName name="Excel_BuiltIn_Print_Area_4">#REF!</definedName>
    <definedName name="Excel_BuiltIn_Print_Area_4_1" localSheetId="5">#REF!</definedName>
    <definedName name="Excel_BuiltIn_Print_Area_4_1" localSheetId="4">#REF!</definedName>
    <definedName name="Excel_BuiltIn_Print_Area_4_1">#REF!</definedName>
    <definedName name="Excel_BuiltIn_Print_Area_4_1_1">"$#REF!.$A$1:$M$38"</definedName>
    <definedName name="Excel_BuiltIn_Print_Area_5">"$#REF!.$#REF!$#REF!:$#REF!$#REF!"</definedName>
    <definedName name="Excel_BuiltIn_Print_Area_5_1">"$'Stitching Instructions'.$#REF!$#REF!:$#REF!$#REF!"</definedName>
    <definedName name="Excel_BuiltIn_Print_Area_5_1_1">"$#REF!.$#REF!$#REF!:$#REF!$#REF!"</definedName>
    <definedName name="Excel_BuiltIn_Print_Area_5_1_1_1">"$#REF!.$#REF!$#REF!:$#REF!$#REF!"</definedName>
    <definedName name="Excel_BuiltIn_Print_Area_5_1_1_1_1_1">"$'Material MW'.$#REF!$#REF!:$#REF!$#REF!"</definedName>
    <definedName name="Excel_BuiltIn_Print_Area_5_6">"$'Stitching Instructions'.$#REF!$#REF!:$#REF!$#REF!"</definedName>
    <definedName name="Excel_BuiltIn_Print_Area_5_7">"$'Stitching Instructions'.$#REF!$#REF!:$#REF!$#REF!"</definedName>
    <definedName name="Excel_BuiltIn_Print_Area_6">"$#REF!.$A$1:$P$25"</definedName>
    <definedName name="Excel_BuiltIn_Print_Area_6_1">"$#REF!.$A$108:$I$149"</definedName>
    <definedName name="Excel_BuiltIn_Print_Area_6_1_1">"$#REF!.$A$1:$M$51"</definedName>
    <definedName name="Excel_BuiltIn_Print_Area_6_1_1_1">"$#REF!.$A$53:$IV$89"</definedName>
    <definedName name="Excel_BuiltIn_Print_Area_6_1_1_1_1">"$#REF!.$A$44:$M$75"</definedName>
    <definedName name="Excel_BuiltIn_Print_Area_6_1_1_1_1_1">"$#REF!.$A$53:$M$89"</definedName>
    <definedName name="Excel_BuiltIn_Print_Area_6_1_1_1_1_1_1">"$#REF!.$A$20:$C$61"</definedName>
    <definedName name="Excel_BuiltIn_Print_Area_7">"$#REF!.$A$#REF!:$P$#REF!"</definedName>
    <definedName name="Excel_BuiltIn_Print_Area_7_1">"$#REF!.$A$1:$V$36"</definedName>
    <definedName name="Excel_BuiltIn_Print_Area_7_1_1">"$#REF!.$A$72:$V$112"</definedName>
    <definedName name="Excel_BuiltIn_Print_Area_7_1_1_1">"$#REF!.$#REF!$#REF!:$#REF!$#REF!"</definedName>
    <definedName name="Excel_BuiltIn_Print_Area_7_1_1_1_1">"$'Cutting Die MW'.$#REF!$#REF!:$#REF!$#REF!"</definedName>
    <definedName name="Excel_BuiltIn_Print_Area_7_1_1_1_1_1">"$'Cutting Die MW'.$#REF!$#REF!:$#REF!$#REF!"</definedName>
    <definedName name="Excel_BuiltIn_Print_Area_8_1" localSheetId="5">#REF!</definedName>
    <definedName name="Excel_BuiltIn_Print_Area_8_1" localSheetId="4">#REF!</definedName>
    <definedName name="Excel_BuiltIn_Print_Area_8_1">#REF!</definedName>
    <definedName name="Excel_BuiltIn_Print_Area_8_1_1" localSheetId="5">#REF!</definedName>
    <definedName name="Excel_BuiltIn_Print_Area_8_1_1" localSheetId="4">#REF!</definedName>
    <definedName name="Excel_BuiltIn_Print_Area_8_1_1">#REF!</definedName>
    <definedName name="Excel_BuiltIn_Print_Area_8_1_1_1" localSheetId="5">#REF!</definedName>
    <definedName name="Excel_BuiltIn_Print_Area_8_1_1_1" localSheetId="4">#REF!</definedName>
    <definedName name="Excel_BuiltIn_Print_Area_8_1_1_1">#REF!</definedName>
    <definedName name="Excel_BuiltIn_Print_Area_8_1_1_1_1">"$#REF!.$A$1:$V$36"</definedName>
    <definedName name="Excel_BuiltIn_Print_Area_8_1_1_1_1_1">"$#REF!.$A$72:$V$111"</definedName>
    <definedName name="Excel_BuiltIn_Print_Area_8_1_1_1_1_1_1">"$#REF!.$A$1:$V$112"</definedName>
    <definedName name="Excel_BuiltIn_Print_Titles" localSheetId="5">#REF!</definedName>
    <definedName name="Excel_BuiltIn_Print_Titles" localSheetId="4">#REF!</definedName>
    <definedName name="Excel_BuiltIn_Print_Titles">#REF!</definedName>
    <definedName name="Excel_BuiltIn_Print_Titles_1">"$#REF!.$A$1:$AMJ$6"</definedName>
    <definedName name="Excel_BuiltIn_Print_Titles_12">"$#REF!.$A$1:$AMJ$6"</definedName>
    <definedName name="Excel_BuiltIn_Print_Titles_13">"$#REF!.$A$1:$AMJ$6"</definedName>
    <definedName name="Excel_BuiltIn_Print_Titles_14">"$#REF!.$A$1:$AMJ$6"</definedName>
    <definedName name="Excel_BuiltIn_Print_Titles_3" localSheetId="5">#REF!</definedName>
    <definedName name="Excel_BuiltIn_Print_Titles_3" localSheetId="4">#REF!</definedName>
    <definedName name="Excel_BuiltIn_Print_Titles_3">#REF!</definedName>
    <definedName name="Excel_BuiltIn_Print_Titles_4" localSheetId="5">#REF!</definedName>
    <definedName name="Excel_BuiltIn_Print_Titles_4" localSheetId="4">#REF!</definedName>
    <definedName name="Excel_BuiltIn_Print_Titles_4">#REF!</definedName>
    <definedName name="Excel_BuiltIn_Print_Titles_5">[23]May!#REF!</definedName>
    <definedName name="Excel_BuiltIn_Print_Titles_6">[23]Jun!#REF!</definedName>
    <definedName name="Excel_BuiltIn_Print_Titles_7">[23]Jul!#REF!</definedName>
    <definedName name="Excel_BuiltIn_Print_Titles_8">[23]Aug!#REF!</definedName>
    <definedName name="Excel_BuiltIn_Print_Titles_9">[23]Sep!#REF!</definedName>
    <definedName name="Excel_BuiltIn_Print_Titles_9_10">[23]Oct!#REF!</definedName>
    <definedName name="Excel_BuiltIn_Print_Titles_9_10_11">[23]Nov!#REF!</definedName>
    <definedName name="Excel_BuiltIn_Print_Titles_9_10_12">[23]Dec!#REF!</definedName>
    <definedName name="Excel_Worksheet_Sheet1_List" localSheetId="5">#REF!</definedName>
    <definedName name="Excel_Worksheet_Sheet1_List" localSheetId="4">#REF!</definedName>
    <definedName name="Excel_Worksheet_Sheet1_List">#REF!</definedName>
    <definedName name="Extreme" localSheetId="5">#REF!</definedName>
    <definedName name="Extreme" localSheetId="4">#REF!</definedName>
    <definedName name="Extreme">#REF!</definedName>
    <definedName name="EYELET_PUNCH" localSheetId="5">#REF!</definedName>
    <definedName name="EYELET_PUNCH" localSheetId="4">#REF!</definedName>
    <definedName name="EYELET_PUNCH">#REF!</definedName>
    <definedName name="f" localSheetId="5">#REF!</definedName>
    <definedName name="f" localSheetId="4">#REF!</definedName>
    <definedName name="f">#REF!</definedName>
    <definedName name="F_5" localSheetId="5">#REF!</definedName>
    <definedName name="F_5" localSheetId="4">#REF!</definedName>
    <definedName name="F_5">#REF!</definedName>
    <definedName name="F_8" localSheetId="5">#REF!</definedName>
    <definedName name="F_8" localSheetId="4">#REF!</definedName>
    <definedName name="F_8">#REF!</definedName>
    <definedName name="F1_" localSheetId="5">#REF!</definedName>
    <definedName name="F1_" localSheetId="4">#REF!</definedName>
    <definedName name="F1_">#REF!</definedName>
    <definedName name="F2_" localSheetId="5">#REF!</definedName>
    <definedName name="F2_" localSheetId="4">#REF!</definedName>
    <definedName name="F2_">#REF!</definedName>
    <definedName name="F4_" localSheetId="5">#REF!</definedName>
    <definedName name="F4_" localSheetId="4">#REF!</definedName>
    <definedName name="F4_">#REF!</definedName>
    <definedName name="Factory" localSheetId="5">#REF!</definedName>
    <definedName name="Factory" localSheetId="4">#REF!</definedName>
    <definedName name="Factory">#REF!</definedName>
    <definedName name="Factory_3" localSheetId="5">#REF!</definedName>
    <definedName name="Factory_3" localSheetId="4">#REF!</definedName>
    <definedName name="Factory_3">#REF!</definedName>
    <definedName name="Factory_4" localSheetId="5">#REF!</definedName>
    <definedName name="Factory_4" localSheetId="4">#REF!</definedName>
    <definedName name="Factory_4">#REF!</definedName>
    <definedName name="Factory1">'[47]Look Up'!$J$2:$J$34</definedName>
    <definedName name="FactoryCode" localSheetId="5">OFFSET([25]List!$D$3,,,COUNTA([25]List!$D$3:$D$75))</definedName>
    <definedName name="FactoryCode">OFFSET([26]List!$D$3, , ,COUNTA([26]List!$D$3:$D$75))</definedName>
    <definedName name="FactoryStatus" localSheetId="5">OFFSET([34]List!$E$3,,,COUNTA([34]List!$E$3:$E$50))</definedName>
    <definedName name="FactoryStatus">OFFSET([35]List!$E$3, , ,COUNTA([35]List!$E$3:$E$50))</definedName>
    <definedName name="FAUJANABSN" localSheetId="5">#REF!</definedName>
    <definedName name="FAUJANABSN" localSheetId="4">#REF!</definedName>
    <definedName name="FAUJANABSN">#REF!</definedName>
    <definedName name="fauz" localSheetId="5">#REF!</definedName>
    <definedName name="fauz" localSheetId="4">#REF!</definedName>
    <definedName name="fauz">#REF!</definedName>
    <definedName name="FAUZAN" localSheetId="5">#REF!</definedName>
    <definedName name="FAUZAN" localSheetId="4">#REF!</definedName>
    <definedName name="FAUZAN">#REF!</definedName>
    <definedName name="fauzan01" localSheetId="5">#REF!</definedName>
    <definedName name="fauzan01" localSheetId="4">#REF!</definedName>
    <definedName name="fauzan01">#REF!</definedName>
    <definedName name="FAUZANABS" localSheetId="5">#REF!</definedName>
    <definedName name="FAUZANABS" localSheetId="4">#REF!</definedName>
    <definedName name="FAUZANABS">#REF!</definedName>
    <definedName name="FAUZSDIABS" localSheetId="5">#REF!</definedName>
    <definedName name="FAUZSDIABS" localSheetId="4">#REF!</definedName>
    <definedName name="FAUZSDIABS">#REF!</definedName>
    <definedName name="Fax" localSheetId="5">#N/A</definedName>
    <definedName name="Fax" localSheetId="4">#REF!</definedName>
    <definedName name="Fax">#REF!</definedName>
    <definedName name="FCALWC">#N/A</definedName>
    <definedName name="FCode" localSheetId="5" hidden="1">#REF!</definedName>
    <definedName name="FCode" localSheetId="4" hidden="1">#REF!</definedName>
    <definedName name="FCode" hidden="1">#REF!</definedName>
    <definedName name="fdf" localSheetId="5">#N/A</definedName>
    <definedName name="fdf" localSheetId="4">#REF!</definedName>
    <definedName name="fdf">#REF!</definedName>
    <definedName name="fdfdf">[2]!fdfdf</definedName>
    <definedName name="fdgfg" localSheetId="5">#REF!</definedName>
    <definedName name="fdgfg" localSheetId="4">#REF!</definedName>
    <definedName name="fdgfg">#REF!</definedName>
    <definedName name="fds" localSheetId="5">#REF!</definedName>
    <definedName name="fds" localSheetId="4">#REF!</definedName>
    <definedName name="fds">#REF!</definedName>
    <definedName name="fdsa" localSheetId="5" hidden="1">#REF!</definedName>
    <definedName name="fdsa" localSheetId="4" hidden="1">#REF!</definedName>
    <definedName name="fdsa" hidden="1">#REF!</definedName>
    <definedName name="feb">BlankMacro1</definedName>
    <definedName name="fewfae" hidden="1">[43]Sheet1!#REF!</definedName>
    <definedName name="FF" hidden="1">[43]Sheet1!#REF!</definedName>
    <definedName name="FFF" localSheetId="5">#N/A</definedName>
    <definedName name="FFF" localSheetId="4">#REF!</definedName>
    <definedName name="FFF">#REF!</definedName>
    <definedName name="ffff" localSheetId="5">#REF!</definedName>
    <definedName name="ffff" localSheetId="4">#REF!</definedName>
    <definedName name="ffff">#REF!</definedName>
    <definedName name="fffffffff" localSheetId="5">#REF!</definedName>
    <definedName name="fffffffff" localSheetId="4">#REF!</definedName>
    <definedName name="fffffffff">#REF!</definedName>
    <definedName name="fffffffffffffffffffffffff" localSheetId="5">#REF!</definedName>
    <definedName name="fffffffffffffffffffffffff" localSheetId="4">#REF!</definedName>
    <definedName name="fffffffffffffffffffffffff">#REF!</definedName>
    <definedName name="ffffffffffffffffffffffffffffffffffffff" localSheetId="5">#REF!</definedName>
    <definedName name="ffffffffffffffffffffffffffffffffffffff" localSheetId="4">#REF!</definedName>
    <definedName name="ffffffffffffffffffffffffffffffffffffff">#REF!</definedName>
    <definedName name="FFG" localSheetId="5">#REF!</definedName>
    <definedName name="FFG" localSheetId="4">#REF!</definedName>
    <definedName name="FFG">#REF!</definedName>
    <definedName name="FG" localSheetId="5">#REF!</definedName>
    <definedName name="FG" localSheetId="4">#REF!</definedName>
    <definedName name="FG">#REF!</definedName>
    <definedName name="fged" localSheetId="5">#N/A</definedName>
    <definedName name="fged" localSheetId="4">#REF!</definedName>
    <definedName name="fged">#REF!</definedName>
    <definedName name="FGEER" localSheetId="5">#REF!</definedName>
    <definedName name="FGEER" localSheetId="4">#REF!</definedName>
    <definedName name="FGEER">#REF!</definedName>
    <definedName name="fgf" localSheetId="5">#N/A</definedName>
    <definedName name="fgf" localSheetId="4">#REF!</definedName>
    <definedName name="fgf">#REF!</definedName>
    <definedName name="FGFG" localSheetId="5">#REF!</definedName>
    <definedName name="FGFG" localSheetId="4">#REF!</definedName>
    <definedName name="FGFG">#REF!</definedName>
    <definedName name="fgfgfgf" localSheetId="5">#REF!</definedName>
    <definedName name="fgfgfgf" localSheetId="4">#REF!</definedName>
    <definedName name="fgfgfgf">#REF!</definedName>
    <definedName name="FGG" localSheetId="5">#REF!</definedName>
    <definedName name="FGG" localSheetId="4">#REF!</definedName>
    <definedName name="FGG">#REF!</definedName>
    <definedName name="FGGF" localSheetId="5">#REF!</definedName>
    <definedName name="FGGF" localSheetId="4">#REF!</definedName>
    <definedName name="FGGF">#REF!</definedName>
    <definedName name="fghfdh" localSheetId="5">#REF!</definedName>
    <definedName name="fghfdh" localSheetId="4">#REF!</definedName>
    <definedName name="fghfdh">#REF!</definedName>
    <definedName name="fghfghsghsfghsfghsfgh">[40]!fghfghsghsfghsfghsfgh</definedName>
    <definedName name="FHFCJHGK" localSheetId="5">#REF!</definedName>
    <definedName name="FHFCJHGK" localSheetId="4">#REF!</definedName>
    <definedName name="FHFCJHGK">#REF!</definedName>
    <definedName name="fhrh" localSheetId="5">#REF!</definedName>
    <definedName name="fhrh" localSheetId="4">#REF!</definedName>
    <definedName name="fhrh">#REF!</definedName>
    <definedName name="fhrh_5">"$#REF!.$E$51:$F$51"</definedName>
    <definedName name="fhrh_8" localSheetId="5">#REF!</definedName>
    <definedName name="fhrh_8" localSheetId="4">#REF!</definedName>
    <definedName name="fhrh_8">#REF!</definedName>
    <definedName name="Filename" localSheetId="5">#REF!</definedName>
    <definedName name="Filename" localSheetId="4">#REF!</definedName>
    <definedName name="Filename">#REF!</definedName>
    <definedName name="FILL">#N/A</definedName>
    <definedName name="FJHBKJN" localSheetId="5">#REF!</definedName>
    <definedName name="FJHBKJN" localSheetId="4">#REF!</definedName>
    <definedName name="FJHBKJN">#REF!</definedName>
    <definedName name="FOLDING" localSheetId="5">#REF!</definedName>
    <definedName name="FOLDING" localSheetId="4">#REF!</definedName>
    <definedName name="FOLDING">#REF!</definedName>
    <definedName name="force1" localSheetId="5">#REF!</definedName>
    <definedName name="force1" localSheetId="4">#REF!</definedName>
    <definedName name="force1">#REF!</definedName>
    <definedName name="force1_4" localSheetId="5">#REF!</definedName>
    <definedName name="force1_4" localSheetId="4">#REF!</definedName>
    <definedName name="force1_4">#REF!</definedName>
    <definedName name="force1_42" localSheetId="5">#REF!</definedName>
    <definedName name="force1_42" localSheetId="4">#REF!</definedName>
    <definedName name="force1_42">#REF!</definedName>
    <definedName name="force1_49" localSheetId="5">#REF!</definedName>
    <definedName name="force1_49" localSheetId="4">#REF!</definedName>
    <definedName name="force1_49">#REF!</definedName>
    <definedName name="force2" localSheetId="5">#REF!</definedName>
    <definedName name="force2" localSheetId="4">#REF!</definedName>
    <definedName name="force2">#REF!</definedName>
    <definedName name="force3" localSheetId="5">#REF!</definedName>
    <definedName name="force3" localSheetId="4">#REF!</definedName>
    <definedName name="force3">#REF!</definedName>
    <definedName name="force4" localSheetId="5">#REF!</definedName>
    <definedName name="force4" localSheetId="4">#REF!</definedName>
    <definedName name="force4">#REF!</definedName>
    <definedName name="force4_4" localSheetId="5">#REF!</definedName>
    <definedName name="force4_4" localSheetId="4">#REF!</definedName>
    <definedName name="force4_4">#REF!</definedName>
    <definedName name="force4_42" localSheetId="5">#REF!</definedName>
    <definedName name="force4_42" localSheetId="4">#REF!</definedName>
    <definedName name="force4_42">#REF!</definedName>
    <definedName name="force4_49" localSheetId="5">#REF!</definedName>
    <definedName name="force4_49" localSheetId="4">#REF!</definedName>
    <definedName name="force4_49">#REF!</definedName>
    <definedName name="force402" localSheetId="5">#REF!</definedName>
    <definedName name="force402" localSheetId="4">#REF!</definedName>
    <definedName name="force402">#REF!</definedName>
    <definedName name="FORMULA_PO_COUNT" localSheetId="5" xml:space="preserve"> IF(#REF! = "", "",#REF!)</definedName>
    <definedName name="FORMULA_PO_COUNT" localSheetId="4">IF(#REF!="","",#REF!)</definedName>
    <definedName name="FORMULA_PO_COUNT">IF(#REF!="","",#REF!)</definedName>
    <definedName name="FORMULA_ROLLUP_FORECAST" localSheetId="5">'[48]Key Territory Details'!$AC1 + '[48]Key Territory Details'!$AF1 + '[48]Key Territory Details'!$AI1 + '[48]Key Territory Details'!$AL1 + '[48]Key Territory Details'!$AO1 + '[48]Key Territory Details'!$AR1 + '[48]Key Territory Details'!$AU1 + '[48]Key Territory Details'!$AX1</definedName>
    <definedName name="FORMULA_ROLLUP_FORECAST">'[48]Key Territory Details'!$AC1+'[48]Key Territory Details'!$AF1+'[48]Key Territory Details'!$AI1+'[48]Key Territory Details'!$AL1+'[48]Key Territory Details'!$AO1+'[48]Key Territory Details'!$AR1+'[48]Key Territory Details'!$AU1+'[48]Key Territory Details'!$AX1</definedName>
    <definedName name="FORMULA_ROLLUP_FORECAST1" localSheetId="5">'[48]Key Territory Details'!$BA1 + '[48]Key Territory Details'!$BD1 + '[48]Key Territory Details'!$BG1 + '[48]Key Territory Details'!$BJ1 + '[48]Key Territory Details'!$BM1</definedName>
    <definedName name="FORMULA_ROLLUP_FORECAST1">'[48]Key Territory Details'!$BA1+'[48]Key Territory Details'!$BD1+'[48]Key Territory Details'!$BG1+'[48]Key Territory Details'!$BJ1+'[48]Key Territory Details'!$BM1</definedName>
    <definedName name="FORMULA_TD_CODE" localSheetId="5" xml:space="preserve"> IF(#REF! = "", "",#REF!)</definedName>
    <definedName name="FORMULA_TD_CODE" localSheetId="4">IF(#REF!="","",#REF!)</definedName>
    <definedName name="FORMULA_TD_CODE">IF(#REF!="","",#REF!)</definedName>
    <definedName name="FORMULA_TD_DESCRIPTION">IF([49]Lineplandata!$N1="","",VLOOKUP([49]Lineplandata!$N1,[50]DropDown!$A$2:$B$20,2,FALSE))</definedName>
    <definedName name="fqefadfqfa" localSheetId="5">#REF!</definedName>
    <definedName name="fqefadfqfa" localSheetId="4">#REF!</definedName>
    <definedName name="fqefadfqfa">#REF!</definedName>
    <definedName name="fqefq" localSheetId="5">#REF!</definedName>
    <definedName name="fqefq" localSheetId="4">#REF!</definedName>
    <definedName name="fqefq">#REF!</definedName>
    <definedName name="fqfa" localSheetId="5">#N/A</definedName>
    <definedName name="fqfa" localSheetId="4">#REF!</definedName>
    <definedName name="fqfa">#REF!</definedName>
    <definedName name="fqfadfq" localSheetId="5">#REF!</definedName>
    <definedName name="fqfadfq" localSheetId="4">#REF!</definedName>
    <definedName name="fqfadfq">#REF!</definedName>
    <definedName name="fqfagfgqefq" localSheetId="5">#N/A</definedName>
    <definedName name="fqfagfgqefq" localSheetId="4">#REF!</definedName>
    <definedName name="fqfagfgqefq">#REF!</definedName>
    <definedName name="fqgadfq" localSheetId="5">#N/A</definedName>
    <definedName name="fqgadfq" localSheetId="4">#REF!</definedName>
    <definedName name="fqgadfq">#REF!</definedName>
    <definedName name="FRR" localSheetId="5">#REF!</definedName>
    <definedName name="FRR" localSheetId="4">#REF!</definedName>
    <definedName name="FRR">#REF!</definedName>
    <definedName name="FSDFSD" hidden="1">[43]Sheet1!#REF!</definedName>
    <definedName name="FSNTNHG" localSheetId="5">#N/A</definedName>
    <definedName name="FSNTNHG" localSheetId="4">#REF!</definedName>
    <definedName name="FSNTNHG">#REF!</definedName>
    <definedName name="FTY_PO" localSheetId="5">#REF!</definedName>
    <definedName name="FTY_PO" localSheetId="4">#REF!</definedName>
    <definedName name="FTY_PO">#REF!</definedName>
    <definedName name="FTY_PO_5" localSheetId="5">#REF!</definedName>
    <definedName name="FTY_PO_5" localSheetId="4">#REF!</definedName>
    <definedName name="FTY_PO_5">#REF!</definedName>
    <definedName name="FTY_PO_8" localSheetId="5">#REF!</definedName>
    <definedName name="FTY_PO_8" localSheetId="4">#REF!</definedName>
    <definedName name="FTY_PO_8">#REF!</definedName>
    <definedName name="fuse">[6]!A_ANALYSIS</definedName>
    <definedName name="fv" hidden="1">[43]Sheet1!#REF!</definedName>
    <definedName name="fwefwefwfw" localSheetId="5">#REF!</definedName>
    <definedName name="fwefwefwfw" localSheetId="4">#REF!</definedName>
    <definedName name="fwefwefwfw">#REF!</definedName>
    <definedName name="FYF" localSheetId="5">#REF!</definedName>
    <definedName name="FYF" localSheetId="4">#REF!</definedName>
    <definedName name="FYF">#REF!</definedName>
    <definedName name="fykjghl" localSheetId="5">#N/A</definedName>
    <definedName name="fykjghl" localSheetId="4">#REF!</definedName>
    <definedName name="fykjghl">#REF!</definedName>
    <definedName name="g" localSheetId="5">BlankMacro1</definedName>
    <definedName name="g" localSheetId="4">#REF!</definedName>
    <definedName name="g">#REF!</definedName>
    <definedName name="ganbhy" localSheetId="5">#REF!</definedName>
    <definedName name="ganbhy" localSheetId="4">#REF!</definedName>
    <definedName name="ganbhy">#REF!</definedName>
    <definedName name="GASDV" localSheetId="5">#REF!</definedName>
    <definedName name="GASDV" localSheetId="4">#REF!</definedName>
    <definedName name="GASDV">#REF!</definedName>
    <definedName name="GATHERING" localSheetId="5">#REF!</definedName>
    <definedName name="GATHERING" localSheetId="4">#REF!</definedName>
    <definedName name="GATHERING">#REF!</definedName>
    <definedName name="GDAFEF" localSheetId="5">#N/A</definedName>
    <definedName name="GDAFEF" localSheetId="4">#REF!</definedName>
    <definedName name="GDAFEF">#REF!</definedName>
    <definedName name="GDGDFG" hidden="1">#N/A</definedName>
    <definedName name="ge" localSheetId="5">#N/A</definedName>
    <definedName name="ge" localSheetId="4">#REF!</definedName>
    <definedName name="ge">#REF!</definedName>
    <definedName name="gea" localSheetId="5">#REF!</definedName>
    <definedName name="gea" localSheetId="4">#REF!</definedName>
    <definedName name="gea">#REF!</definedName>
    <definedName name="GEAEQ" localSheetId="5">#REF!</definedName>
    <definedName name="GEAEQ" localSheetId="4">#REF!</definedName>
    <definedName name="GEAEQ">#REF!</definedName>
    <definedName name="geax" localSheetId="5">#N/A</definedName>
    <definedName name="geax" localSheetId="4">#REF!</definedName>
    <definedName name="geax">#REF!</definedName>
    <definedName name="gee" localSheetId="5">[1]피유.프레스!#REF!</definedName>
    <definedName name="gee" localSheetId="4">#REF!</definedName>
    <definedName name="gee">#REF!</definedName>
    <definedName name="GEEZ" localSheetId="5">#REF!</definedName>
    <definedName name="GEEZ" localSheetId="4">#REF!</definedName>
    <definedName name="GEEZ">#REF!</definedName>
    <definedName name="GEFA" localSheetId="5">#REF!</definedName>
    <definedName name="GEFA" localSheetId="4">#REF!</definedName>
    <definedName name="GEFA">#REF!</definedName>
    <definedName name="GEQ" localSheetId="5">#N/A</definedName>
    <definedName name="GEQ" localSheetId="4">#REF!</definedName>
    <definedName name="GEQ">#REF!</definedName>
    <definedName name="GEQAFQ" localSheetId="5">#REF!</definedName>
    <definedName name="GEQAFQ" localSheetId="4">#REF!</definedName>
    <definedName name="GEQAFQ">#REF!</definedName>
    <definedName name="GEQAZ" localSheetId="5">#REF!</definedName>
    <definedName name="GEQAZ" localSheetId="4">#REF!</definedName>
    <definedName name="GEQAZ">#REF!</definedName>
    <definedName name="GEQF" localSheetId="5">#REF!</definedName>
    <definedName name="GEQF" localSheetId="4">#REF!</definedName>
    <definedName name="GEQF">#REF!</definedName>
    <definedName name="geqfa" localSheetId="5">#REF!</definedName>
    <definedName name="geqfa" localSheetId="4">#REF!</definedName>
    <definedName name="geqfa">#REF!</definedName>
    <definedName name="geqfaf" localSheetId="5">#REF!</definedName>
    <definedName name="geqfaf" localSheetId="4">#REF!</definedName>
    <definedName name="geqfaf">#REF!</definedName>
    <definedName name="GEQFAFZ" localSheetId="5">#REF!</definedName>
    <definedName name="GEQFAFZ" localSheetId="4">#REF!</definedName>
    <definedName name="GEQFAFZ">#REF!</definedName>
    <definedName name="GERGEWWQF" localSheetId="5">#REF!</definedName>
    <definedName name="GERGEWWQF" localSheetId="4">#REF!</definedName>
    <definedName name="GERGEWWQF">#REF!</definedName>
    <definedName name="GERQA" localSheetId="5">#REF!</definedName>
    <definedName name="GERQA" localSheetId="4">#REF!</definedName>
    <definedName name="GERQA">#REF!</definedName>
    <definedName name="GF" localSheetId="5">#REF!</definedName>
    <definedName name="GF" localSheetId="4">#REF!</definedName>
    <definedName name="GF">#REF!</definedName>
    <definedName name="gfasgngfh" localSheetId="5" xml:space="preserve"> IF(#REF! = "", "",#REF!)</definedName>
    <definedName name="gfasgngfh" localSheetId="4">IF(#REF!="","",#REF!)</definedName>
    <definedName name="gfasgngfh">IF(#REF!="","",#REF!)</definedName>
    <definedName name="GFH" localSheetId="5">#REF!</definedName>
    <definedName name="GFH" localSheetId="4">#REF!</definedName>
    <definedName name="GFH">#REF!</definedName>
    <definedName name="gfhjgfh" localSheetId="5">#REF!</definedName>
    <definedName name="gfhjgfh" localSheetId="4">#REF!</definedName>
    <definedName name="gfhjgfh">#REF!</definedName>
    <definedName name="gg">#N/A</definedName>
    <definedName name="gg_1">#N/A</definedName>
    <definedName name="GGEE" localSheetId="5">#N/A</definedName>
    <definedName name="GGEE" localSheetId="4">#REF!</definedName>
    <definedName name="GGEE">#REF!</definedName>
    <definedName name="GGG" localSheetId="5">#REF!</definedName>
    <definedName name="GGG" localSheetId="4">#REF!</definedName>
    <definedName name="GGG">#REF!</definedName>
    <definedName name="GGGGE" localSheetId="5">#REF!</definedName>
    <definedName name="GGGGE" localSheetId="4">#REF!</definedName>
    <definedName name="GGGGE">#REF!</definedName>
    <definedName name="ggggg" hidden="1">[43]Sheet1!#REF!</definedName>
    <definedName name="ggggggggg">[4]!A_SG</definedName>
    <definedName name="gggggggggggg" localSheetId="5">#N/A</definedName>
    <definedName name="gggggggggggg" localSheetId="4">#REF!</definedName>
    <definedName name="gggggggggggg">#REF!</definedName>
    <definedName name="ggggggggggggggggggggg" localSheetId="5">#N/A</definedName>
    <definedName name="ggggggggggggggggggggg" localSheetId="4">#REF!</definedName>
    <definedName name="ggggggggggggggggggggg">#REF!</definedName>
    <definedName name="gggggggggggggggggggggg">[4]!A_VOLUME</definedName>
    <definedName name="gh" localSheetId="5">#REF!</definedName>
    <definedName name="gh" localSheetId="4">#REF!</definedName>
    <definedName name="gh">#REF!</definedName>
    <definedName name="ghdjgh23">[37]Tables!#REF!</definedName>
    <definedName name="GHDTHWSTH" localSheetId="5">#N/A</definedName>
    <definedName name="GHDTHWSTH" localSheetId="4">#REF!</definedName>
    <definedName name="GHDTHWSTH">#REF!</definedName>
    <definedName name="ghgfn" localSheetId="5">#REF!</definedName>
    <definedName name="ghgfn" localSheetId="4">#REF!</definedName>
    <definedName name="ghgfn">#REF!</definedName>
    <definedName name="ghghh">#N/A</definedName>
    <definedName name="ghj" localSheetId="5" xml:space="preserve"> IF(#REF! = "", "",#REF!)</definedName>
    <definedName name="ghj" localSheetId="4">IF(#REF!="","",#REF!)</definedName>
    <definedName name="ghj">IF(#REF!="","",#REF!)</definedName>
    <definedName name="GHJSYT" localSheetId="5">#N/A</definedName>
    <definedName name="GHJSYT" localSheetId="4">#REF!</definedName>
    <definedName name="GHJSYT">#REF!</definedName>
    <definedName name="ghqfafq" localSheetId="5">#N/A</definedName>
    <definedName name="ghqfafq" localSheetId="4">#REF!</definedName>
    <definedName name="ghqfafq">#REF!</definedName>
    <definedName name="ghqrfafq" localSheetId="5">#REF!</definedName>
    <definedName name="ghqrfafq" localSheetId="4">#REF!</definedName>
    <definedName name="ghqrfafq">#REF!</definedName>
    <definedName name="GHST" localSheetId="5">#N/A</definedName>
    <definedName name="GHST" localSheetId="4">#REF!</definedName>
    <definedName name="GHST">#REF!</definedName>
    <definedName name="GHTHGHSFG" localSheetId="5">#REF!</definedName>
    <definedName name="GHTHGHSFG" localSheetId="4">#REF!</definedName>
    <definedName name="GHTHGHSFG">#REF!</definedName>
    <definedName name="ghtjf" localSheetId="5">#REF!</definedName>
    <definedName name="ghtjf" localSheetId="4">#REF!</definedName>
    <definedName name="ghtjf">#REF!</definedName>
    <definedName name="GJGH256" localSheetId="5" xml:space="preserve"> IF(#REF! = "", "",#REF!)</definedName>
    <definedName name="GJGH256" localSheetId="4">IF(#REF!="","",#REF!)</definedName>
    <definedName name="GJGH256">IF(#REF!="","",#REF!)</definedName>
    <definedName name="gjgvkh" localSheetId="5">#REF!</definedName>
    <definedName name="gjgvkh" localSheetId="4">#REF!</definedName>
    <definedName name="gjgvkh">#REF!</definedName>
    <definedName name="GJHGK" localSheetId="5">#REF!</definedName>
    <definedName name="GJHGK" localSheetId="4">#REF!</definedName>
    <definedName name="GJHGK">#REF!</definedName>
    <definedName name="GKL" localSheetId="5">#REF!</definedName>
    <definedName name="GKL" localSheetId="4">#REF!</definedName>
    <definedName name="GKL">#REF!</definedName>
    <definedName name="gnh" localSheetId="5">#REF!</definedName>
    <definedName name="gnh" localSheetId="4">#REF!</definedName>
    <definedName name="gnh">#REF!</definedName>
    <definedName name="gnth" localSheetId="5">#REF!</definedName>
    <definedName name="gnth" localSheetId="4">#REF!</definedName>
    <definedName name="gnth">#REF!</definedName>
    <definedName name="GQEADFQ" localSheetId="5">#REF!</definedName>
    <definedName name="GQEADFQ" localSheetId="4">#REF!</definedName>
    <definedName name="GQEADFQ">#REF!</definedName>
    <definedName name="gqefadfqf" localSheetId="5">#REF!</definedName>
    <definedName name="gqefadfqf" localSheetId="4">#REF!</definedName>
    <definedName name="gqefadfqf">#REF!</definedName>
    <definedName name="GQEFADQ" localSheetId="5">#REF!</definedName>
    <definedName name="GQEFADQ" localSheetId="4">#REF!</definedName>
    <definedName name="GQEFADQ">#REF!</definedName>
    <definedName name="gqefaefq" localSheetId="5">#REF!</definedName>
    <definedName name="gqefaefq" localSheetId="4">#REF!</definedName>
    <definedName name="gqefaefq">#REF!</definedName>
    <definedName name="GQEFAEFQFQAAF" localSheetId="5">#REF!</definedName>
    <definedName name="GQEFAEFQFQAAF" localSheetId="4">#REF!</definedName>
    <definedName name="GQEFAEFQFQAAF">#REF!</definedName>
    <definedName name="gqefaegfgqrfgq" localSheetId="5">[1]피유.프레스!#REF!</definedName>
    <definedName name="gqefaegfgqrfgq" localSheetId="4">#REF!</definedName>
    <definedName name="gqefaegfgqrfgq">#REF!</definedName>
    <definedName name="gqefaf" localSheetId="5">#N/A</definedName>
    <definedName name="gqefaf" localSheetId="4">#REF!</definedName>
    <definedName name="gqefaf">#REF!</definedName>
    <definedName name="gqefafq" localSheetId="5">#N/A</definedName>
    <definedName name="gqefafq" localSheetId="4">#REF!</definedName>
    <definedName name="gqefafq">#REF!</definedName>
    <definedName name="GQEFAFQFQAF" localSheetId="5">#N/A</definedName>
    <definedName name="GQEFAFQFQAF" localSheetId="4">#REF!</definedName>
    <definedName name="GQEFAFQFQAF">#REF!</definedName>
    <definedName name="GQEFAQFQ" localSheetId="5">#N/A</definedName>
    <definedName name="GQEFAQFQ" localSheetId="4">#REF!</definedName>
    <definedName name="GQEFAQFQ">#REF!</definedName>
    <definedName name="gqefazfq" localSheetId="5">#REF!</definedName>
    <definedName name="gqefazfq" localSheetId="4">#REF!</definedName>
    <definedName name="gqefazfq">#REF!</definedName>
    <definedName name="GQEFQ" localSheetId="5">#REF!</definedName>
    <definedName name="GQEFQ" localSheetId="4">#REF!</definedName>
    <definedName name="GQEFQ">#REF!</definedName>
    <definedName name="GQEFQF" localSheetId="5">#REF!</definedName>
    <definedName name="GQEFQF" localSheetId="4">#REF!</definedName>
    <definedName name="GQEFQF">#REF!</definedName>
    <definedName name="GQERFGAGF" localSheetId="5">#N/A</definedName>
    <definedName name="GQERFGAGF" localSheetId="4">#REF!</definedName>
    <definedName name="GQERFGAGF">#REF!</definedName>
    <definedName name="GQEZ" localSheetId="5">#REF!</definedName>
    <definedName name="GQEZ" localSheetId="4">#REF!</definedName>
    <definedName name="GQEZ">#REF!</definedName>
    <definedName name="GQFADF" localSheetId="5">#REF!</definedName>
    <definedName name="GQFADF" localSheetId="4">#REF!</definedName>
    <definedName name="GQFADF">#REF!</definedName>
    <definedName name="gqfadfqf" localSheetId="5">#REF!</definedName>
    <definedName name="gqfadfqf" localSheetId="4">#REF!</definedName>
    <definedName name="gqfadfqf">#REF!</definedName>
    <definedName name="gqfadgqrfgqrf" localSheetId="5">#REF!</definedName>
    <definedName name="gqfadgqrfgqrf" localSheetId="4">#REF!</definedName>
    <definedName name="gqfadgqrfgqrf">#REF!</definedName>
    <definedName name="gqfaefq" localSheetId="5">#REF!</definedName>
    <definedName name="gqfaefq" localSheetId="4">#REF!</definedName>
    <definedName name="gqfaefq">#REF!</definedName>
    <definedName name="gqfaf" localSheetId="5">#REF!</definedName>
    <definedName name="gqfaf" localSheetId="4">#REF!</definedName>
    <definedName name="gqfaf">#REF!</definedName>
    <definedName name="GQFAFQ" localSheetId="5">#REF!</definedName>
    <definedName name="gqfafq" localSheetId="4">#REF!</definedName>
    <definedName name="gqfafq">#REF!</definedName>
    <definedName name="GQFAFQEFAF" localSheetId="5">#N/A</definedName>
    <definedName name="GQFAFQEFAF" localSheetId="4">#REF!</definedName>
    <definedName name="GQFAFQEFAF">#REF!</definedName>
    <definedName name="gqfafqf" localSheetId="5">#REF!</definedName>
    <definedName name="gqfafqf" localSheetId="4">#REF!</definedName>
    <definedName name="gqfafqf">#REF!</definedName>
    <definedName name="gqfafqfadfq" localSheetId="5">#N/A</definedName>
    <definedName name="gqfafqfadfq" localSheetId="4">#REF!</definedName>
    <definedName name="gqfafqfadfq">#REF!</definedName>
    <definedName name="GQREFADF" localSheetId="5">#N/A</definedName>
    <definedName name="GQREFADF" localSheetId="4">#REF!</definedName>
    <definedName name="GQREFADF">#REF!</definedName>
    <definedName name="gqrfadfq" localSheetId="5">#REF!</definedName>
    <definedName name="gqrfadfq" localSheetId="4">#REF!</definedName>
    <definedName name="gqrfadfq">#REF!</definedName>
    <definedName name="gqrfadfqf" localSheetId="5">#REF!</definedName>
    <definedName name="gqrfadfqf" localSheetId="4">#REF!</definedName>
    <definedName name="gqrfadfqf">#REF!</definedName>
    <definedName name="GQRFAEFQF" localSheetId="5">#N/A</definedName>
    <definedName name="GQRFAEFQF" localSheetId="4">#REF!</definedName>
    <definedName name="GQRFAEFQF">#REF!</definedName>
    <definedName name="GQRFAF" localSheetId="5">#REF!</definedName>
    <definedName name="GQRFAF" localSheetId="4">#REF!</definedName>
    <definedName name="GQRFAF">#REF!</definedName>
    <definedName name="gqrfqfqf" localSheetId="5">#REF!</definedName>
    <definedName name="gqrfqfqf" localSheetId="4">#REF!</definedName>
    <definedName name="gqrfqfqf">#REF!</definedName>
    <definedName name="gqrfqrfgq" localSheetId="5">#REF!</definedName>
    <definedName name="gqrfqrfgq" localSheetId="4">#REF!</definedName>
    <definedName name="gqrfqrfgq">#REF!</definedName>
    <definedName name="GQRGFG" localSheetId="5">[1]피유.프레스!#REF!</definedName>
    <definedName name="GQRGFG" localSheetId="4">#REF!</definedName>
    <definedName name="GQRGFG">#REF!</definedName>
    <definedName name="grfaefzD" localSheetId="5">#REF!</definedName>
    <definedName name="grfaefzD" localSheetId="4">#REF!</definedName>
    <definedName name="grfaefzD">#REF!</definedName>
    <definedName name="grfasfqf" localSheetId="5">#REF!</definedName>
    <definedName name="grfasfqf" localSheetId="4">#REF!</definedName>
    <definedName name="grfasfqf">#REF!</definedName>
    <definedName name="GRGERGWW" localSheetId="5">#REF!</definedName>
    <definedName name="GRGERGWW" localSheetId="4">#REF!</definedName>
    <definedName name="GRGERGWW">#REF!</definedName>
    <definedName name="GroupCode" localSheetId="5">OFFSET([25]List!$C$3,,,COUNTA([25]List!$C$3:$C$175))</definedName>
    <definedName name="GroupCode">OFFSET([26]List!$C$3, , ,COUNTA([26]List!$C$3:$C$175))</definedName>
    <definedName name="GRQG" localSheetId="5">#N/A</definedName>
    <definedName name="GRQG" localSheetId="4">#REF!</definedName>
    <definedName name="GRQG">#REF!</definedName>
    <definedName name="GSBRTYGB" localSheetId="5">#N/A</definedName>
    <definedName name="GSBRTYGB" localSheetId="4">#REF!</definedName>
    <definedName name="GSBRTYGB">#REF!</definedName>
    <definedName name="GSDHGFVB" localSheetId="5">#REF!</definedName>
    <definedName name="GSDHGFVB" localSheetId="4">#REF!</definedName>
    <definedName name="GSDHGFVB">#REF!</definedName>
    <definedName name="GSHGH" localSheetId="5">[1]피유.프레스!#REF!</definedName>
    <definedName name="GSHGH" localSheetId="4">#REF!</definedName>
    <definedName name="GSHGH">#REF!</definedName>
    <definedName name="GSHSYSGH" localSheetId="5">#REF!</definedName>
    <definedName name="GSHSYSGH" localSheetId="4">#REF!</definedName>
    <definedName name="GSHSYSGH">#REF!</definedName>
    <definedName name="gu" localSheetId="5">#N/A</definedName>
    <definedName name="gu" localSheetId="4">#REF!</definedName>
    <definedName name="gu">#REF!</definedName>
    <definedName name="guli">BlankMacro1</definedName>
    <definedName name="gwrfadfqef" localSheetId="5">#REF!</definedName>
    <definedName name="gwrfadfqef" localSheetId="4">#REF!</definedName>
    <definedName name="gwrfadfqef">#REF!</definedName>
    <definedName name="gwrfadfqfqa" localSheetId="5">#REF!</definedName>
    <definedName name="gwrfadfqfqa" localSheetId="4">#REF!</definedName>
    <definedName name="gwrfadfqfqa">#REF!</definedName>
    <definedName name="H" localSheetId="5">#REF!</definedName>
    <definedName name="H" localSheetId="4">#REF!</definedName>
    <definedName name="H">#REF!</definedName>
    <definedName name="HAMMERING" localSheetId="5">#REF!</definedName>
    <definedName name="HAMMERING" localSheetId="4">#REF!</definedName>
    <definedName name="HAMMERING">#REF!</definedName>
    <definedName name="hate">BlankMacro1</definedName>
    <definedName name="HBJ">#N/A</definedName>
    <definedName name="hcergqag" localSheetId="5">#REF!</definedName>
    <definedName name="hcergqag" localSheetId="4">#REF!</definedName>
    <definedName name="hcergqag">#REF!</definedName>
    <definedName name="HDJKHGJKDGH" localSheetId="5">#REF!</definedName>
    <definedName name="HDJKHGJKDGH" localSheetId="4">#REF!</definedName>
    <definedName name="HDJKHGJKDGH">#REF!</definedName>
    <definedName name="he" localSheetId="5">#REF!</definedName>
    <definedName name="he" localSheetId="4">#REF!</definedName>
    <definedName name="he">#REF!</definedName>
    <definedName name="HEADER" localSheetId="5">#REF!</definedName>
    <definedName name="HEADER" localSheetId="4">#REF!</definedName>
    <definedName name="HEADER">#REF!</definedName>
    <definedName name="HENDRO" localSheetId="5">#REF!</definedName>
    <definedName name="HENDRO" localSheetId="4">#REF!</definedName>
    <definedName name="HENDRO">#REF!</definedName>
    <definedName name="hfg" localSheetId="5">#N/A</definedName>
    <definedName name="hfg" localSheetId="4">#REF!</definedName>
    <definedName name="hfg">#REF!</definedName>
    <definedName name="hfudmk">#REF!</definedName>
    <definedName name="HFW" localSheetId="5">#REF!</definedName>
    <definedName name="HFW" localSheetId="4">#REF!</definedName>
    <definedName name="HFW">#REF!</definedName>
    <definedName name="hfwelding" localSheetId="5">#REF!</definedName>
    <definedName name="hfwelding" localSheetId="4">#REF!</definedName>
    <definedName name="hfwelding">#REF!</definedName>
    <definedName name="HGH" localSheetId="5">#N/A</definedName>
    <definedName name="HGH" localSheetId="4">#REF!</definedName>
    <definedName name="HGH">#REF!</definedName>
    <definedName name="HGHJKH" localSheetId="5">#REF!</definedName>
    <definedName name="HGHJKH" localSheetId="4">#REF!</definedName>
    <definedName name="HGHJKH">#REF!</definedName>
    <definedName name="hgqrfafqf" localSheetId="5">#N/A</definedName>
    <definedName name="hgqrfafqf" localSheetId="4">#REF!</definedName>
    <definedName name="hgqrfafqf">#REF!</definedName>
    <definedName name="HHH" localSheetId="4">#REF!</definedName>
    <definedName name="HHH">#REF!</definedName>
    <definedName name="hhhhhhhhhhhhhfffffffffffffff" localSheetId="5">#REF!</definedName>
    <definedName name="hhhhhhhhhhhhhfffffffffffffff" localSheetId="4">#REF!</definedName>
    <definedName name="hhhhhhhhhhhhhfffffffffffffff">#REF!</definedName>
    <definedName name="HHRE" localSheetId="5">#REF!</definedName>
    <definedName name="HHRE" localSheetId="4">#REF!</definedName>
    <definedName name="HHRE">#REF!</definedName>
    <definedName name="HiddenRows" localSheetId="5" hidden="1">#REF!</definedName>
    <definedName name="HiddenRows" localSheetId="4" hidden="1">#REF!</definedName>
    <definedName name="HiddenRows" hidden="1">#REF!</definedName>
    <definedName name="hj" localSheetId="5">#REF!</definedName>
    <definedName name="hj" localSheetId="4">#REF!</definedName>
    <definedName name="hj">#REF!</definedName>
    <definedName name="hjhkggmkcgmk" localSheetId="5">#REF!</definedName>
    <definedName name="hjhkggmkcgmk" localSheetId="4">#REF!</definedName>
    <definedName name="hjhkggmkcgmk">#REF!</definedName>
    <definedName name="HLHG" localSheetId="5">#N/A</definedName>
    <definedName name="HLHG" localSheetId="4">#REF!</definedName>
    <definedName name="HLHG">#REF!</definedName>
    <definedName name="HM" localSheetId="5">#REF!</definedName>
    <definedName name="HM" localSheetId="4">#REF!</definedName>
    <definedName name="HM">#REF!</definedName>
    <definedName name="hmfuky" localSheetId="5">#N/A</definedName>
    <definedName name="hmfuky" localSheetId="4">#REF!</definedName>
    <definedName name="hmfuky">#REF!</definedName>
    <definedName name="hnaaean" localSheetId="5">#REF!</definedName>
    <definedName name="hnaaean" localSheetId="4">#REF!</definedName>
    <definedName name="hnaaean">#REF!</definedName>
    <definedName name="hnfgffnf">[18]!A_VOLUME</definedName>
    <definedName name="hnt" localSheetId="5">[1]피유.프레스!#REF!</definedName>
    <definedName name="hnt" localSheetId="4">#REF!</definedName>
    <definedName name="hnt">#REF!</definedName>
    <definedName name="hnxy" localSheetId="5">#REF!</definedName>
    <definedName name="hnxy" localSheetId="4">#REF!</definedName>
    <definedName name="hnxy">#REF!</definedName>
    <definedName name="hqrfadfqf" localSheetId="5">#N/A</definedName>
    <definedName name="hqrfadfqf" localSheetId="4">#REF!</definedName>
    <definedName name="hqrfadfqf">#REF!</definedName>
    <definedName name="hqrfafq" localSheetId="5">[1]피유.프레스!#REF!</definedName>
    <definedName name="hqrfafq" localSheetId="4">#REF!</definedName>
    <definedName name="hqrfafq">#REF!</definedName>
    <definedName name="HQRFQFAFQF" localSheetId="5">#N/A</definedName>
    <definedName name="HQRFQFAFQF" localSheetId="4">#REF!</definedName>
    <definedName name="HQRFQFAFQF">#REF!</definedName>
    <definedName name="hr" localSheetId="5">#N/A</definedName>
    <definedName name="hr" localSheetId="4">#REF!</definedName>
    <definedName name="hr">#REF!</definedName>
    <definedName name="HRFQ" localSheetId="5">#N/A</definedName>
    <definedName name="HRFQ" localSheetId="4">#REF!</definedName>
    <definedName name="HRFQ">#REF!</definedName>
    <definedName name="HRFQF" localSheetId="5">#N/A</definedName>
    <definedName name="HRFQF" localSheetId="4">#REF!</definedName>
    <definedName name="HRFQF">#REF!</definedName>
    <definedName name="HRGAFEQ" localSheetId="5">#REF!</definedName>
    <definedName name="HRGAFEQ" localSheetId="4">#REF!</definedName>
    <definedName name="HRGAFEQ">#REF!</definedName>
    <definedName name="HRGRA" localSheetId="5">#N/A</definedName>
    <definedName name="HRGRA" localSheetId="4">#REF!</definedName>
    <definedName name="HRGRA">#REF!</definedName>
    <definedName name="HRGRGW" localSheetId="5">#REF!</definedName>
    <definedName name="HRGRGW" localSheetId="4">#REF!</definedName>
    <definedName name="HRGRGW">#REF!</definedName>
    <definedName name="hrqgfgrwqg" localSheetId="5">#N/A</definedName>
    <definedName name="hrqgfgrwqg" localSheetId="4">#REF!</definedName>
    <definedName name="hrqgfgrwqg">#REF!</definedName>
    <definedName name="HRRRZAF" localSheetId="5">#REF!</definedName>
    <definedName name="HRRRZAF" localSheetId="4">#REF!</definedName>
    <definedName name="HRRRZAF">#REF!</definedName>
    <definedName name="HRWEQF" localSheetId="5">#REF!</definedName>
    <definedName name="HRWEQF" localSheetId="4">#REF!</definedName>
    <definedName name="HRWEQF">#REF!</definedName>
    <definedName name="hs.park" localSheetId="5">#REF!</definedName>
    <definedName name="hs.park" localSheetId="4">#REF!</definedName>
    <definedName name="hs.park">#REF!</definedName>
    <definedName name="hspark" localSheetId="5">#REF!</definedName>
    <definedName name="hspark" localSheetId="4">#REF!</definedName>
    <definedName name="hspark">#REF!</definedName>
    <definedName name="htgsdgw" localSheetId="5">#REF!</definedName>
    <definedName name="htgsdgw" localSheetId="4">#REF!</definedName>
    <definedName name="htgsdgw">#REF!</definedName>
    <definedName name="htmjdnuj" localSheetId="5">#REF!</definedName>
    <definedName name="htmjdnuj" localSheetId="4">#REF!</definedName>
    <definedName name="htmjdnuj">#REF!</definedName>
    <definedName name="htwgsfqf" localSheetId="5">#REF!</definedName>
    <definedName name="htwgsfqf" localSheetId="4">#REF!</definedName>
    <definedName name="htwgsfqf">#REF!</definedName>
    <definedName name="htxn" localSheetId="5">#N/A</definedName>
    <definedName name="htxn" localSheetId="4">#REF!</definedName>
    <definedName name="htxn">#REF!</definedName>
    <definedName name="HUONGPRESS">#N/A</definedName>
    <definedName name="HUY" localSheetId="5">#REF!</definedName>
    <definedName name="HUY" localSheetId="4">#REF!</definedName>
    <definedName name="HUY">#REF!</definedName>
    <definedName name="HWGWGWXZ" localSheetId="5">#N/A</definedName>
    <definedName name="HWGWGWXZ" localSheetId="4">#REF!</definedName>
    <definedName name="HWGWGWXZ">#REF!</definedName>
    <definedName name="hwrgsfgqw" localSheetId="5">#REF!</definedName>
    <definedName name="hwrgsfgqw" localSheetId="4">#REF!</definedName>
    <definedName name="hwrgsfgqw">#REF!</definedName>
    <definedName name="HWRGSW" localSheetId="5">#N/A</definedName>
    <definedName name="HWRGSW" localSheetId="4">#REF!</definedName>
    <definedName name="HWRGSW">#REF!</definedName>
    <definedName name="HWRGW" localSheetId="5">#REF!</definedName>
    <definedName name="HWRGW" localSheetId="4">#REF!</definedName>
    <definedName name="HWRGW">#REF!</definedName>
    <definedName name="hxgnzth" localSheetId="5">#N/A</definedName>
    <definedName name="hxgnzth" localSheetId="4">#REF!</definedName>
    <definedName name="hxgnzth">#REF!</definedName>
    <definedName name="hynbtr" localSheetId="5">#REF!</definedName>
    <definedName name="hynbtr" localSheetId="4">#REF!</definedName>
    <definedName name="hynbtr">#REF!</definedName>
    <definedName name="i" localSheetId="5">BlankMacro1</definedName>
    <definedName name="i" localSheetId="4">#REF!</definedName>
    <definedName name="i">#REF!</definedName>
    <definedName name="IDA" localSheetId="5">#REF!</definedName>
    <definedName name="IDA" localSheetId="4">#REF!</definedName>
    <definedName name="IDA">#REF!</definedName>
    <definedName name="IDA....02" localSheetId="5">#REF!</definedName>
    <definedName name="IDA....02" localSheetId="4">#REF!</definedName>
    <definedName name="IDA....02">#REF!</definedName>
    <definedName name="IDAAA" localSheetId="5">#REF!</definedName>
    <definedName name="IDAAA" localSheetId="4">#REF!</definedName>
    <definedName name="IDAAA">#REF!</definedName>
    <definedName name="idaaaabs" localSheetId="5">#REF!</definedName>
    <definedName name="idaaaabs" localSheetId="4">#REF!</definedName>
    <definedName name="idaaaabs">#REF!</definedName>
    <definedName name="IDAABS" localSheetId="5">#REF!</definedName>
    <definedName name="IDAABS" localSheetId="4">#REF!</definedName>
    <definedName name="IDAABS">#REF!</definedName>
    <definedName name="IDAABSEN" localSheetId="5">#REF!</definedName>
    <definedName name="IDAABSEN" localSheetId="4">#REF!</definedName>
    <definedName name="IDAABSEN">#REF!</definedName>
    <definedName name="idaabsen1234" localSheetId="5">#REF!</definedName>
    <definedName name="idaabsen1234" localSheetId="4">#REF!</definedName>
    <definedName name="idaabsen1234">#REF!</definedName>
    <definedName name="IDAABSENSI16" localSheetId="5">#REF!</definedName>
    <definedName name="IDAABSENSI16" localSheetId="4">#REF!</definedName>
    <definedName name="IDAABSENSI16">#REF!</definedName>
    <definedName name="IDAABSN" localSheetId="5">#REF!</definedName>
    <definedName name="IDAABSN" localSheetId="4">#REF!</definedName>
    <definedName name="IDAABSN">#REF!</definedName>
    <definedName name="IDAABSNSDI.." localSheetId="5">#REF!</definedName>
    <definedName name="IDAABSNSDI.." localSheetId="4">#REF!</definedName>
    <definedName name="IDAABSNSDI..">#REF!</definedName>
    <definedName name="IDAB" localSheetId="5">#REF!</definedName>
    <definedName name="IDAB" localSheetId="4">#REF!</definedName>
    <definedName name="IDAB">#REF!</definedName>
    <definedName name="IDAHSABS" localSheetId="5">#REF!</definedName>
    <definedName name="IDAHSABS" localSheetId="4">#REF!</definedName>
    <definedName name="IDAHSABS">#REF!</definedName>
    <definedName name="idasdi2" localSheetId="5">#REF!</definedName>
    <definedName name="idasdi2" localSheetId="4">#REF!</definedName>
    <definedName name="idasdi2">#REF!</definedName>
    <definedName name="IDASDI2ABSOCT" localSheetId="5">#REF!</definedName>
    <definedName name="IDASDI2ABSOCT" localSheetId="4">#REF!</definedName>
    <definedName name="IDASDI2ABSOCT">#REF!</definedName>
    <definedName name="IDASDI2ABSOCTB" localSheetId="5">#REF!</definedName>
    <definedName name="IDASDI2ABSOCTB" localSheetId="4">#REF!</definedName>
    <definedName name="IDASDI2ABSOCTB">#REF!</definedName>
    <definedName name="IDASDIAB" localSheetId="5">#REF!</definedName>
    <definedName name="IDASDIAB" localSheetId="4">#REF!</definedName>
    <definedName name="IDASDIAB">#REF!</definedName>
    <definedName name="IDASDIABS" localSheetId="5">#REF!</definedName>
    <definedName name="IDASDIABS" localSheetId="4">#REF!</definedName>
    <definedName name="IDASDIABS">#REF!</definedName>
    <definedName name="IDASDIABSENNNN" localSheetId="5">#REF!</definedName>
    <definedName name="IDASDIABSENNNN" localSheetId="4">#REF!</definedName>
    <definedName name="IDASDIABSENNNN">#REF!</definedName>
    <definedName name="IDASDIABSN" localSheetId="5">#REF!</definedName>
    <definedName name="IDASDIABSN" localSheetId="4">#REF!</definedName>
    <definedName name="IDASDIABSN">#REF!</definedName>
    <definedName name="IDASDIABSNN" localSheetId="5">#REF!</definedName>
    <definedName name="IDASDIABSNN" localSheetId="4">#REF!</definedName>
    <definedName name="IDASDIABSNN">#REF!</definedName>
    <definedName name="IDSDI2ABS" localSheetId="5">#REF!</definedName>
    <definedName name="IDSDI2ABS" localSheetId="4">#REF!</definedName>
    <definedName name="IDSDI2ABS">#REF!</definedName>
    <definedName name="IDSDIABS" localSheetId="5">#REF!</definedName>
    <definedName name="IDSDIABS" localSheetId="4">#REF!</definedName>
    <definedName name="IDSDIABS">#REF!</definedName>
    <definedName name="IIII" localSheetId="5">#REF!</definedName>
    <definedName name="IIII" localSheetId="4">#REF!</definedName>
    <definedName name="IIII">#REF!</definedName>
    <definedName name="IMPHEAD" localSheetId="5">#REF!</definedName>
    <definedName name="IMPHEAD" localSheetId="4">#REF!</definedName>
    <definedName name="IMPHEAD">#REF!</definedName>
    <definedName name="IMPSPEC" localSheetId="5">#REF!</definedName>
    <definedName name="IMPSPEC" localSheetId="4">#REF!</definedName>
    <definedName name="IMPSPEC">#REF!</definedName>
    <definedName name="IMPX" localSheetId="5">#REF!</definedName>
    <definedName name="IMPX" localSheetId="4">#REF!</definedName>
    <definedName name="IMPX">#REF!</definedName>
    <definedName name="IMPX_4" localSheetId="5">#REF!</definedName>
    <definedName name="IMPX_4" localSheetId="4">#REF!</definedName>
    <definedName name="IMPX_4">#REF!</definedName>
    <definedName name="IMPX_42" localSheetId="5">#REF!</definedName>
    <definedName name="IMPX_42" localSheetId="4">#REF!</definedName>
    <definedName name="IMPX_42">#REF!</definedName>
    <definedName name="IMPX_49" localSheetId="5">#REF!</definedName>
    <definedName name="IMPX_49" localSheetId="4">#REF!</definedName>
    <definedName name="IMPX_49">#REF!</definedName>
    <definedName name="IMPX_5" localSheetId="5">#REF!</definedName>
    <definedName name="IMPX_5" localSheetId="4">#REF!</definedName>
    <definedName name="IMPX_5">#REF!</definedName>
    <definedName name="IMPX_5_5" localSheetId="5">#REF!</definedName>
    <definedName name="IMPX_5_5" localSheetId="4">#REF!</definedName>
    <definedName name="IMPX_5_5">#REF!</definedName>
    <definedName name="IMPX_8" localSheetId="5">#REF!</definedName>
    <definedName name="IMPX_8" localSheetId="4">#REF!</definedName>
    <definedName name="IMPX_8">#REF!</definedName>
    <definedName name="INAM">[1]피유.프레스!#REF!</definedName>
    <definedName name="IND" localSheetId="5">#REF!</definedName>
    <definedName name="IND" localSheetId="4">#REF!</definedName>
    <definedName name="IND">#REF!</definedName>
    <definedName name="INDAHNM" localSheetId="5">#REF!</definedName>
    <definedName name="INDAHNM" localSheetId="4">#REF!</definedName>
    <definedName name="INDAHNM">#REF!</definedName>
    <definedName name="INDAHSKLI" localSheetId="5">#REF!</definedName>
    <definedName name="INDAHSKLI" localSheetId="4">#REF!</definedName>
    <definedName name="INDAHSKLI">#REF!</definedName>
    <definedName name="INDD" localSheetId="5">#REF!</definedName>
    <definedName name="INDD" localSheetId="4">#REF!</definedName>
    <definedName name="INDD">#REF!</definedName>
    <definedName name="Indirect">[41]BMN405!#REF!</definedName>
    <definedName name="INDO" localSheetId="5">#REF!</definedName>
    <definedName name="INDO" localSheetId="4">#REF!</definedName>
    <definedName name="INDO">#REF!</definedName>
    <definedName name="INDOABS" localSheetId="5">#REF!</definedName>
    <definedName name="INDOABS" localSheetId="4">#REF!</definedName>
    <definedName name="INDOABS">#REF!</definedName>
    <definedName name="INDONESIA" localSheetId="5">#REF!</definedName>
    <definedName name="INDONESIA" localSheetId="4">#REF!</definedName>
    <definedName name="INDONESIA">#REF!</definedName>
    <definedName name="indonesia2" localSheetId="5">#REF!</definedName>
    <definedName name="indonesia2" localSheetId="4">#REF!</definedName>
    <definedName name="indonesia2">#REF!</definedName>
    <definedName name="information" localSheetId="5">#REF!</definedName>
    <definedName name="information" localSheetId="4">#REF!</definedName>
    <definedName name="information">#REF!</definedName>
    <definedName name="INOUT" localSheetId="5">#REF!</definedName>
    <definedName name="INOUT" localSheetId="4">#REF!</definedName>
    <definedName name="INOUT">#REF!</definedName>
    <definedName name="InspectionStampingProductionDate" localSheetId="5">#REF!</definedName>
    <definedName name="InspectionStampingProductionDate" localSheetId="4">#REF!</definedName>
    <definedName name="InspectionStampingProductionDate">#REF!</definedName>
    <definedName name="IntroPrintArea" localSheetId="5" hidden="1">#REF!</definedName>
    <definedName name="IntroPrintArea" localSheetId="4" hidden="1">#REF!</definedName>
    <definedName name="IntroPrintArea" hidden="1">#REF!</definedName>
    <definedName name="invoice" localSheetId="5">#REF!</definedName>
    <definedName name="invoice" localSheetId="4">#REF!</definedName>
    <definedName name="invoice">#REF!</definedName>
    <definedName name="Invoice_Data_Table" localSheetId="5">#REF!</definedName>
    <definedName name="Invoice_Data_Table" localSheetId="4">#REF!</definedName>
    <definedName name="Invoice_Data_Table">#REF!</definedName>
    <definedName name="invoice3" localSheetId="5">#REF!</definedName>
    <definedName name="invoice3" localSheetId="4">#REF!</definedName>
    <definedName name="invoice3">#REF!</definedName>
    <definedName name="invoice4" localSheetId="5">#REF!</definedName>
    <definedName name="invoice4" localSheetId="4">#REF!</definedName>
    <definedName name="invoice4">#REF!</definedName>
    <definedName name="iqq" localSheetId="5">#REF!</definedName>
    <definedName name="iqq" localSheetId="4">#REF!</definedName>
    <definedName name="iqq">#REF!</definedName>
    <definedName name="ISD" localSheetId="5">#REF!</definedName>
    <definedName name="ISD" localSheetId="4">#REF!</definedName>
    <definedName name="ISD">#REF!</definedName>
    <definedName name="ISO">[2]!ISO</definedName>
    <definedName name="iyouabsen" localSheetId="5">#REF!</definedName>
    <definedName name="iyouabsen" localSheetId="4">#REF!</definedName>
    <definedName name="iyouabsen">#REF!</definedName>
    <definedName name="IYOUSDIABSN" localSheetId="5">#REF!</definedName>
    <definedName name="IYOUSDIABSN" localSheetId="4">#REF!</definedName>
    <definedName name="IYOUSDIABSN">#REF!</definedName>
    <definedName name="J" localSheetId="5">#REF!</definedName>
    <definedName name="J" localSheetId="4">#REF!</definedName>
    <definedName name="J">#REF!</definedName>
    <definedName name="J1_42">#NAME?</definedName>
    <definedName name="January_2011" localSheetId="5">#REF!</definedName>
    <definedName name="January_2011" localSheetId="4">#REF!</definedName>
    <definedName name="January_2011">#REF!</definedName>
    <definedName name="jbihijhuni">'[44]Supplier List'!$E$2:$E$23</definedName>
    <definedName name="jbyun">#N/A</definedName>
    <definedName name="jdyjdgfh" localSheetId="5">#N/A</definedName>
    <definedName name="jdyjdgfh" localSheetId="4">#REF!</definedName>
    <definedName name="jdyjdgfh">#REF!</definedName>
    <definedName name="JF" hidden="1">#REF!</definedName>
    <definedName name="JHJHDF">#REF!</definedName>
    <definedName name="JI" localSheetId="5" xml:space="preserve"> IF(#REF! = "", "",#REF!)</definedName>
    <definedName name="JI" localSheetId="4">IF(#REF!="","",#REF!)</definedName>
    <definedName name="JI">IF(#REF!="","",#REF!)</definedName>
    <definedName name="JIHUA">[37]Tables!#REF!</definedName>
    <definedName name="JIJIJIJIJIJI" localSheetId="5">#REF!</definedName>
    <definedName name="JIJIJIJIJIJI" localSheetId="4">#REF!</definedName>
    <definedName name="JIJIJIJIJIJI">#REF!</definedName>
    <definedName name="JJ" localSheetId="5">#REF!</definedName>
    <definedName name="JJ" localSheetId="4">#REF!</definedName>
    <definedName name="JJ">#REF!</definedName>
    <definedName name="jjg" hidden="1">#REF!</definedName>
    <definedName name="jjjjjjjjjjjjjjjjjjjjjjjjj" localSheetId="5">#N/A</definedName>
    <definedName name="jjjjjjjjjjjjjjjjjjjjjjjjj" localSheetId="4">#REF!</definedName>
    <definedName name="jjjjjjjjjjjjjjjjjjjjjjjjj">#REF!</definedName>
    <definedName name="JJM" localSheetId="5">#REF!</definedName>
    <definedName name="JJM" localSheetId="4">#REF!</definedName>
    <definedName name="JJM">#REF!</definedName>
    <definedName name="jk" localSheetId="5">#N/A</definedName>
    <definedName name="jk" localSheetId="4">#REF!</definedName>
    <definedName name="jk">#REF!</definedName>
    <definedName name="JKHKH">#REF!</definedName>
    <definedName name="jt" localSheetId="5">#REF!</definedName>
    <definedName name="jt" localSheetId="4">#REF!</definedName>
    <definedName name="jt">#REF!</definedName>
    <definedName name="jtegsdg" localSheetId="5">#REF!</definedName>
    <definedName name="jtegsdg" localSheetId="4">#REF!</definedName>
    <definedName name="jtegsdg">#REF!</definedName>
    <definedName name="jtx" localSheetId="5">#REF!</definedName>
    <definedName name="jtx" localSheetId="4">#REF!</definedName>
    <definedName name="jtx">#REF!</definedName>
    <definedName name="jtxgsg" localSheetId="5">#REF!</definedName>
    <definedName name="jtxgsg" localSheetId="4">#REF!</definedName>
    <definedName name="jtxgsg">#REF!</definedName>
    <definedName name="jtxs" localSheetId="5">#REF!</definedName>
    <definedName name="jtxs" localSheetId="4">#REF!</definedName>
    <definedName name="jtxs">#REF!</definedName>
    <definedName name="jtydj" localSheetId="5">#REF!</definedName>
    <definedName name="jtydj" localSheetId="4">#REF!</definedName>
    <definedName name="jtydj">#REF!</definedName>
    <definedName name="JTYJYTHGH" localSheetId="5">#REF!</definedName>
    <definedName name="JTYJYTHGH" localSheetId="4">#REF!</definedName>
    <definedName name="JTYJYTHGH">#REF!</definedName>
    <definedName name="juli">BlankMacro1</definedName>
    <definedName name="july">BlankMacro1</definedName>
    <definedName name="JUN" localSheetId="5">#REF!</definedName>
    <definedName name="JUN" localSheetId="4">#REF!</definedName>
    <definedName name="JUN">#REF!</definedName>
    <definedName name="JUN_5" localSheetId="5">#REF!</definedName>
    <definedName name="JUN_5" localSheetId="4">#REF!</definedName>
    <definedName name="JUN_5">#REF!</definedName>
    <definedName name="JUN_8" localSheetId="5">#REF!</definedName>
    <definedName name="JUN_8" localSheetId="4">#REF!</definedName>
    <definedName name="JUN_8">#REF!</definedName>
    <definedName name="JYHJ">#REF!</definedName>
    <definedName name="K" localSheetId="5">#REF!</definedName>
    <definedName name="K" localSheetId="4">#REF!</definedName>
    <definedName name="K">#REF!</definedName>
    <definedName name="k_5" localSheetId="5">#REF!</definedName>
    <definedName name="k_5" localSheetId="4">#REF!</definedName>
    <definedName name="k_5">#REF!</definedName>
    <definedName name="k_8" localSheetId="5">#REF!</definedName>
    <definedName name="k_8" localSheetId="4">#REF!</definedName>
    <definedName name="k_8">#REF!</definedName>
    <definedName name="k22_12" localSheetId="5">#REF!</definedName>
    <definedName name="k22_12" localSheetId="4">#REF!</definedName>
    <definedName name="k22_12">#REF!</definedName>
    <definedName name="k22_12_5" localSheetId="5">#REF!</definedName>
    <definedName name="k22_12_5" localSheetId="4">#REF!</definedName>
    <definedName name="k22_12_5">#REF!</definedName>
    <definedName name="k22_12_5_5" localSheetId="5">#REF!</definedName>
    <definedName name="k22_12_5_5" localSheetId="4">#REF!</definedName>
    <definedName name="k22_12_5_5">#REF!</definedName>
    <definedName name="k22_12_8" localSheetId="5">#REF!</definedName>
    <definedName name="k22_12_8" localSheetId="4">#REF!</definedName>
    <definedName name="k22_12_8">#REF!</definedName>
    <definedName name="k22_13" localSheetId="5">#REF!</definedName>
    <definedName name="k22_13" localSheetId="4">#REF!</definedName>
    <definedName name="k22_13">#REF!</definedName>
    <definedName name="k22_13_5" localSheetId="5">#REF!</definedName>
    <definedName name="k22_13_5" localSheetId="4">#REF!</definedName>
    <definedName name="k22_13_5">#REF!</definedName>
    <definedName name="k22_13_5_5" localSheetId="5">#REF!</definedName>
    <definedName name="k22_13_5_5" localSheetId="4">#REF!</definedName>
    <definedName name="k22_13_5_5">#REF!</definedName>
    <definedName name="k22_13_8" localSheetId="5">#REF!</definedName>
    <definedName name="k22_13_8" localSheetId="4">#REF!</definedName>
    <definedName name="k22_13_8">#REF!</definedName>
    <definedName name="k22_14" localSheetId="5">#REF!</definedName>
    <definedName name="k22_14" localSheetId="4">#REF!</definedName>
    <definedName name="k22_14">#REF!</definedName>
    <definedName name="k22_14_5" localSheetId="5">#REF!</definedName>
    <definedName name="k22_14_5" localSheetId="4">#REF!</definedName>
    <definedName name="k22_14_5">#REF!</definedName>
    <definedName name="k22_14_5_5" localSheetId="5">#REF!</definedName>
    <definedName name="k22_14_5_5" localSheetId="4">#REF!</definedName>
    <definedName name="k22_14_5_5">#REF!</definedName>
    <definedName name="k22_14_8" localSheetId="5">#REF!</definedName>
    <definedName name="k22_14_8" localSheetId="4">#REF!</definedName>
    <definedName name="k22_14_8">#REF!</definedName>
    <definedName name="k22_3" localSheetId="5">#REF!</definedName>
    <definedName name="k22_3" localSheetId="4">#REF!</definedName>
    <definedName name="k22_3">#REF!</definedName>
    <definedName name="k22_3_5" localSheetId="5">#REF!</definedName>
    <definedName name="k22_3_5" localSheetId="4">#REF!</definedName>
    <definedName name="k22_3_5">#REF!</definedName>
    <definedName name="k22_5" localSheetId="5">#REF!</definedName>
    <definedName name="k22_5" localSheetId="4">#REF!</definedName>
    <definedName name="k22_5">#REF!</definedName>
    <definedName name="k22_5_5" localSheetId="5">#REF!</definedName>
    <definedName name="k22_5_5" localSheetId="4">#REF!</definedName>
    <definedName name="k22_5_5">#REF!</definedName>
    <definedName name="k22_8" localSheetId="5">#REF!</definedName>
    <definedName name="k22_8" localSheetId="4">#REF!</definedName>
    <definedName name="k22_8">#REF!</definedName>
    <definedName name="ka">BlankMacro1</definedName>
    <definedName name="KAMPUNGABS" localSheetId="5">#REF!</definedName>
    <definedName name="KAMPUNGABS" localSheetId="4">#REF!</definedName>
    <definedName name="KAMPUNGABS">#REF!</definedName>
    <definedName name="kiki" localSheetId="5">#REF!</definedName>
    <definedName name="kiki" localSheetId="4">#REF!</definedName>
    <definedName name="kiki">#REF!</definedName>
    <definedName name="KJ" localSheetId="5">#REF!</definedName>
    <definedName name="KJ" localSheetId="4">#REF!</definedName>
    <definedName name="KJ">#REF!</definedName>
    <definedName name="KJHLJLHFDJ" localSheetId="5">#REF!</definedName>
    <definedName name="KJHLJLHFDJ" localSheetId="4">#REF!</definedName>
    <definedName name="KJHLJLHFDJ">#REF!</definedName>
    <definedName name="KKK" localSheetId="4">#REF!</definedName>
    <definedName name="KKK">#REF!</definedName>
    <definedName name="KLK" localSheetId="5">#REF!</definedName>
    <definedName name="KLK" localSheetId="4">#REF!</definedName>
    <definedName name="KLK">#REF!</definedName>
    <definedName name="ko">BlankMacro1</definedName>
    <definedName name="KP.SENA" localSheetId="5">#REF!</definedName>
    <definedName name="KP.SENA" localSheetId="4">#REF!</definedName>
    <definedName name="KP.SENA">#REF!</definedName>
    <definedName name="KS" localSheetId="5">#N/A</definedName>
    <definedName name="KS" localSheetId="4">#REF!</definedName>
    <definedName name="KS">#REF!</definedName>
    <definedName name="kuff" localSheetId="5">#N/A</definedName>
    <definedName name="kuff" localSheetId="4">#REF!</definedName>
    <definedName name="kuff">#REF!</definedName>
    <definedName name="kufyr" localSheetId="5">#REF!</definedName>
    <definedName name="kufyr" localSheetId="4">#REF!</definedName>
    <definedName name="kufyr">#REF!</definedName>
    <definedName name="kuyrfj" localSheetId="5">#N/A</definedName>
    <definedName name="kuyrfj" localSheetId="4">#REF!</definedName>
    <definedName name="kuyrfj">#REF!</definedName>
    <definedName name="kybx" localSheetId="5">#REF!</definedName>
    <definedName name="kybx" localSheetId="4">#REF!</definedName>
    <definedName name="kybx">#REF!</definedName>
    <definedName name="kyurfj" localSheetId="5">#N/A</definedName>
    <definedName name="kyurfj" localSheetId="4">#REF!</definedName>
    <definedName name="kyurfj">#REF!</definedName>
    <definedName name="l" localSheetId="5">#REF!</definedName>
    <definedName name="l" localSheetId="4">#REF!</definedName>
    <definedName name="l">#REF!</definedName>
    <definedName name="L.T._Z_value" localSheetId="5">#REF!</definedName>
    <definedName name="L.T._Z_value" localSheetId="4">#REF!</definedName>
    <definedName name="L.T._Z_value">#REF!</definedName>
    <definedName name="l_1">#N/A</definedName>
    <definedName name="l_3">#N/A</definedName>
    <definedName name="l_4">#N/A</definedName>
    <definedName name="l_5">#N/A</definedName>
    <definedName name="l_6">#N/A</definedName>
    <definedName name="l_6_1">NA()</definedName>
    <definedName name="l_6_3">NA()</definedName>
    <definedName name="l_6_4">NA()</definedName>
    <definedName name="l_6_5">#N/A</definedName>
    <definedName name="l_6_6">#N/A</definedName>
    <definedName name="l_6_7">#N/A</definedName>
    <definedName name="l_6_8">#N/A</definedName>
    <definedName name="l_7">#N/A</definedName>
    <definedName name="l_8">#N/A</definedName>
    <definedName name="L_C" localSheetId="5">#REF!</definedName>
    <definedName name="L_C" localSheetId="4">#REF!</definedName>
    <definedName name="L_C">#REF!</definedName>
    <definedName name="L_C_12" localSheetId="5">#REF!</definedName>
    <definedName name="L_C_12" localSheetId="4">#REF!</definedName>
    <definedName name="L_C_12">#REF!</definedName>
    <definedName name="L_C_12_5" localSheetId="5">#REF!</definedName>
    <definedName name="L_C_12_5" localSheetId="4">#REF!</definedName>
    <definedName name="L_C_12_5">#REF!</definedName>
    <definedName name="L_C_12_5_5" localSheetId="5">#REF!</definedName>
    <definedName name="L_C_12_5_5" localSheetId="4">#REF!</definedName>
    <definedName name="L_C_12_5_5">#REF!</definedName>
    <definedName name="L_C_12_8" localSheetId="5">#REF!</definedName>
    <definedName name="L_C_12_8" localSheetId="4">#REF!</definedName>
    <definedName name="L_C_12_8">#REF!</definedName>
    <definedName name="L_C_13" localSheetId="5">#REF!</definedName>
    <definedName name="L_C_13" localSheetId="4">#REF!</definedName>
    <definedName name="L_C_13">#REF!</definedName>
    <definedName name="L_C_13_5" localSheetId="5">#REF!</definedName>
    <definedName name="L_C_13_5" localSheetId="4">#REF!</definedName>
    <definedName name="L_C_13_5">#REF!</definedName>
    <definedName name="L_C_13_5_5" localSheetId="5">#REF!</definedName>
    <definedName name="L_C_13_5_5" localSheetId="4">#REF!</definedName>
    <definedName name="L_C_13_5_5">#REF!</definedName>
    <definedName name="L_C_13_8" localSheetId="5">#REF!</definedName>
    <definedName name="L_C_13_8" localSheetId="4">#REF!</definedName>
    <definedName name="L_C_13_8">#REF!</definedName>
    <definedName name="L_C_14" localSheetId="5">#REF!</definedName>
    <definedName name="L_C_14" localSheetId="4">#REF!</definedName>
    <definedName name="L_C_14">#REF!</definedName>
    <definedName name="L_C_14_5" localSheetId="5">#REF!</definedName>
    <definedName name="L_C_14_5" localSheetId="4">#REF!</definedName>
    <definedName name="L_C_14_5">#REF!</definedName>
    <definedName name="L_C_14_5_5" localSheetId="5">#REF!</definedName>
    <definedName name="L_C_14_5_5" localSheetId="4">#REF!</definedName>
    <definedName name="L_C_14_5_5">#REF!</definedName>
    <definedName name="L_C_14_8" localSheetId="5">#REF!</definedName>
    <definedName name="L_C_14_8" localSheetId="4">#REF!</definedName>
    <definedName name="L_C_14_8">#REF!</definedName>
    <definedName name="L_C_3" localSheetId="5">#REF!</definedName>
    <definedName name="L_C_3" localSheetId="4">#REF!</definedName>
    <definedName name="L_C_3">#REF!</definedName>
    <definedName name="L_C_5" localSheetId="5">#REF!</definedName>
    <definedName name="L_C_5" localSheetId="4">#REF!</definedName>
    <definedName name="L_C_5">#REF!</definedName>
    <definedName name="L_C_8" localSheetId="5">#REF!</definedName>
    <definedName name="L_C_8" localSheetId="4">#REF!</definedName>
    <definedName name="L_C_8">#REF!</definedName>
    <definedName name="la">[51]!PAGE_WIDTH</definedName>
    <definedName name="la_4">#NAME?</definedName>
    <definedName name="la_42">#NAME?</definedName>
    <definedName name="la_49">#NAME?</definedName>
    <definedName name="LABEL12" localSheetId="5">#N/A</definedName>
    <definedName name="LABEL12" localSheetId="4">#REF!</definedName>
    <definedName name="LABEL12">#REF!</definedName>
    <definedName name="lala" localSheetId="5">#REF!</definedName>
    <definedName name="lala" localSheetId="4">#REF!</definedName>
    <definedName name="lala">#REF!</definedName>
    <definedName name="LAM" localSheetId="5">[52]Sheet2!$AA$2:$AD$1123</definedName>
    <definedName name="LAM">[53]Sheet2!$AA$2:$AD$1123</definedName>
    <definedName name="laporan">BlankMacro1</definedName>
    <definedName name="layout" localSheetId="5">#REF!</definedName>
    <definedName name="layout" localSheetId="4">#REF!</definedName>
    <definedName name="layout">#REF!</definedName>
    <definedName name="LCBFWC">#N/A</definedName>
    <definedName name="LDPO" localSheetId="5">#REF!</definedName>
    <definedName name="LDPO" localSheetId="4">#REF!</definedName>
    <definedName name="LDPO">#REF!</definedName>
    <definedName name="Letter">[18]!Letter</definedName>
    <definedName name="Letter_12">NA()</definedName>
    <definedName name="Letter_12_5">NA()</definedName>
    <definedName name="Letter_12_8">NA()</definedName>
    <definedName name="Letter_13">NA()</definedName>
    <definedName name="Letter_13_5">NA()</definedName>
    <definedName name="Letter_13_8">NA()</definedName>
    <definedName name="Letter_14">NA()</definedName>
    <definedName name="Letter_14_5">NA()</definedName>
    <definedName name="Letter_14_8">NA()</definedName>
    <definedName name="Letter_3">#N/A</definedName>
    <definedName name="Letter_4">#N/A</definedName>
    <definedName name="Letter_42">#N/A</definedName>
    <definedName name="Letter_49">#N/A</definedName>
    <definedName name="Letter_5">"'smb://Ujang/mst/My%252520Documents/spec/MST/TERRA%252520SEBEC%2525205%252520ZIP/GS/My%252520Documents/new%252520CSS%252520PU%252520form(95).xls'#Letter"</definedName>
    <definedName name="Letter_6">NA()</definedName>
    <definedName name="Letter_6_5">NA()</definedName>
    <definedName name="Letter_6_8">NA()</definedName>
    <definedName name="Letter_7">NA()</definedName>
    <definedName name="Letter_7_5">NA()</definedName>
    <definedName name="Letter_7_8">NA()</definedName>
    <definedName name="Letter_8">"'smb://Ujang/mst/My%2520Documents/spec/MST/TERRA%2520SEBEC%25205%2520ZIP/GS/My%2520Documents/new%2520CSS%2520PU%2520form(95).xls'#Letter"</definedName>
    <definedName name="Letter_8_5">NA()</definedName>
    <definedName name="Letter_8_8">NA()</definedName>
    <definedName name="letters">[6]!A_HARDNESS</definedName>
    <definedName name="lid" localSheetId="5">#REF!</definedName>
    <definedName name="lid" localSheetId="4">#REF!</definedName>
    <definedName name="lid">#REF!</definedName>
    <definedName name="lineab">"'file:///C:/Users/Administrator/Desktop/%06//Qa_tthanh/mr%20kha/Jung%20San%20Team%20Member/VT05%20NOS%20implementation/Plan/KE%20HOACH%2021%2022%2024%2025%20VSL05%20chu.xls'#$XL4Poppy.$C$27"</definedName>
    <definedName name="LL" localSheetId="5">#REF!</definedName>
    <definedName name="LL" localSheetId="4">#REF!</definedName>
    <definedName name="LL">#REF!</definedName>
    <definedName name="lll">#N/A</definedName>
    <definedName name="lllll" localSheetId="5">#REF!</definedName>
    <definedName name="lllll" localSheetId="4">#REF!</definedName>
    <definedName name="lllll">#REF!</definedName>
    <definedName name="lo" localSheetId="5">#REF!</definedName>
    <definedName name="lo" localSheetId="4">#REF!</definedName>
    <definedName name="lo">#REF!</definedName>
    <definedName name="Logo" localSheetId="5">#N/A</definedName>
    <definedName name="Logo">"'smb://Ayu/D/My%20Documents/new%20CSS%20PU%20form(95).xls'#A_ANALYSIS"</definedName>
    <definedName name="Logo_5">"'smb://Ayu/D/My%252520Documents/new%252520CSS%252520PU%252520form(95).xls'#A_ANALYSIS"</definedName>
    <definedName name="Logo_8">"'smb://Ayu/D/My%2520Documents/new%2520CSS%2520PU%2520form(95).xls'#A_ANALYSIS"</definedName>
    <definedName name="LONG">[54]Sheet1!$AC$2:$AF$1781</definedName>
    <definedName name="Look1Area" localSheetId="5">#REF!</definedName>
    <definedName name="Look1Area" localSheetId="4">#REF!</definedName>
    <definedName name="Look1Area">#REF!</definedName>
    <definedName name="Look2Area" localSheetId="5">#REF!</definedName>
    <definedName name="Look2Area" localSheetId="4">#REF!</definedName>
    <definedName name="Look2Area">#REF!</definedName>
    <definedName name="Look3Area" localSheetId="5">#REF!</definedName>
    <definedName name="Look3Area" localSheetId="4">#REF!</definedName>
    <definedName name="Look3Area">#REF!</definedName>
    <definedName name="Look4Area" localSheetId="5">#REF!</definedName>
    <definedName name="Look4Area" localSheetId="4">#REF!</definedName>
    <definedName name="Look4Area">#REF!</definedName>
    <definedName name="Look5Area" localSheetId="5">#REF!</definedName>
    <definedName name="Look5Area" localSheetId="4">#REF!</definedName>
    <definedName name="Look5Area">#REF!</definedName>
    <definedName name="lotus123" localSheetId="5">#REF!</definedName>
    <definedName name="lotus123" localSheetId="4">#REF!</definedName>
    <definedName name="lotus123">#REF!</definedName>
    <definedName name="Lsigmal" localSheetId="5">#REF!</definedName>
    <definedName name="Lsigmal" localSheetId="4">#REF!</definedName>
    <definedName name="Lsigmal">#REF!</definedName>
    <definedName name="LST_AGE">'[48]Drop Down Values'!$P$2:$P$5</definedName>
    <definedName name="LST_BIZ_ORG">OFFSET('[48]Drop Down Values'!$C$2,0,0,COUNTA('[48]Drop Down Values'!$C$2:$C$100),1)</definedName>
    <definedName name="LST_CATEGORY">OFFSET('[48]Drop Down Values'!$B$2,0,0,COUNTA('[48]Drop Down Values'!$B$2:$B$100),1)</definedName>
    <definedName name="LST_CONSIDERED_INTENT">OFFSET('[48]Drop Down Values'!$G$2,0,0,COUNTA('[48]Drop Down Values'!$G$2:$G$100),1)</definedName>
    <definedName name="LST_CONSUMER_FOCUS">OFFSET('[48]Drop Down Values'!$F$2,0,0,COUNTA('[48]Drop Down Values'!$F$2:$F$100),1)</definedName>
    <definedName name="LST_CONSUMER_GROUP">OFFSET('[48]Drop Down Values'!$E$2,0,0,COUNTA('[48]Drop Down Values'!$E$2:$E$100),1)</definedName>
    <definedName name="LST_CONSUMER_PURPOSE">OFFSET('[48]Drop Down Values'!$D$2,0,0,COUNTA('[48]Drop Down Values'!$D$2:$D$100),1)</definedName>
    <definedName name="LST_FAC">OFFSET('[48]Drop Down Values'!$M$2,0,0,COUNTA('[48]Drop Down Values'!$M$2:$M$100),1)</definedName>
    <definedName name="LST_GENDER">'[48]Drop Down Values'!$O$2:$O$5</definedName>
    <definedName name="LST_PCC">OFFSET('[48]Drop Down Values'!$N$2,0,0,COUNTA('[48]Drop Down Values'!$N$2:$N$100),1)</definedName>
    <definedName name="LST_PRIMARY_PLATFORM">OFFSET('[48]Drop Down Values'!$H$2,0,0,COUNTA('[48]Drop Down Values'!$H$2:$H$100),1)</definedName>
    <definedName name="LST_SEASON">OFFSET('[48]Drop Down Values'!$A$2,0,0,COUNTA('[48]Drop Down Values'!$A$2:$A$100),1)</definedName>
    <definedName name="LST_SILHOUETTE">OFFSET('[48]Drop Down Values'!$L$2,0,0,COUNTA('[48]Drop Down Values'!$L$2:$L$100),1)</definedName>
    <definedName name="LST_TD_CODE">OFFSET('[48]Drop Down Values'!$I$2,0,0,COUNTA('[48]Drop Down Values'!$I$2:$I$100),1)</definedName>
    <definedName name="LST_TIER">OFFSET('[48]Drop Down Values'!$K$2,0,0,COUNTA('[48]Drop Down Values'!$K$2:$K$100),1)</definedName>
    <definedName name="LST_UPPER_TECHNOLOGY">'[48]Drop Down Values'!$R$2:$R$4</definedName>
    <definedName name="M">"'file:///tmp/TECH/MERRY/178049A.XLS'#直線55_Click"</definedName>
    <definedName name="M_1">#N/A</definedName>
    <definedName name="makananan">'[27]LOP Tool'!#REF!</definedName>
    <definedName name="manpower">BlankMacro1</definedName>
    <definedName name="marihot" localSheetId="5">#REF!</definedName>
    <definedName name="marihot" localSheetId="4">#REF!</definedName>
    <definedName name="marihot">#REF!</definedName>
    <definedName name="marihot_5" localSheetId="5">#REF!</definedName>
    <definedName name="marihot_5" localSheetId="4">#REF!</definedName>
    <definedName name="marihot_5">#REF!</definedName>
    <definedName name="marihot_5_5" localSheetId="5">#REF!</definedName>
    <definedName name="marihot_5_5" localSheetId="4">#REF!</definedName>
    <definedName name="marihot_5_5">#REF!</definedName>
    <definedName name="marihot_8" localSheetId="5">#REF!</definedName>
    <definedName name="marihot_8" localSheetId="4">#REF!</definedName>
    <definedName name="marihot_8">#REF!</definedName>
    <definedName name="Marking" localSheetId="5">#REF!</definedName>
    <definedName name="Marking" localSheetId="4">#REF!</definedName>
    <definedName name="Marking">#REF!</definedName>
    <definedName name="marking_4" localSheetId="5">#REF!</definedName>
    <definedName name="marking_4" localSheetId="4">#REF!</definedName>
    <definedName name="marking_4">#REF!</definedName>
    <definedName name="marking_42" localSheetId="5">#REF!</definedName>
    <definedName name="marking_42" localSheetId="4">#REF!</definedName>
    <definedName name="marking_42">#REF!</definedName>
    <definedName name="marking_49" localSheetId="5">#REF!</definedName>
    <definedName name="marking_49" localSheetId="4">#REF!</definedName>
    <definedName name="marking_49">#REF!</definedName>
    <definedName name="Marking_5" localSheetId="5">#REF!</definedName>
    <definedName name="Marking_5" localSheetId="4">#REF!</definedName>
    <definedName name="Marking_5">#REF!</definedName>
    <definedName name="Marking_5_5" localSheetId="5">#REF!</definedName>
    <definedName name="Marking_5_5" localSheetId="4">#REF!</definedName>
    <definedName name="Marking_5_5">#REF!</definedName>
    <definedName name="Marking_8" localSheetId="5">#REF!</definedName>
    <definedName name="Marking_8" localSheetId="4">#REF!</definedName>
    <definedName name="Marking_8">#REF!</definedName>
    <definedName name="MASTER2" localSheetId="5">#REF!</definedName>
    <definedName name="MASTER2" localSheetId="4">#REF!</definedName>
    <definedName name="MASTER2">#REF!</definedName>
    <definedName name="Material" localSheetId="5">#REF!</definedName>
    <definedName name="Material" localSheetId="4">#REF!</definedName>
    <definedName name="Material">#REF!</definedName>
    <definedName name="Material_3" localSheetId="5">#REF!</definedName>
    <definedName name="Material_3" localSheetId="4">#REF!</definedName>
    <definedName name="Material_3">#REF!</definedName>
    <definedName name="Material_4" localSheetId="5">#REF!</definedName>
    <definedName name="Material_4" localSheetId="4">#REF!</definedName>
    <definedName name="Material_4">#REF!</definedName>
    <definedName name="matl" localSheetId="5">#REF!</definedName>
    <definedName name="matl" localSheetId="4">#REF!</definedName>
    <definedName name="matl">#REF!</definedName>
    <definedName name="matl_4" localSheetId="5">#REF!</definedName>
    <definedName name="matl_4" localSheetId="4">#REF!</definedName>
    <definedName name="matl_4">#REF!</definedName>
    <definedName name="matl_42" localSheetId="5">#REF!</definedName>
    <definedName name="matl_42" localSheetId="4">#REF!</definedName>
    <definedName name="matl_42">#REF!</definedName>
    <definedName name="matl_49" localSheetId="5">#REF!</definedName>
    <definedName name="matl_49" localSheetId="4">#REF!</definedName>
    <definedName name="matl_49">#REF!</definedName>
    <definedName name="MAX61_42" localSheetId="5">#REF!</definedName>
    <definedName name="MAX61_42" localSheetId="4">#REF!</definedName>
    <definedName name="MAX61_42">#REF!</definedName>
    <definedName name="may">'[55]3-I.Phân tích chuẩn bị may'!#REF!</definedName>
    <definedName name="MCS" localSheetId="5">#REF!</definedName>
    <definedName name="MCS" localSheetId="4">#REF!</definedName>
    <definedName name="MCS">#REF!</definedName>
    <definedName name="MCS_3" localSheetId="5">#REF!</definedName>
    <definedName name="MCS_3" localSheetId="4">#REF!</definedName>
    <definedName name="MCS_3">#REF!</definedName>
    <definedName name="MCS_4" localSheetId="5">#REF!</definedName>
    <definedName name="MCS_4" localSheetId="4">#REF!</definedName>
    <definedName name="MCS_4">#REF!</definedName>
    <definedName name="mekarsari" localSheetId="5">#REF!</definedName>
    <definedName name="mekarsari" localSheetId="4">#REF!</definedName>
    <definedName name="mekarsari">#REF!</definedName>
    <definedName name="meof" localSheetId="5">'[56]Mold Efficiency Form'!$HT$194</definedName>
    <definedName name="meof">'[57]Mold Efficiency Form'!$HT$194</definedName>
    <definedName name="merpati" localSheetId="5">#REF!</definedName>
    <definedName name="merpati" localSheetId="4">#REF!</definedName>
    <definedName name="merpati">#REF!</definedName>
    <definedName name="MESIN">[58]Sheet1!$B$1:$B$92</definedName>
    <definedName name="midsole">[40]!midsole</definedName>
    <definedName name="MidsolePrimingCementingDifficult" localSheetId="5">#REF!</definedName>
    <definedName name="MidsolePrimingCementingDifficult" localSheetId="4">#REF!</definedName>
    <definedName name="MidsolePrimingCementingDifficult">#REF!</definedName>
    <definedName name="MidsolePrimingCementingEasy" localSheetId="5">#REF!</definedName>
    <definedName name="MidsolePrimingCementingEasy" localSheetId="4">#REF!</definedName>
    <definedName name="MidsolePrimingCementingEasy">#REF!</definedName>
    <definedName name="MinOutput" localSheetId="5">#REF!</definedName>
    <definedName name="MinOutput" localSheetId="4">#REF!</definedName>
    <definedName name="MinOutput">#REF!</definedName>
    <definedName name="MinOutput_1">#N/A</definedName>
    <definedName name="MinOutput_28" localSheetId="5">#REF!</definedName>
    <definedName name="MinOutput_28" localSheetId="4">#REF!</definedName>
    <definedName name="MinOutput_28">#REF!</definedName>
    <definedName name="MinOutput_28_1">#N/A</definedName>
    <definedName name="MinOutput_5" localSheetId="5">#REF!</definedName>
    <definedName name="MinOutput_5" localSheetId="4">#REF!</definedName>
    <definedName name="MinOutput_5">#REF!</definedName>
    <definedName name="MinOutput_5_1">#N/A</definedName>
    <definedName name="MinOutput_5_5" localSheetId="5">#REF!</definedName>
    <definedName name="MinOutput_5_5" localSheetId="4">#REF!</definedName>
    <definedName name="MinOutput_5_5">#REF!</definedName>
    <definedName name="MinOutput_8" localSheetId="5">#REF!</definedName>
    <definedName name="MinOutput_8" localSheetId="4">#REF!</definedName>
    <definedName name="MinOutput_8">#REF!</definedName>
    <definedName name="MinOutputCT" localSheetId="5">#REF!</definedName>
    <definedName name="MinOutputCT" localSheetId="4">#REF!</definedName>
    <definedName name="MinOutputCT">#REF!</definedName>
    <definedName name="MinOutputCT_1">#N/A</definedName>
    <definedName name="MinOutputCT_28" localSheetId="5">#REF!</definedName>
    <definedName name="MinOutputCT_28" localSheetId="4">#REF!</definedName>
    <definedName name="MinOutputCT_28">#REF!</definedName>
    <definedName name="MinOutputCT_28_1">#N/A</definedName>
    <definedName name="MinOutputCT_5" localSheetId="5">#REF!</definedName>
    <definedName name="MinOutputCT_5" localSheetId="4">#REF!</definedName>
    <definedName name="MinOutputCT_5">#REF!</definedName>
    <definedName name="MinOutputCT_5_1">#N/A</definedName>
    <definedName name="MinOutputCT_5_5" localSheetId="5">#REF!</definedName>
    <definedName name="MinOutputCT_5_5" localSheetId="4">#REF!</definedName>
    <definedName name="MinOutputCT_5_5">#REF!</definedName>
    <definedName name="MinOutputCT_8" localSheetId="5">#REF!</definedName>
    <definedName name="MinOutputCT_8" localSheetId="4">#REF!</definedName>
    <definedName name="MinOutputCT_8">#REF!</definedName>
    <definedName name="MM" localSheetId="5">#REF!</definedName>
    <definedName name="MM" localSheetId="4">#REF!</definedName>
    <definedName name="MM">#REF!</definedName>
    <definedName name="Mmaterial" localSheetId="5">#REF!</definedName>
    <definedName name="Mmaterial" localSheetId="4">#REF!</definedName>
    <definedName name="Mmaterial">#REF!</definedName>
    <definedName name="MMC_FOREFOOT">[16]!直線55_Click</definedName>
    <definedName name="MMM" localSheetId="5">#REF!</definedName>
    <definedName name="MMM" localSheetId="4">#REF!</definedName>
    <definedName name="MMM">#REF!</definedName>
    <definedName name="mmmmm" localSheetId="5">#REF!</definedName>
    <definedName name="mmmmm" localSheetId="4">#REF!</definedName>
    <definedName name="mmmmm">#REF!</definedName>
    <definedName name="Model_Name" localSheetId="5">#REF!</definedName>
    <definedName name="Model_Name" localSheetId="4">#REF!</definedName>
    <definedName name="Model_Name">#REF!</definedName>
    <definedName name="ModelTable" localSheetId="5">'[59]Raw Data Sheet'!$A$75:$E$195</definedName>
    <definedName name="ModelTable">'[60]Raw Data Sheet'!$A$75:$E$195</definedName>
    <definedName name="ModelTable_12" localSheetId="5">#REF!</definedName>
    <definedName name="ModelTable_12" localSheetId="4">#REF!</definedName>
    <definedName name="ModelTable_12">#REF!</definedName>
    <definedName name="ModelTable_12_1">#N/A</definedName>
    <definedName name="ModelTable_13" localSheetId="5">#REF!</definedName>
    <definedName name="ModelTable_13" localSheetId="4">#REF!</definedName>
    <definedName name="ModelTable_13">#REF!</definedName>
    <definedName name="ModelTable_13_1">#N/A</definedName>
    <definedName name="ModelTable_14" localSheetId="5">#REF!</definedName>
    <definedName name="ModelTable_14" localSheetId="4">#REF!</definedName>
    <definedName name="ModelTable_14">#REF!</definedName>
    <definedName name="ModelTable_14_1">#N/A</definedName>
    <definedName name="ModelTable_3" localSheetId="5">#REF!</definedName>
    <definedName name="ModelTable_3" localSheetId="4">#REF!</definedName>
    <definedName name="ModelTable_3">#REF!</definedName>
    <definedName name="ModelTable_5" localSheetId="5">#REF!</definedName>
    <definedName name="ModelTable_5" localSheetId="4">#REF!</definedName>
    <definedName name="ModelTable_5">#REF!</definedName>
    <definedName name="ModelTable_6" localSheetId="5">#REF!</definedName>
    <definedName name="ModelTable_6" localSheetId="4">#REF!</definedName>
    <definedName name="ModelTable_6">#REF!</definedName>
    <definedName name="ModelTable_7" localSheetId="5">#REF!</definedName>
    <definedName name="ModelTable_7" localSheetId="4">#REF!</definedName>
    <definedName name="ModelTable_7">#REF!</definedName>
    <definedName name="ModelTable_8" localSheetId="5">#REF!</definedName>
    <definedName name="ModelTable_8" localSheetId="4">#REF!</definedName>
    <definedName name="ModelTable_8">#REF!</definedName>
    <definedName name="MONO">#N/A</definedName>
    <definedName name="MPAGE" localSheetId="5">#REF!</definedName>
    <definedName name="MPAGE" localSheetId="4">#REF!</definedName>
    <definedName name="MPAGE">#REF!</definedName>
    <definedName name="MS" localSheetId="5">#REF!</definedName>
    <definedName name="MS" localSheetId="4">#REF!</definedName>
    <definedName name="MS">#REF!</definedName>
    <definedName name="Multi_Press" localSheetId="5">#REF!</definedName>
    <definedName name="Multi_Press" localSheetId="4">#REF!</definedName>
    <definedName name="Multi_Press">#REF!</definedName>
    <definedName name="myuhnts" localSheetId="5">#REF!</definedName>
    <definedName name="myuhnts" localSheetId="4">#REF!</definedName>
    <definedName name="myuhnts">#REF!</definedName>
    <definedName name="Name" localSheetId="5">#N/A</definedName>
    <definedName name="Name" localSheetId="4">#REF!</definedName>
    <definedName name="Name">#REF!</definedName>
    <definedName name="new" localSheetId="5">#REF!</definedName>
    <definedName name="NEW" localSheetId="4">#REF!</definedName>
    <definedName name="NEW">#REF!</definedName>
    <definedName name="new_5" localSheetId="5">#REF!</definedName>
    <definedName name="new_5" localSheetId="4">#REF!</definedName>
    <definedName name="new_5">#REF!</definedName>
    <definedName name="new_5_1">#N/A</definedName>
    <definedName name="new_5_5" localSheetId="5">#REF!</definedName>
    <definedName name="new_5_5" localSheetId="4">#REF!</definedName>
    <definedName name="new_5_5">#REF!</definedName>
    <definedName name="new_8" localSheetId="5">#REF!</definedName>
    <definedName name="new_8" localSheetId="4">#REF!</definedName>
    <definedName name="new_8">#REF!</definedName>
    <definedName name="nffffhff">[18]!A_SG</definedName>
    <definedName name="ngan">#N/A</definedName>
    <definedName name="nhb" localSheetId="5">#N/A</definedName>
    <definedName name="nhb" localSheetId="4">#REF!</definedName>
    <definedName name="nhb">#REF!</definedName>
    <definedName name="NN" localSheetId="5">#REF!</definedName>
    <definedName name="NN" localSheetId="4">#REF!</definedName>
    <definedName name="NN">#REF!</definedName>
    <definedName name="NNN" localSheetId="5">#REF!</definedName>
    <definedName name="NNN" localSheetId="4">#REF!</definedName>
    <definedName name="NNN">#REF!</definedName>
    <definedName name="nnnn" localSheetId="5">#REF!</definedName>
    <definedName name="nnnn" localSheetId="4">#REF!</definedName>
    <definedName name="nnnn">#REF!</definedName>
    <definedName name="NNNNNN" localSheetId="5">#REF!</definedName>
    <definedName name="NNNNNN" localSheetId="4">#REF!</definedName>
    <definedName name="NNNNNN">#REF!</definedName>
    <definedName name="nnnnnnnnn" localSheetId="5">#N/A</definedName>
    <definedName name="nnnnnnnnn" localSheetId="4">#REF!</definedName>
    <definedName name="nnnnnnnnn">#REF!</definedName>
    <definedName name="no" localSheetId="5">#REF!</definedName>
    <definedName name="no" localSheetId="4">#REF!</definedName>
    <definedName name="no">#REF!</definedName>
    <definedName name="NOSEW" localSheetId="5">#REF!</definedName>
    <definedName name="NOSEW" localSheetId="4">#REF!</definedName>
    <definedName name="NOSEW">#REF!</definedName>
    <definedName name="NS" localSheetId="5">#REF!</definedName>
    <definedName name="NS" localSheetId="4">#REF!</definedName>
    <definedName name="NS">#REF!</definedName>
    <definedName name="nxlv.xm">#N/A</definedName>
    <definedName name="oh" localSheetId="5">#REF!</definedName>
    <definedName name="oh" localSheetId="4">#REF!</definedName>
    <definedName name="oh">#REF!</definedName>
    <definedName name="OK" localSheetId="5">#REF!</definedName>
    <definedName name="OK" localSheetId="4">#REF!</definedName>
    <definedName name="OK">#REF!</definedName>
    <definedName name="okt.absen" localSheetId="5">#REF!</definedName>
    <definedName name="okt.absen" localSheetId="4">#REF!</definedName>
    <definedName name="okt.absen">#REF!</definedName>
    <definedName name="olive" localSheetId="5">#REF!</definedName>
    <definedName name="olive" localSheetId="4">#REF!</definedName>
    <definedName name="olive">#REF!</definedName>
    <definedName name="ONE" localSheetId="5">#REF!</definedName>
    <definedName name="ONE" localSheetId="4">#REF!</definedName>
    <definedName name="ONE">#REF!</definedName>
    <definedName name="ONE_12">"$#REF!.$A$1:$V$1"</definedName>
    <definedName name="ONE_13">"$#REF!.$A$1:$V$1"</definedName>
    <definedName name="ONE_14">"$#REF!.$A$1:$V$1"</definedName>
    <definedName name="ONE_3" localSheetId="5">#REF!</definedName>
    <definedName name="ONE_3" localSheetId="4">#REF!</definedName>
    <definedName name="ONE_3">#REF!</definedName>
    <definedName name="ONE_4" localSheetId="5">#REF!</definedName>
    <definedName name="ONE_4" localSheetId="4">#REF!</definedName>
    <definedName name="ONE_4">#REF!</definedName>
    <definedName name="ONE_6">"$#REF!.$A$1:$V$1"</definedName>
    <definedName name="ONE_7">"$#REF!.$A$1:$V$1"</definedName>
    <definedName name="ONE_8">"$#REF!.$A$1:$V$1"</definedName>
    <definedName name="oo" localSheetId="5">#REF!</definedName>
    <definedName name="oo" localSheetId="4">#REF!</definedName>
    <definedName name="oo">#REF!</definedName>
    <definedName name="OP" localSheetId="5">#REF!</definedName>
    <definedName name="OP" localSheetId="4">#REF!</definedName>
    <definedName name="OP">#REF!</definedName>
    <definedName name="OptBtn1">"OptBtn1"</definedName>
    <definedName name="OptBtn2">"OptBtn2"</definedName>
    <definedName name="OptBtn3">"OptBtn1"</definedName>
    <definedName name="Option" localSheetId="5">#REF!</definedName>
    <definedName name="Option" localSheetId="4">#REF!</definedName>
    <definedName name="Option">#REF!</definedName>
    <definedName name="OrderTable" localSheetId="5" hidden="1">#REF!</definedName>
    <definedName name="OrderTable" localSheetId="4" hidden="1">#REF!</definedName>
    <definedName name="OrderTable" hidden="1">#REF!</definedName>
    <definedName name="OS" localSheetId="5">#REF!</definedName>
    <definedName name="OS" localSheetId="4">#REF!</definedName>
    <definedName name="OS">#REF!</definedName>
    <definedName name="OT">#N/A</definedName>
    <definedName name="Outsole" localSheetId="5">[2]!Outsole</definedName>
    <definedName name="outsole" localSheetId="4">#REF!</definedName>
    <definedName name="outsole">#REF!</definedName>
    <definedName name="OutsoleCutting" localSheetId="5">#REF!</definedName>
    <definedName name="OutsoleCutting" localSheetId="4">#REF!</definedName>
    <definedName name="OutsoleCutting">#REF!</definedName>
    <definedName name="OutsolePrimingCementing" localSheetId="5">#REF!</definedName>
    <definedName name="OutsolePrimingCementing" localSheetId="4">#REF!</definedName>
    <definedName name="OutsolePrimingCementing">#REF!</definedName>
    <definedName name="OVERALL" localSheetId="5">#REF!</definedName>
    <definedName name="OVERALL" localSheetId="4">#REF!</definedName>
    <definedName name="OVERALL">#REF!</definedName>
    <definedName name="Overhead">[41]BMN405!#REF!</definedName>
    <definedName name="OVERLOCK" localSheetId="5">#REF!</definedName>
    <definedName name="OVERLOCK" localSheetId="4">#REF!</definedName>
    <definedName name="OVERLOCK">#REF!</definedName>
    <definedName name="P" localSheetId="5">#N/A</definedName>
    <definedName name="P" localSheetId="4">#REF!</definedName>
    <definedName name="P">#REF!</definedName>
    <definedName name="P_12" localSheetId="5">#REF!</definedName>
    <definedName name="P_12" localSheetId="4">#REF!</definedName>
    <definedName name="P_12">#REF!</definedName>
    <definedName name="P_12_5" localSheetId="5">#REF!</definedName>
    <definedName name="P_12_5" localSheetId="4">#REF!</definedName>
    <definedName name="P_12_5">#REF!</definedName>
    <definedName name="P_12_5_5" localSheetId="5">#REF!</definedName>
    <definedName name="P_12_5_5" localSheetId="4">#REF!</definedName>
    <definedName name="P_12_5_5">#REF!</definedName>
    <definedName name="P_12_8" localSheetId="5">#REF!</definedName>
    <definedName name="P_12_8" localSheetId="4">#REF!</definedName>
    <definedName name="P_12_8">#REF!</definedName>
    <definedName name="P_13" localSheetId="5">#REF!</definedName>
    <definedName name="P_13" localSheetId="4">#REF!</definedName>
    <definedName name="P_13">#REF!</definedName>
    <definedName name="P_13_5" localSheetId="5">#REF!</definedName>
    <definedName name="P_13_5" localSheetId="4">#REF!</definedName>
    <definedName name="P_13_5">#REF!</definedName>
    <definedName name="P_13_5_5" localSheetId="5">#REF!</definedName>
    <definedName name="P_13_5_5" localSheetId="4">#REF!</definedName>
    <definedName name="P_13_5_5">#REF!</definedName>
    <definedName name="P_13_8" localSheetId="5">#REF!</definedName>
    <definedName name="P_13_8" localSheetId="4">#REF!</definedName>
    <definedName name="P_13_8">#REF!</definedName>
    <definedName name="P_14" localSheetId="5">#REF!</definedName>
    <definedName name="P_14" localSheetId="4">#REF!</definedName>
    <definedName name="P_14">#REF!</definedName>
    <definedName name="P_14_5" localSheetId="5">#REF!</definedName>
    <definedName name="P_14_5" localSheetId="4">#REF!</definedName>
    <definedName name="P_14_5">#REF!</definedName>
    <definedName name="P_14_5_5" localSheetId="5">#REF!</definedName>
    <definedName name="P_14_5_5" localSheetId="4">#REF!</definedName>
    <definedName name="P_14_5_5">#REF!</definedName>
    <definedName name="P_14_8" localSheetId="5">#REF!</definedName>
    <definedName name="P_14_8" localSheetId="4">#REF!</definedName>
    <definedName name="P_14_8">#REF!</definedName>
    <definedName name="P_3" localSheetId="5">#REF!</definedName>
    <definedName name="P_3" localSheetId="4">#REF!</definedName>
    <definedName name="P_3">#REF!</definedName>
    <definedName name="P_5" localSheetId="5">#REF!</definedName>
    <definedName name="P_5" localSheetId="4">#REF!</definedName>
    <definedName name="P_5">#REF!</definedName>
    <definedName name="P_8" localSheetId="5">#REF!</definedName>
    <definedName name="P_8" localSheetId="4">#REF!</definedName>
    <definedName name="P_8">#REF!</definedName>
    <definedName name="P1_" localSheetId="5">#REF!</definedName>
    <definedName name="P1_" localSheetId="4">#REF!</definedName>
    <definedName name="P1_">#REF!</definedName>
    <definedName name="P2_" localSheetId="5">#REF!</definedName>
    <definedName name="P2_" localSheetId="4">#REF!</definedName>
    <definedName name="P2_">#REF!</definedName>
    <definedName name="Packing" localSheetId="5">#REF!</definedName>
    <definedName name="Packing" localSheetId="4">#REF!</definedName>
    <definedName name="Packing">#REF!</definedName>
    <definedName name="Page" localSheetId="5">#REF!</definedName>
    <definedName name="Page" localSheetId="4">#REF!</definedName>
    <definedName name="Page">#REF!</definedName>
    <definedName name="Page_1">#N/A</definedName>
    <definedName name="PAGE_WIDTH">[18]!PAGE_WIDTH</definedName>
    <definedName name="PAGE_WIDTH_12">NA()</definedName>
    <definedName name="PAGE_WIDTH_12_5">NA()</definedName>
    <definedName name="PAGE_WIDTH_12_8">NA()</definedName>
    <definedName name="PAGE_WIDTH_13">NA()</definedName>
    <definedName name="PAGE_WIDTH_13_5">NA()</definedName>
    <definedName name="PAGE_WIDTH_13_8">NA()</definedName>
    <definedName name="PAGE_WIDTH_14">NA()</definedName>
    <definedName name="PAGE_WIDTH_14_5">NA()</definedName>
    <definedName name="PAGE_WIDTH_14_8">NA()</definedName>
    <definedName name="PAGE_WIDTH_3">#N/A</definedName>
    <definedName name="PAGE_WIDTH_4">#N/A</definedName>
    <definedName name="PAGE_WIDTH_42">#N/A</definedName>
    <definedName name="PAGE_WIDTH_49">#N/A</definedName>
    <definedName name="PAGE_WIDTH_5">"'smb://Ujang/mst/My%252520Documents/spec/MST/TERRA%252520SEBEC%2525205%252520ZIP/GS/My%252520Documents/new%252520CSS%252520PU%252520form(95).xls'#PAGE_WIDTH"</definedName>
    <definedName name="PAGE_WIDTH_6">NA()</definedName>
    <definedName name="PAGE_WIDTH_6_5">NA()</definedName>
    <definedName name="PAGE_WIDTH_6_8">NA()</definedName>
    <definedName name="PAGE_WIDTH_7">NA()</definedName>
    <definedName name="PAGE_WIDTH_7_5">NA()</definedName>
    <definedName name="PAGE_WIDTH_7_8">NA()</definedName>
    <definedName name="PAGE_WIDTH_8">"'smb://Ujang/mst/My%2520Documents/spec/MST/TERRA%2520SEBEC%25205%2520ZIP/GS/My%2520Documents/new%2520CSS%2520PU%2520form(95).xls'#PAGE_WIDTH"</definedName>
    <definedName name="PAGE_WIDTH_8_5">NA()</definedName>
    <definedName name="PAGE_WIDTH_8_8">NA()</definedName>
    <definedName name="page_with">[4]!PAGE_WIDTH</definedName>
    <definedName name="PAITO" localSheetId="5" hidden="1">#REF!</definedName>
    <definedName name="PAITO" localSheetId="4" hidden="1">#REF!</definedName>
    <definedName name="PAITO" hidden="1">#REF!</definedName>
    <definedName name="parkhs" localSheetId="5">#REF!</definedName>
    <definedName name="parkhs" localSheetId="4">#REF!</definedName>
    <definedName name="parkhs">#REF!</definedName>
    <definedName name="parkhyunsigh" localSheetId="5">#REF!</definedName>
    <definedName name="parkhyunsigh" localSheetId="4">#REF!</definedName>
    <definedName name="parkhyunsigh">#REF!</definedName>
    <definedName name="PART" localSheetId="5">#REF!</definedName>
    <definedName name="PART" localSheetId="4">#REF!</definedName>
    <definedName name="PART">#REF!</definedName>
    <definedName name="Pasanqui" localSheetId="5">#REF!</definedName>
    <definedName name="Pasanqui" localSheetId="4">#REF!</definedName>
    <definedName name="Pasanqui">#REF!</definedName>
    <definedName name="PCC" localSheetId="5">[32]Tables!$A$170:$A$187</definedName>
    <definedName name="PCC">[33]Tables!$A$170:$A$187</definedName>
    <definedName name="Percent_of_total" localSheetId="5">OFFSET(#REF!,0,0,COUNTIF((#REF!),"&gt;0")),#REF!</definedName>
    <definedName name="Percent_of_total" localSheetId="4">OFFSET(#REF!,0,0,COUNTIF((#REF!),"&gt;0")),#REF!</definedName>
    <definedName name="Percent_of_total">OFFSET(#REF!,0,0,COUNTIF((#REF!),"&gt;0")),#REF!</definedName>
    <definedName name="PERHITUNGAN_MOLD_ADIDAS" localSheetId="5">#REF!</definedName>
    <definedName name="PERHITUNGAN_MOLD_ADIDAS" localSheetId="4">#REF!</definedName>
    <definedName name="PERHITUNGAN_MOLD_ADIDAS">#REF!</definedName>
    <definedName name="PFC_No" localSheetId="5">#REF!</definedName>
    <definedName name="PFC_No" localSheetId="4">#REF!</definedName>
    <definedName name="PFC_No">#REF!</definedName>
    <definedName name="Phone" localSheetId="5">#N/A</definedName>
    <definedName name="Phone" localSheetId="4">#REF!</definedName>
    <definedName name="Phone">#REF!</definedName>
    <definedName name="PINT_AREA" localSheetId="5">#REF!</definedName>
    <definedName name="PINT_AREA" localSheetId="4">#REF!</definedName>
    <definedName name="PINT_AREA">#REF!</definedName>
    <definedName name="PINT_ASEA" localSheetId="5">#REF!</definedName>
    <definedName name="PINT_ASEA" localSheetId="4">#REF!</definedName>
    <definedName name="PINT_ASEA">#REF!</definedName>
    <definedName name="PJM" localSheetId="5">#N/A</definedName>
    <definedName name="PJM" localSheetId="4">#REF!</definedName>
    <definedName name="PJM">#REF!</definedName>
    <definedName name="PLATFORM" localSheetId="5">[32]Tables!$A$16:$A$34</definedName>
    <definedName name="PLATFORM">[33]Tables!$A$16:$A$34</definedName>
    <definedName name="PN" localSheetId="5">#REF!</definedName>
    <definedName name="PN" localSheetId="4">#REF!</definedName>
    <definedName name="PN">#REF!</definedName>
    <definedName name="po" localSheetId="5">#REF!</definedName>
    <definedName name="po" localSheetId="4">#REF!</definedName>
    <definedName name="po">#REF!</definedName>
    <definedName name="PO_5" localSheetId="5">#REF!</definedName>
    <definedName name="PO_5" localSheetId="4">#REF!</definedName>
    <definedName name="PO_5">#REF!</definedName>
    <definedName name="PO_8" localSheetId="5">#REF!</definedName>
    <definedName name="PO_8" localSheetId="4">#REF!</definedName>
    <definedName name="PO_8">#REF!</definedName>
    <definedName name="POE" localSheetId="5">#REF!</definedName>
    <definedName name="POE" localSheetId="4">#REF!</definedName>
    <definedName name="POE">#REF!</definedName>
    <definedName name="POE_5" localSheetId="5">#REF!</definedName>
    <definedName name="POE_5" localSheetId="4">#REF!</definedName>
    <definedName name="POE_5">#REF!</definedName>
    <definedName name="POE_8" localSheetId="5">#REF!</definedName>
    <definedName name="POE_8" localSheetId="4">#REF!</definedName>
    <definedName name="POE_8">#REF!</definedName>
    <definedName name="PointofDetection" localSheetId="5">[61]Sheet1!$A$1:$A$8</definedName>
    <definedName name="PointofDetection">[62]Sheet1!$A$1:$A$8</definedName>
    <definedName name="POJIHUA" localSheetId="5" xml:space="preserve"> IF(#REF! = "", "",#REF!)</definedName>
    <definedName name="POJIHUA" localSheetId="4">IF(#REF!="","",#REF!)</definedName>
    <definedName name="POJIHUA">IF(#REF!="","",#REF!)</definedName>
    <definedName name="pp" localSheetId="5">'[63]Sheet1 (2)'!$AC$2:$AG$1225</definedName>
    <definedName name="pp">'[64]Sheet1 (2)'!$AC$2:$AG$1225</definedName>
    <definedName name="pph">BlankMacro1</definedName>
    <definedName name="PPH값" localSheetId="5">'[65]LPC TEMPLATE'!$B$83:INDEX('[65]LPC TEMPLATE'!$B$83:$B$89,COUNTA('[65]LPC TEMPLATE'!$B$83:$B$89))</definedName>
    <definedName name="PPH값">'[66]LPC TEMPLATE'!$B$83:INDEX('[66]LPC TEMPLATE'!$B$83:$B$89,COUNTA('[66]LPC TEMPLATE'!$B$83:$B$89))</definedName>
    <definedName name="PPH개발단계별" localSheetId="5">'[65]LPC TEMPLATE'!$C$83:INDEX('[65]LPC TEMPLATE'!$C$83:$C$89,COUNTA('[65]LPC TEMPLATE'!$C$83:$C$89))</definedName>
    <definedName name="PPH개발단계별">'[66]LPC TEMPLATE'!$C$83:INDEX('[66]LPC TEMPLATE'!$C$83:$C$89,COUNTA('[66]LPC TEMPLATE'!$C$83:$C$89))</definedName>
    <definedName name="PREFORM">#N/A</definedName>
    <definedName name="price" localSheetId="5">#REF!</definedName>
    <definedName name="price" localSheetId="4">#REF!</definedName>
    <definedName name="price">#REF!</definedName>
    <definedName name="print" localSheetId="5">#REF!</definedName>
    <definedName name="print" localSheetId="4">#REF!</definedName>
    <definedName name="print">#REF!</definedName>
    <definedName name="_xlnm.Print_Area" localSheetId="1">'GRAFIK BORDIR'!$A$1:$Q$73</definedName>
    <definedName name="_xlnm.Print_Area" localSheetId="5">'GRAFIK CUTTING PRESS'!$A$1:$X$73</definedName>
    <definedName name="_xlnm.Print_Area" localSheetId="3">'GRAFIK EMBOSS'!$A$1:$X$90</definedName>
    <definedName name="_xlnm.Print_Area" localSheetId="4">'GRAFIK NOSEW'!$A$1:$Q$90</definedName>
    <definedName name="_xlnm.Print_Area">#REF!</definedName>
    <definedName name="Print_Area_MI" localSheetId="5">#REF!</definedName>
    <definedName name="Print_Area_MI" localSheetId="4">#REF!</definedName>
    <definedName name="Print_Area_MI">#REF!</definedName>
    <definedName name="Print_Area_MI_12" localSheetId="5">#REF!</definedName>
    <definedName name="Print_Area_MI_12" localSheetId="4">#REF!</definedName>
    <definedName name="Print_Area_MI_12">#REF!</definedName>
    <definedName name="Print_Area_MI_12_5" localSheetId="5">#REF!</definedName>
    <definedName name="Print_Area_MI_12_5" localSheetId="4">#REF!</definedName>
    <definedName name="Print_Area_MI_12_5">#REF!</definedName>
    <definedName name="Print_Area_MI_13" localSheetId="5">#REF!</definedName>
    <definedName name="Print_Area_MI_13" localSheetId="4">#REF!</definedName>
    <definedName name="Print_Area_MI_13">#REF!</definedName>
    <definedName name="Print_Area_MI_13_5" localSheetId="5">#REF!</definedName>
    <definedName name="Print_Area_MI_13_5" localSheetId="4">#REF!</definedName>
    <definedName name="Print_Area_MI_13_5">#REF!</definedName>
    <definedName name="Print_Area_MI_14" localSheetId="5">#REF!</definedName>
    <definedName name="Print_Area_MI_14" localSheetId="4">#REF!</definedName>
    <definedName name="Print_Area_MI_14">#REF!</definedName>
    <definedName name="Print_Area_MI_14_5" localSheetId="5">#REF!</definedName>
    <definedName name="Print_Area_MI_14_5" localSheetId="4">#REF!</definedName>
    <definedName name="Print_Area_MI_14_5">#REF!</definedName>
    <definedName name="Print_Area_MI_3" localSheetId="5">#REF!</definedName>
    <definedName name="Print_Area_MI_3" localSheetId="4">#REF!</definedName>
    <definedName name="Print_Area_MI_3">#REF!</definedName>
    <definedName name="Print_Area_MI_3_5" localSheetId="5">#REF!</definedName>
    <definedName name="Print_Area_MI_3_5" localSheetId="4">#REF!</definedName>
    <definedName name="Print_Area_MI_3_5">#REF!</definedName>
    <definedName name="Print_Area_MI_5" localSheetId="5">#REF!</definedName>
    <definedName name="Print_Area_MI_5" localSheetId="4">#REF!</definedName>
    <definedName name="Print_Area_MI_5">#REF!</definedName>
    <definedName name="Print_Area_MI_5_5" localSheetId="5">#REF!</definedName>
    <definedName name="Print_Area_MI_5_5" localSheetId="4">#REF!</definedName>
    <definedName name="Print_Area_MI_5_5">#REF!</definedName>
    <definedName name="Print_Area_MI_8" localSheetId="5">#REF!</definedName>
    <definedName name="Print_Area_MI_8" localSheetId="4">#REF!</definedName>
    <definedName name="Print_Area_MI_8">#REF!</definedName>
    <definedName name="PRINT_AREA_MI1" localSheetId="5">#REF!</definedName>
    <definedName name="PRINT_AREA_MI1" localSheetId="4">#REF!</definedName>
    <definedName name="PRINT_AREA_MI1">#REF!</definedName>
    <definedName name="_xlnm.Print_Titles" localSheetId="5">#REF!</definedName>
    <definedName name="_xlnm.Print_Titles" localSheetId="4">#REF!</definedName>
    <definedName name="_xlnm.Print_Titles">#REF!</definedName>
    <definedName name="PRINT_TITLES_MI" localSheetId="5">#REF!</definedName>
    <definedName name="PRINT_TITLES_MI" localSheetId="4">#REF!</definedName>
    <definedName name="PRINT_TITLES_MI">#REF!</definedName>
    <definedName name="PRINT_TITLES_MI_12">"$#REF!.$A$1:$AMJ$6"</definedName>
    <definedName name="PRINT_TITLES_MI_13">"$#REF!.$A$1:$AMJ$6"</definedName>
    <definedName name="PRINT_TITLES_MI_14">"$#REF!.$A$1:$AMJ$6"</definedName>
    <definedName name="PRINT_TITLES_MI_3" localSheetId="5">#REF!</definedName>
    <definedName name="PRINT_TITLES_MI_3" localSheetId="4">#REF!</definedName>
    <definedName name="PRINT_TITLES_MI_3">#REF!</definedName>
    <definedName name="PRINT_TITLES_MI_4" localSheetId="5">#REF!</definedName>
    <definedName name="PRINT_TITLES_MI_4" localSheetId="4">#REF!</definedName>
    <definedName name="PRINT_TITLES_MI_4">#REF!</definedName>
    <definedName name="PRINT_TITLES_MI_6">"$#REF!.$A$1:$AMJ$6"</definedName>
    <definedName name="PRINT_TITLES_MI_7">"$#REF!.$A$1:$AMJ$6"</definedName>
    <definedName name="PRINT_TITLES_MI_8">"$#REF!.$A$1:$AMJ$6"</definedName>
    <definedName name="Priority" localSheetId="5">#REF!</definedName>
    <definedName name="Priority" localSheetId="4">#REF!</definedName>
    <definedName name="Priority">#REF!</definedName>
    <definedName name="PRIORTITY" localSheetId="5">#REF!</definedName>
    <definedName name="PRIORTITY" localSheetId="4">#REF!</definedName>
    <definedName name="PRIORTITY">#REF!</definedName>
    <definedName name="prod">BlankMacro1</definedName>
    <definedName name="ProdForm" localSheetId="5" hidden="1">#REF!</definedName>
    <definedName name="ProdForm" localSheetId="4" hidden="1">#REF!</definedName>
    <definedName name="ProdForm" hidden="1">#REF!</definedName>
    <definedName name="Product" localSheetId="5" hidden="1">#REF!</definedName>
    <definedName name="Product" localSheetId="4" hidden="1">#REF!</definedName>
    <definedName name="Product" hidden="1">#REF!</definedName>
    <definedName name="PRT" localSheetId="5">#REF!</definedName>
    <definedName name="PRT" localSheetId="4">#REF!</definedName>
    <definedName name="PRT">#REF!</definedName>
    <definedName name="PTM">'[55]3-I.Phân tích chuẩn bị may'!#REF!</definedName>
    <definedName name="PTRSS" localSheetId="5">#REF!</definedName>
    <definedName name="PTRSS" localSheetId="4">#REF!</definedName>
    <definedName name="PTRSS">#REF!</definedName>
    <definedName name="PUNCH" localSheetId="5">#REF!</definedName>
    <definedName name="PUNCH" localSheetId="4">#REF!</definedName>
    <definedName name="PUNCH">#REF!</definedName>
    <definedName name="q" localSheetId="5">#REF!</definedName>
    <definedName name="q" localSheetId="4">#REF!</definedName>
    <definedName name="q">#REF!</definedName>
    <definedName name="Q_12" localSheetId="5">#REF!</definedName>
    <definedName name="Q_12" localSheetId="4">#REF!</definedName>
    <definedName name="Q_12">#REF!</definedName>
    <definedName name="Q_12_5" localSheetId="5">#REF!</definedName>
    <definedName name="Q_12_5" localSheetId="4">#REF!</definedName>
    <definedName name="Q_12_5">#REF!</definedName>
    <definedName name="Q_12_5_5" localSheetId="5">#REF!</definedName>
    <definedName name="Q_12_5_5" localSheetId="4">#REF!</definedName>
    <definedName name="Q_12_5_5">#REF!</definedName>
    <definedName name="Q_12_8" localSheetId="5">#REF!</definedName>
    <definedName name="Q_12_8" localSheetId="4">#REF!</definedName>
    <definedName name="Q_12_8">#REF!</definedName>
    <definedName name="Q_13" localSheetId="5">#REF!</definedName>
    <definedName name="Q_13" localSheetId="4">#REF!</definedName>
    <definedName name="Q_13">#REF!</definedName>
    <definedName name="Q_13_5" localSheetId="5">#REF!</definedName>
    <definedName name="Q_13_5" localSheetId="4">#REF!</definedName>
    <definedName name="Q_13_5">#REF!</definedName>
    <definedName name="Q_13_5_5" localSheetId="5">#REF!</definedName>
    <definedName name="Q_13_5_5" localSheetId="4">#REF!</definedName>
    <definedName name="Q_13_5_5">#REF!</definedName>
    <definedName name="Q_13_8" localSheetId="5">#REF!</definedName>
    <definedName name="Q_13_8" localSheetId="4">#REF!</definedName>
    <definedName name="Q_13_8">#REF!</definedName>
    <definedName name="Q_14" localSheetId="5">#REF!</definedName>
    <definedName name="Q_14" localSheetId="4">#REF!</definedName>
    <definedName name="Q_14">#REF!</definedName>
    <definedName name="Q_14_5" localSheetId="5">#REF!</definedName>
    <definedName name="Q_14_5" localSheetId="4">#REF!</definedName>
    <definedName name="Q_14_5">#REF!</definedName>
    <definedName name="Q_14_5_5" localSheetId="5">#REF!</definedName>
    <definedName name="Q_14_5_5" localSheetId="4">#REF!</definedName>
    <definedName name="Q_14_5_5">#REF!</definedName>
    <definedName name="Q_14_8" localSheetId="5">#REF!</definedName>
    <definedName name="Q_14_8" localSheetId="4">#REF!</definedName>
    <definedName name="Q_14_8">#REF!</definedName>
    <definedName name="Q_3" localSheetId="5">#REF!</definedName>
    <definedName name="Q_3" localSheetId="4">#REF!</definedName>
    <definedName name="Q_3">#REF!</definedName>
    <definedName name="Q_5" localSheetId="5">#REF!</definedName>
    <definedName name="Q_5" localSheetId="4">#REF!</definedName>
    <definedName name="Q_5">#REF!</definedName>
    <definedName name="Q_8" localSheetId="5">#REF!</definedName>
    <definedName name="Q_8" localSheetId="4">#REF!</definedName>
    <definedName name="Q_8">#REF!</definedName>
    <definedName name="Q_CHECK_WHAT_FLATFILE_DEMAND_IS_IN_OUT_ENGINE" localSheetId="5">#REF!</definedName>
    <definedName name="Q_CHECK_WHAT_FLATFILE_DEMAND_IS_IN_OUT_ENGINE" localSheetId="4">#REF!</definedName>
    <definedName name="Q_CHECK_WHAT_FLATFILE_DEMAND_IS_IN_OUT_ENGINE">#REF!</definedName>
    <definedName name="Q_LRPS_ASIA_VIEW" localSheetId="5">#N/A</definedName>
    <definedName name="Q_LRPS_ASIA_VIEW" localSheetId="4">#REF!</definedName>
    <definedName name="Q_LRPS_ASIA_VIEW">#REF!</definedName>
    <definedName name="Q3FD" localSheetId="5">#REF!</definedName>
    <definedName name="Q3FD" localSheetId="4">#REF!</definedName>
    <definedName name="Q3FD">#REF!</definedName>
    <definedName name="qcccc" localSheetId="5">#REF!</definedName>
    <definedName name="qcccc" localSheetId="4">#REF!</definedName>
    <definedName name="qcccc">#REF!</definedName>
    <definedName name="qefa" localSheetId="5">#N/A</definedName>
    <definedName name="qefa" localSheetId="4">#REF!</definedName>
    <definedName name="qefa">#REF!</definedName>
    <definedName name="QEFADF" localSheetId="5">#REF!</definedName>
    <definedName name="QEFADF" localSheetId="4">#REF!</definedName>
    <definedName name="QEFADF">#REF!</definedName>
    <definedName name="qefadfa" localSheetId="5">#N/A</definedName>
    <definedName name="qefadfa" localSheetId="4">#REF!</definedName>
    <definedName name="qefadfa">#REF!</definedName>
    <definedName name="qefadfqfdf" localSheetId="5">#N/A</definedName>
    <definedName name="qefadfqfdf" localSheetId="4">#REF!</definedName>
    <definedName name="qefadfqfdf">#REF!</definedName>
    <definedName name="QEFAEFA" localSheetId="5">#N/A</definedName>
    <definedName name="QEFAEFA" localSheetId="4">#REF!</definedName>
    <definedName name="QEFAEFA">#REF!</definedName>
    <definedName name="QEFAEQ" localSheetId="5">#N/A</definedName>
    <definedName name="QEFAEQ" localSheetId="4">#REF!</definedName>
    <definedName name="QEFAEQ">#REF!</definedName>
    <definedName name="qefafdqaef" localSheetId="5">#REF!</definedName>
    <definedName name="qefafdqaef" localSheetId="4">#REF!</definedName>
    <definedName name="qefafdqaef">#REF!</definedName>
    <definedName name="qefqfq">#N/A</definedName>
    <definedName name="QEGDAFA" localSheetId="5">#N/A</definedName>
    <definedName name="QEGDAFA" localSheetId="4">#REF!</definedName>
    <definedName name="QEGDAFA">#REF!</definedName>
    <definedName name="qerfaf">#N/A</definedName>
    <definedName name="qq" localSheetId="5">#N/A</definedName>
    <definedName name="qq" localSheetId="4">#REF!</definedName>
    <definedName name="qq">#REF!</definedName>
    <definedName name="qqq" localSheetId="5">#REF!</definedName>
    <definedName name="qqq" localSheetId="4">#REF!</definedName>
    <definedName name="qqq">#REF!</definedName>
    <definedName name="qqqq" localSheetId="5">#REF!</definedName>
    <definedName name="qqqq" localSheetId="4">#REF!</definedName>
    <definedName name="qqqq">#REF!</definedName>
    <definedName name="qqqqqqqqqqqqqqq" localSheetId="5">#REF!</definedName>
    <definedName name="qqqqqqqqqqqqqqq" localSheetId="4">#REF!</definedName>
    <definedName name="qqqqqqqqqqqqqqq">#REF!</definedName>
    <definedName name="qsss" localSheetId="5">#REF!</definedName>
    <definedName name="qsss" localSheetId="4">#REF!</definedName>
    <definedName name="qsss">#REF!</definedName>
    <definedName name="qtadcafqef" localSheetId="5">#REF!</definedName>
    <definedName name="qtadcafqef" localSheetId="4">#REF!</definedName>
    <definedName name="qtadcafqef">#REF!</definedName>
    <definedName name="QTAMOUNT0301" localSheetId="5">#REF!</definedName>
    <definedName name="QTAMOUNT0301" localSheetId="4">#REF!</definedName>
    <definedName name="QTAMOUNT0301">#REF!</definedName>
    <definedName name="QTAMOUNT0302" localSheetId="5">#REF!</definedName>
    <definedName name="QTAMOUNT0302" localSheetId="4">#REF!</definedName>
    <definedName name="QTAMOUNT0302">#REF!</definedName>
    <definedName name="QTAMOUNT0303" localSheetId="5">#REF!</definedName>
    <definedName name="QTAMOUNT0303" localSheetId="4">#REF!</definedName>
    <definedName name="QTAMOUNT0303">#REF!</definedName>
    <definedName name="QTAMOUNT0304" localSheetId="5">#REF!</definedName>
    <definedName name="QTAMOUNT0304" localSheetId="4">#REF!</definedName>
    <definedName name="QTAMOUNT0304">#REF!</definedName>
    <definedName name="QTAMOUNT0305" localSheetId="5">#REF!</definedName>
    <definedName name="QTAMOUNT0305" localSheetId="4">#REF!</definedName>
    <definedName name="QTAMOUNT0305">#REF!</definedName>
    <definedName name="QTAMOUNT0306" localSheetId="5">#REF!</definedName>
    <definedName name="QTAMOUNT0306" localSheetId="4">#REF!</definedName>
    <definedName name="QTAMOUNT0306">#REF!</definedName>
    <definedName name="QTAMOUNT0307" localSheetId="5">#REF!</definedName>
    <definedName name="QTAMOUNT0307" localSheetId="4">#REF!</definedName>
    <definedName name="QTAMOUNT0307">#REF!</definedName>
    <definedName name="QTAMOUNT0308" localSheetId="5">#REF!</definedName>
    <definedName name="QTAMOUNT0308" localSheetId="4">#REF!</definedName>
    <definedName name="QTAMOUNT0308">#REF!</definedName>
    <definedName name="QTAMOUNT0309" localSheetId="5">#REF!</definedName>
    <definedName name="QTAMOUNT0309" localSheetId="4">#REF!</definedName>
    <definedName name="QTAMOUNT0309">#REF!</definedName>
    <definedName name="QTAMOUNT0310" localSheetId="5">#REF!</definedName>
    <definedName name="QTAMOUNT0310" localSheetId="4">#REF!</definedName>
    <definedName name="QTAMOUNT0310">#REF!</definedName>
    <definedName name="QTAMOUNT0311" localSheetId="5">#REF!</definedName>
    <definedName name="QTAMOUNT0311" localSheetId="4">#REF!</definedName>
    <definedName name="QTAMOUNT0311">#REF!</definedName>
    <definedName name="QTAMOUNT0312" localSheetId="5">#REF!</definedName>
    <definedName name="QTAMOUNT0312" localSheetId="4">#REF!</definedName>
    <definedName name="QTAMOUNT0312">#REF!</definedName>
    <definedName name="QTAMOUNT03TL" localSheetId="5">#REF!</definedName>
    <definedName name="QTAMOUNT03TL" localSheetId="4">#REF!</definedName>
    <definedName name="QTAMOUNT03TL">#REF!</definedName>
    <definedName name="QTAMOUNT0401" localSheetId="5">#N/A</definedName>
    <definedName name="QTAMOUNT0401" localSheetId="4">#REF!</definedName>
    <definedName name="QTAMOUNT0401">#REF!</definedName>
    <definedName name="QTAMOUNT0402" localSheetId="5">#N/A</definedName>
    <definedName name="QTAMOUNT0402" localSheetId="4">#REF!</definedName>
    <definedName name="QTAMOUNT0402">#REF!</definedName>
    <definedName name="QTAMOUNT0403" localSheetId="5">#N/A</definedName>
    <definedName name="QTAMOUNT0403" localSheetId="4">#REF!</definedName>
    <definedName name="QTAMOUNT0403">#REF!</definedName>
    <definedName name="QTAMOUNT0404" localSheetId="5">#N/A</definedName>
    <definedName name="QTAMOUNT0404" localSheetId="4">#REF!</definedName>
    <definedName name="QTAMOUNT0404">#REF!</definedName>
    <definedName name="QTAMOUNT0405" localSheetId="5">#N/A</definedName>
    <definedName name="QTAMOUNT0405" localSheetId="4">#REF!</definedName>
    <definedName name="QTAMOUNT0405">#REF!</definedName>
    <definedName name="QTAMOUNT0406" localSheetId="5">#N/A</definedName>
    <definedName name="QTAMOUNT0406" localSheetId="4">#REF!</definedName>
    <definedName name="QTAMOUNT0406">#REF!</definedName>
    <definedName name="QTAMOUNT0407" localSheetId="5">#N/A</definedName>
    <definedName name="QTAMOUNT0407" localSheetId="4">#REF!</definedName>
    <definedName name="QTAMOUNT0407">#REF!</definedName>
    <definedName name="QTAMOUNT0408" localSheetId="5">#N/A</definedName>
    <definedName name="QTAMOUNT0408" localSheetId="4">#REF!</definedName>
    <definedName name="QTAMOUNT0408">#REF!</definedName>
    <definedName name="QTAMOUNT0409" localSheetId="5">#N/A</definedName>
    <definedName name="QTAMOUNT0409" localSheetId="4">#REF!</definedName>
    <definedName name="QTAMOUNT0409">#REF!</definedName>
    <definedName name="QTAMOUNT0410" localSheetId="5">#N/A</definedName>
    <definedName name="QTAMOUNT0410" localSheetId="4">#REF!</definedName>
    <definedName name="QTAMOUNT0410">#REF!</definedName>
    <definedName name="QTAMOUNT0411" localSheetId="5">#N/A</definedName>
    <definedName name="QTAMOUNT0411" localSheetId="4">#REF!</definedName>
    <definedName name="QTAMOUNT0411">#REF!</definedName>
    <definedName name="QTAMOUNT0412" localSheetId="5">#N/A</definedName>
    <definedName name="QTAMOUNT0412" localSheetId="4">#REF!</definedName>
    <definedName name="QTAMOUNT0412">#REF!</definedName>
    <definedName name="QTAMOUNT04TL" localSheetId="5">#N/A</definedName>
    <definedName name="QTAMOUNT04TL" localSheetId="4">#REF!</definedName>
    <definedName name="QTAMOUNT04TL">#REF!</definedName>
    <definedName name="QTPR0301" localSheetId="5">#REF!</definedName>
    <definedName name="QTPR0301" localSheetId="4">#REF!</definedName>
    <definedName name="QTPR0301">#REF!</definedName>
    <definedName name="QTPR0302" localSheetId="5">#REF!</definedName>
    <definedName name="QTPR0302" localSheetId="4">#REF!</definedName>
    <definedName name="QTPR0302">#REF!</definedName>
    <definedName name="QTPR0303" localSheetId="5">#REF!</definedName>
    <definedName name="QTPR0303" localSheetId="4">#REF!</definedName>
    <definedName name="QTPR0303">#REF!</definedName>
    <definedName name="QTPR0304" localSheetId="5">#REF!</definedName>
    <definedName name="QTPR0304" localSheetId="4">#REF!</definedName>
    <definedName name="QTPR0304">#REF!</definedName>
    <definedName name="QTPR0305" localSheetId="5">#REF!</definedName>
    <definedName name="QTPR0305" localSheetId="4">#REF!</definedName>
    <definedName name="QTPR0305">#REF!</definedName>
    <definedName name="QTPR0306" localSheetId="5">#REF!</definedName>
    <definedName name="QTPR0306" localSheetId="4">#REF!</definedName>
    <definedName name="QTPR0306">#REF!</definedName>
    <definedName name="QTPR0307" localSheetId="5">#REF!</definedName>
    <definedName name="QTPR0307" localSheetId="4">#REF!</definedName>
    <definedName name="QTPR0307">#REF!</definedName>
    <definedName name="QTPR0308" localSheetId="5">#REF!</definedName>
    <definedName name="QTPR0308" localSheetId="4">#REF!</definedName>
    <definedName name="QTPR0308">#REF!</definedName>
    <definedName name="QTPR0309" localSheetId="5">#REF!</definedName>
    <definedName name="QTPR0309" localSheetId="4">#REF!</definedName>
    <definedName name="QTPR0309">#REF!</definedName>
    <definedName name="QTPR0310" localSheetId="5">#REF!</definedName>
    <definedName name="QTPR0310" localSheetId="4">#REF!</definedName>
    <definedName name="QTPR0310">#REF!</definedName>
    <definedName name="QTPR0311" localSheetId="5">#REF!</definedName>
    <definedName name="QTPR0311" localSheetId="4">#REF!</definedName>
    <definedName name="QTPR0311">#REF!</definedName>
    <definedName name="QTPR0312" localSheetId="5">#REF!</definedName>
    <definedName name="QTPR0312" localSheetId="4">#REF!</definedName>
    <definedName name="QTPR0312">#REF!</definedName>
    <definedName name="QTPR03TL" localSheetId="5">#REF!</definedName>
    <definedName name="QTPR03TL" localSheetId="4">#REF!</definedName>
    <definedName name="QTPR03TL">#REF!</definedName>
    <definedName name="QTPR0401" localSheetId="5">#N/A</definedName>
    <definedName name="QTPR0401" localSheetId="4">#REF!</definedName>
    <definedName name="QTPR0401">#REF!</definedName>
    <definedName name="QTPR0402" localSheetId="5">#N/A</definedName>
    <definedName name="QTPR0402" localSheetId="4">#REF!</definedName>
    <definedName name="QTPR0402">#REF!</definedName>
    <definedName name="QTPR0403" localSheetId="5">#N/A</definedName>
    <definedName name="QTPR0403" localSheetId="4">#REF!</definedName>
    <definedName name="QTPR0403">#REF!</definedName>
    <definedName name="QTPR0404" localSheetId="5">#N/A</definedName>
    <definedName name="QTPR0404" localSheetId="4">#REF!</definedName>
    <definedName name="QTPR0404">#REF!</definedName>
    <definedName name="QTPR0405" localSheetId="5">#N/A</definedName>
    <definedName name="QTPR0405" localSheetId="4">#REF!</definedName>
    <definedName name="QTPR0405">#REF!</definedName>
    <definedName name="QTPR0406" localSheetId="5">#N/A</definedName>
    <definedName name="QTPR0406" localSheetId="4">#REF!</definedName>
    <definedName name="QTPR0406">#REF!</definedName>
    <definedName name="QTPR0407" localSheetId="5">#N/A</definedName>
    <definedName name="QTPR0407" localSheetId="4">#REF!</definedName>
    <definedName name="QTPR0407">#REF!</definedName>
    <definedName name="QTPR0408" localSheetId="5">#N/A</definedName>
    <definedName name="QTPR0408" localSheetId="4">#REF!</definedName>
    <definedName name="QTPR0408">#REF!</definedName>
    <definedName name="QTPR0409" localSheetId="5">#N/A</definedName>
    <definedName name="QTPR0409" localSheetId="4">#REF!</definedName>
    <definedName name="QTPR0409">#REF!</definedName>
    <definedName name="QTPR0410" localSheetId="5">#N/A</definedName>
    <definedName name="QTPR0410" localSheetId="4">#REF!</definedName>
    <definedName name="QTPR0410">#REF!</definedName>
    <definedName name="QTPR0411" localSheetId="5">#N/A</definedName>
    <definedName name="QTPR0411" localSheetId="4">#REF!</definedName>
    <definedName name="QTPR0411">#REF!</definedName>
    <definedName name="QTPR0412" localSheetId="5">#N/A</definedName>
    <definedName name="QTPR0412" localSheetId="4">#REF!</definedName>
    <definedName name="QTPR0412">#REF!</definedName>
    <definedName name="QTPR04TL" localSheetId="5">#N/A</definedName>
    <definedName name="QTPR04TL" localSheetId="4">#REF!</definedName>
    <definedName name="QTPR04TL">#REF!</definedName>
    <definedName name="Qty" localSheetId="5">#REF!</definedName>
    <definedName name="Qty" localSheetId="4">#REF!</definedName>
    <definedName name="Qty">#REF!</definedName>
    <definedName name="Qty_5" localSheetId="5">#REF!</definedName>
    <definedName name="Qty_5" localSheetId="4">#REF!</definedName>
    <definedName name="Qty_5">#REF!</definedName>
    <definedName name="Qty_8" localSheetId="5">#REF!</definedName>
    <definedName name="Qty_8" localSheetId="4">#REF!</definedName>
    <definedName name="Qty_8">#REF!</definedName>
    <definedName name="Quantity" localSheetId="5">OFFSET(#REF!,0,0,COUNTIF((#REF!),"&gt;0"))</definedName>
    <definedName name="Quantity" localSheetId="4">OFFSET(#REF!,0,0,COUNTIF((#REF!),"&gt;0"))</definedName>
    <definedName name="Quantity">OFFSET(#REF!,0,0,COUNTIF((#REF!),"&gt;0"))</definedName>
    <definedName name="QuantityPlot" localSheetId="5">OFFSET(#REF!,0,0,COUNTIF((#REF!),"&gt;0"))</definedName>
    <definedName name="QuantityPlot" localSheetId="4">OFFSET(#REF!,0,0,COUNTIF((#REF!),"&gt;0"))</definedName>
    <definedName name="QuantityPlot">OFFSET(#REF!,0,0,COUNTIF((#REF!),"&gt;0"))</definedName>
    <definedName name="Query1">#N/A</definedName>
    <definedName name="qw" localSheetId="5">#REF!</definedName>
    <definedName name="qw" localSheetId="4">#REF!</definedName>
    <definedName name="qw">#REF!</definedName>
    <definedName name="QWER" localSheetId="5">#REF!</definedName>
    <definedName name="QWER" localSheetId="4">#REF!</definedName>
    <definedName name="QWER">#REF!</definedName>
    <definedName name="qwerty" localSheetId="5">#REF!</definedName>
    <definedName name="qwerty" localSheetId="4">#REF!</definedName>
    <definedName name="qwerty">#REF!</definedName>
    <definedName name="QWQW" localSheetId="5">#REF!</definedName>
    <definedName name="QWQW" localSheetId="4">#REF!</definedName>
    <definedName name="QWQW">#REF!</definedName>
    <definedName name="QWR" localSheetId="5">#REF!</definedName>
    <definedName name="QWR" localSheetId="4">#REF!</definedName>
    <definedName name="QWR">#REF!</definedName>
    <definedName name="RANGE_TD_DESCRIPTION">(OFFSET('[48]Drop Down Values'!$I$2,0,0):OFFSET('[48]Drop Down Values'!$Q$20,0,0))</definedName>
    <definedName name="RANGKAS" localSheetId="5">#REF!</definedName>
    <definedName name="RANGKAS" localSheetId="4">#REF!</definedName>
    <definedName name="RANGKAS">#REF!</definedName>
    <definedName name="rantg" localSheetId="5">#N/A</definedName>
    <definedName name="rantg" localSheetId="4">#REF!</definedName>
    <definedName name="rantg">#REF!</definedName>
    <definedName name="rbyrb" localSheetId="5">#N/A</definedName>
    <definedName name="rbyrb" localSheetId="4">#REF!</definedName>
    <definedName name="rbyrb">#REF!</definedName>
    <definedName name="RCArea" localSheetId="5" hidden="1">#REF!</definedName>
    <definedName name="RCArea" localSheetId="4" hidden="1">#REF!</definedName>
    <definedName name="RCArea" hidden="1">#REF!</definedName>
    <definedName name="re" localSheetId="5">#REF!</definedName>
    <definedName name="re" localSheetId="4">#REF!</definedName>
    <definedName name="re">#REF!</definedName>
    <definedName name="re_5" localSheetId="5">#REF!</definedName>
    <definedName name="re_5" localSheetId="4">#REF!</definedName>
    <definedName name="re_5">#REF!</definedName>
    <definedName name="re_5_1">#N/A</definedName>
    <definedName name="re_5_5" localSheetId="5">#REF!</definedName>
    <definedName name="re_5_5" localSheetId="4">#REF!</definedName>
    <definedName name="re_5_5">#REF!</definedName>
    <definedName name="re_8" localSheetId="5">#REF!</definedName>
    <definedName name="re_8" localSheetId="4">#REF!</definedName>
    <definedName name="re_8">#REF!</definedName>
    <definedName name="red" localSheetId="5">#REF!</definedName>
    <definedName name="red" localSheetId="4">#REF!</definedName>
    <definedName name="red">#REF!</definedName>
    <definedName name="reg" localSheetId="5">#REF!</definedName>
    <definedName name="reg" localSheetId="4">#REF!</definedName>
    <definedName name="reg">#REF!</definedName>
    <definedName name="remix21" hidden="1">#N/A</definedName>
    <definedName name="REPORT" localSheetId="5">#REF!</definedName>
    <definedName name="REPORT" localSheetId="4">#REF!</definedName>
    <definedName name="REPORT">#REF!</definedName>
    <definedName name="REPORT_5" localSheetId="5">#REF!</definedName>
    <definedName name="REPORT_5" localSheetId="4">#REF!</definedName>
    <definedName name="REPORT_5">#REF!</definedName>
    <definedName name="REPORT_5_1">#N/A</definedName>
    <definedName name="REPORT_5_5" localSheetId="5">#REF!</definedName>
    <definedName name="REPORT_5_5" localSheetId="4">#REF!</definedName>
    <definedName name="REPORT_5_5">#REF!</definedName>
    <definedName name="REPORT_6">"$#REF!.$E$62:$F$62"</definedName>
    <definedName name="REPORT_7">"$#REF!.$E$62:$F$62"</definedName>
    <definedName name="REPORT_8" localSheetId="5">#REF!</definedName>
    <definedName name="REPORT_8" localSheetId="4">#REF!</definedName>
    <definedName name="REPORT_8">#REF!</definedName>
    <definedName name="REPORT1" localSheetId="5">#REF!</definedName>
    <definedName name="REPORT1" localSheetId="4">#REF!</definedName>
    <definedName name="REPORT1">#REF!</definedName>
    <definedName name="REQ_ETA" localSheetId="5">#REF!</definedName>
    <definedName name="REQ_ETA" localSheetId="4">#REF!</definedName>
    <definedName name="REQ_ETA">#REF!</definedName>
    <definedName name="REQ_ETA_12" localSheetId="5">#REF!</definedName>
    <definedName name="REQ_ETA_12" localSheetId="4">#REF!</definedName>
    <definedName name="REQ_ETA_12">#REF!</definedName>
    <definedName name="REQ_ETA_12_5" localSheetId="5">#REF!</definedName>
    <definedName name="REQ_ETA_12_5" localSheetId="4">#REF!</definedName>
    <definedName name="REQ_ETA_12_5">#REF!</definedName>
    <definedName name="REQ_ETA_12_5_5" localSheetId="5">#REF!</definedName>
    <definedName name="REQ_ETA_12_5_5" localSheetId="4">#REF!</definedName>
    <definedName name="REQ_ETA_12_5_5">#REF!</definedName>
    <definedName name="REQ_ETA_12_8" localSheetId="5">#REF!</definedName>
    <definedName name="REQ_ETA_12_8" localSheetId="4">#REF!</definedName>
    <definedName name="REQ_ETA_12_8">#REF!</definedName>
    <definedName name="REQ_ETA_13" localSheetId="5">#REF!</definedName>
    <definedName name="REQ_ETA_13" localSheetId="4">#REF!</definedName>
    <definedName name="REQ_ETA_13">#REF!</definedName>
    <definedName name="REQ_ETA_13_5" localSheetId="5">#REF!</definedName>
    <definedName name="REQ_ETA_13_5" localSheetId="4">#REF!</definedName>
    <definedName name="REQ_ETA_13_5">#REF!</definedName>
    <definedName name="REQ_ETA_13_5_5" localSheetId="5">#REF!</definedName>
    <definedName name="REQ_ETA_13_5_5" localSheetId="4">#REF!</definedName>
    <definedName name="REQ_ETA_13_5_5">#REF!</definedName>
    <definedName name="REQ_ETA_13_8" localSheetId="5">#REF!</definedName>
    <definedName name="REQ_ETA_13_8" localSheetId="4">#REF!</definedName>
    <definedName name="REQ_ETA_13_8">#REF!</definedName>
    <definedName name="REQ_ETA_14" localSheetId="5">#REF!</definedName>
    <definedName name="REQ_ETA_14" localSheetId="4">#REF!</definedName>
    <definedName name="REQ_ETA_14">#REF!</definedName>
    <definedName name="REQ_ETA_14_5" localSheetId="5">#REF!</definedName>
    <definedName name="REQ_ETA_14_5" localSheetId="4">#REF!</definedName>
    <definedName name="REQ_ETA_14_5">#REF!</definedName>
    <definedName name="REQ_ETA_14_5_5" localSheetId="5">#REF!</definedName>
    <definedName name="REQ_ETA_14_5_5" localSheetId="4">#REF!</definedName>
    <definedName name="REQ_ETA_14_5_5">#REF!</definedName>
    <definedName name="REQ_ETA_14_8" localSheetId="5">#REF!</definedName>
    <definedName name="REQ_ETA_14_8" localSheetId="4">#REF!</definedName>
    <definedName name="REQ_ETA_14_8">#REF!</definedName>
    <definedName name="REQ_ETA_3" localSheetId="5">#REF!</definedName>
    <definedName name="REQ_ETA_3" localSheetId="4">#REF!</definedName>
    <definedName name="REQ_ETA_3">#REF!</definedName>
    <definedName name="REQ_ETA_5" localSheetId="5">#REF!</definedName>
    <definedName name="REQ_ETA_5" localSheetId="4">#REF!</definedName>
    <definedName name="REQ_ETA_5">#REF!</definedName>
    <definedName name="REQ_ETA_8" localSheetId="5">#REF!</definedName>
    <definedName name="REQ_ETA_8" localSheetId="4">#REF!</definedName>
    <definedName name="REQ_ETA_8">#REF!</definedName>
    <definedName name="resgsg" localSheetId="5">#REF!</definedName>
    <definedName name="resgsg" localSheetId="4">#REF!</definedName>
    <definedName name="resgsg">#REF!</definedName>
    <definedName name="retail03" localSheetId="5">#REF!</definedName>
    <definedName name="retail03" localSheetId="4">#REF!</definedName>
    <definedName name="retail03">#REF!</definedName>
    <definedName name="retail04" localSheetId="5">#N/A</definedName>
    <definedName name="retail04" localSheetId="4">#REF!</definedName>
    <definedName name="retail04">#REF!</definedName>
    <definedName name="rfddg">BlankMacro1</definedName>
    <definedName name="RGB153S4" localSheetId="5">#REF!</definedName>
    <definedName name="RGB153S4" localSheetId="4">#REF!</definedName>
    <definedName name="RGB153S4">#REF!</definedName>
    <definedName name="rgr" localSheetId="5">#REF!</definedName>
    <definedName name="rgr" localSheetId="4">#REF!</definedName>
    <definedName name="rgr">#REF!</definedName>
    <definedName name="ri">BlankMacro1</definedName>
    <definedName name="ROLL_HM" localSheetId="5">#REF!</definedName>
    <definedName name="ROLL_HM" localSheetId="4">#REF!</definedName>
    <definedName name="ROLL_HM">#REF!</definedName>
    <definedName name="RQSD" localSheetId="5">#REF!</definedName>
    <definedName name="RQSD" localSheetId="4">#REF!</definedName>
    <definedName name="RQSD">#REF!</definedName>
    <definedName name="RQSD_12" localSheetId="5">#REF!</definedName>
    <definedName name="RQSD_12" localSheetId="4">#REF!</definedName>
    <definedName name="RQSD_12">#REF!</definedName>
    <definedName name="RQSD_12_5" localSheetId="5">#REF!</definedName>
    <definedName name="RQSD_12_5" localSheetId="4">#REF!</definedName>
    <definedName name="RQSD_12_5">#REF!</definedName>
    <definedName name="RQSD_12_5_5" localSheetId="5">#REF!</definedName>
    <definedName name="RQSD_12_5_5" localSheetId="4">#REF!</definedName>
    <definedName name="RQSD_12_5_5">#REF!</definedName>
    <definedName name="RQSD_12_8" localSheetId="5">#REF!</definedName>
    <definedName name="RQSD_12_8" localSheetId="4">#REF!</definedName>
    <definedName name="RQSD_12_8">#REF!</definedName>
    <definedName name="RQSD_13" localSheetId="5">#REF!</definedName>
    <definedName name="RQSD_13" localSheetId="4">#REF!</definedName>
    <definedName name="RQSD_13">#REF!</definedName>
    <definedName name="RQSD_13_5" localSheetId="5">#REF!</definedName>
    <definedName name="RQSD_13_5" localSheetId="4">#REF!</definedName>
    <definedName name="RQSD_13_5">#REF!</definedName>
    <definedName name="RQSD_13_5_5" localSheetId="5">#REF!</definedName>
    <definedName name="RQSD_13_5_5" localSheetId="4">#REF!</definedName>
    <definedName name="RQSD_13_5_5">#REF!</definedName>
    <definedName name="RQSD_13_8" localSheetId="5">#REF!</definedName>
    <definedName name="RQSD_13_8" localSheetId="4">#REF!</definedName>
    <definedName name="RQSD_13_8">#REF!</definedName>
    <definedName name="RQSD_14" localSheetId="5">#REF!</definedName>
    <definedName name="RQSD_14" localSheetId="4">#REF!</definedName>
    <definedName name="RQSD_14">#REF!</definedName>
    <definedName name="RQSD_14_5" localSheetId="5">#REF!</definedName>
    <definedName name="RQSD_14_5" localSheetId="4">#REF!</definedName>
    <definedName name="RQSD_14_5">#REF!</definedName>
    <definedName name="RQSD_14_5_5" localSheetId="5">#REF!</definedName>
    <definedName name="RQSD_14_5_5" localSheetId="4">#REF!</definedName>
    <definedName name="RQSD_14_5_5">#REF!</definedName>
    <definedName name="RQSD_14_8" localSheetId="5">#REF!</definedName>
    <definedName name="RQSD_14_8" localSheetId="4">#REF!</definedName>
    <definedName name="RQSD_14_8">#REF!</definedName>
    <definedName name="RQSD_3" localSheetId="5">#REF!</definedName>
    <definedName name="RQSD_3" localSheetId="4">#REF!</definedName>
    <definedName name="RQSD_3">#REF!</definedName>
    <definedName name="RQSD_5" localSheetId="5">#REF!</definedName>
    <definedName name="RQSD_5" localSheetId="4">#REF!</definedName>
    <definedName name="RQSD_5">#REF!</definedName>
    <definedName name="RQSD_8" localSheetId="5">#REF!</definedName>
    <definedName name="RQSD_8" localSheetId="4">#REF!</definedName>
    <definedName name="RQSD_8">#REF!</definedName>
    <definedName name="RRR" localSheetId="5">#REF!</definedName>
    <definedName name="RRR" localSheetId="4">#REF!</definedName>
    <definedName name="RRR">#REF!</definedName>
    <definedName name="rrrrrrrrrrrrrrrrr" localSheetId="5">[1]피유.프레스!#REF!</definedName>
    <definedName name="rrrrrrrrrrrrrrrrr" localSheetId="4">#REF!</definedName>
    <definedName name="rrrrrrrrrrrrrrrrr">#REF!</definedName>
    <definedName name="RSGNBF" localSheetId="5">#REF!</definedName>
    <definedName name="RSGNBF" localSheetId="4">#REF!</definedName>
    <definedName name="RSGNBF">#REF!</definedName>
    <definedName name="rt" localSheetId="5">#REF!</definedName>
    <definedName name="rt" localSheetId="4">#REF!</definedName>
    <definedName name="rt">#REF!</definedName>
    <definedName name="RTGH" localSheetId="5">#REF!</definedName>
    <definedName name="RTGH" localSheetId="4">#REF!</definedName>
    <definedName name="RTGH">#REF!</definedName>
    <definedName name="RVSD" localSheetId="5">#REF!</definedName>
    <definedName name="RVSD" localSheetId="4">#REF!</definedName>
    <definedName name="RVSD">#REF!</definedName>
    <definedName name="RVSD_12" localSheetId="5">#REF!</definedName>
    <definedName name="RVSD_12" localSheetId="4">#REF!</definedName>
    <definedName name="RVSD_12">#REF!</definedName>
    <definedName name="RVSD_12_5" localSheetId="5">#REF!</definedName>
    <definedName name="RVSD_12_5" localSheetId="4">#REF!</definedName>
    <definedName name="RVSD_12_5">#REF!</definedName>
    <definedName name="RVSD_12_5_5" localSheetId="5">#REF!</definedName>
    <definedName name="RVSD_12_5_5" localSheetId="4">#REF!</definedName>
    <definedName name="RVSD_12_5_5">#REF!</definedName>
    <definedName name="RVSD_12_8" localSheetId="5">#REF!</definedName>
    <definedName name="RVSD_12_8" localSheetId="4">#REF!</definedName>
    <definedName name="RVSD_12_8">#REF!</definedName>
    <definedName name="RVSD_13" localSheetId="5">#REF!</definedName>
    <definedName name="RVSD_13" localSheetId="4">#REF!</definedName>
    <definedName name="RVSD_13">#REF!</definedName>
    <definedName name="RVSD_13_5" localSheetId="5">#REF!</definedName>
    <definedName name="RVSD_13_5" localSheetId="4">#REF!</definedName>
    <definedName name="RVSD_13_5">#REF!</definedName>
    <definedName name="RVSD_13_5_5" localSheetId="5">#REF!</definedName>
    <definedName name="RVSD_13_5_5" localSheetId="4">#REF!</definedName>
    <definedName name="RVSD_13_5_5">#REF!</definedName>
    <definedName name="RVSD_13_8" localSheetId="5">#REF!</definedName>
    <definedName name="RVSD_13_8" localSheetId="4">#REF!</definedName>
    <definedName name="RVSD_13_8">#REF!</definedName>
    <definedName name="RVSD_14" localSheetId="5">#REF!</definedName>
    <definedName name="RVSD_14" localSheetId="4">#REF!</definedName>
    <definedName name="RVSD_14">#REF!</definedName>
    <definedName name="RVSD_14_5" localSheetId="5">#REF!</definedName>
    <definedName name="RVSD_14_5" localSheetId="4">#REF!</definedName>
    <definedName name="RVSD_14_5">#REF!</definedName>
    <definedName name="RVSD_14_5_5" localSheetId="5">#REF!</definedName>
    <definedName name="RVSD_14_5_5" localSheetId="4">#REF!</definedName>
    <definedName name="RVSD_14_5_5">#REF!</definedName>
    <definedName name="RVSD_14_8" localSheetId="5">#REF!</definedName>
    <definedName name="RVSD_14_8" localSheetId="4">#REF!</definedName>
    <definedName name="RVSD_14_8">#REF!</definedName>
    <definedName name="RVSD_3" localSheetId="5">#REF!</definedName>
    <definedName name="RVSD_3" localSheetId="4">#REF!</definedName>
    <definedName name="RVSD_3">#REF!</definedName>
    <definedName name="RVSD_5" localSheetId="5">#REF!</definedName>
    <definedName name="RVSD_5" localSheetId="4">#REF!</definedName>
    <definedName name="RVSD_5">#REF!</definedName>
    <definedName name="RVSD_8" localSheetId="5">#REF!</definedName>
    <definedName name="RVSD_8" localSheetId="4">#REF!</definedName>
    <definedName name="RVSD_8">#REF!</definedName>
    <definedName name="RX4U" localSheetId="5">#REF!</definedName>
    <definedName name="RX4U" localSheetId="4">#REF!</definedName>
    <definedName name="RX4U">#REF!</definedName>
    <definedName name="RYGFTJ" localSheetId="5">#REF!</definedName>
    <definedName name="RYGFTJ" localSheetId="4">#REF!</definedName>
    <definedName name="RYGFTJ">#REF!</definedName>
    <definedName name="RYTRU" localSheetId="5">#N/A</definedName>
    <definedName name="RYTRU" localSheetId="4">#REF!</definedName>
    <definedName name="RYTRU">#REF!</definedName>
    <definedName name="RYTU" localSheetId="5">#N/A</definedName>
    <definedName name="RYTU" localSheetId="4">#REF!</definedName>
    <definedName name="RYTU">#REF!</definedName>
    <definedName name="RYTUJ" localSheetId="5">#REF!</definedName>
    <definedName name="RYTUJ" localSheetId="4">#REF!</definedName>
    <definedName name="RYTUJ">#REF!</definedName>
    <definedName name="rzdbyh" localSheetId="5">#N/A</definedName>
    <definedName name="rzdbyh" localSheetId="4">#REF!</definedName>
    <definedName name="rzdbyh">#REF!</definedName>
    <definedName name="s" localSheetId="5">#REF!</definedName>
    <definedName name="s" localSheetId="4">#REF!</definedName>
    <definedName name="s">#REF!</definedName>
    <definedName name="s_5">"'smb://Walter/upper/TECH/MERRY/178049A.XLS'#直線55_Click"</definedName>
    <definedName name="s_8">"'smb://Walter/upper/TECH/MERRY/178049A.XLS'#直線55_Click"</definedName>
    <definedName name="S_D" localSheetId="5">#REF!</definedName>
    <definedName name="S_D" localSheetId="4">#REF!</definedName>
    <definedName name="S_D">#REF!</definedName>
    <definedName name="S_D_12" localSheetId="5">#REF!</definedName>
    <definedName name="S_D_12" localSheetId="4">#REF!</definedName>
    <definedName name="S_D_12">#REF!</definedName>
    <definedName name="S_D_12_5" localSheetId="5">#REF!</definedName>
    <definedName name="S_D_12_5" localSheetId="4">#REF!</definedName>
    <definedName name="S_D_12_5">#REF!</definedName>
    <definedName name="S_D_12_5_5" localSheetId="5">#REF!</definedName>
    <definedName name="S_D_12_5_5" localSheetId="4">#REF!</definedName>
    <definedName name="S_D_12_5_5">#REF!</definedName>
    <definedName name="S_D_12_8" localSheetId="5">#REF!</definedName>
    <definedName name="S_D_12_8" localSheetId="4">#REF!</definedName>
    <definedName name="S_D_12_8">#REF!</definedName>
    <definedName name="S_D_13" localSheetId="5">#REF!</definedName>
    <definedName name="S_D_13" localSheetId="4">#REF!</definedName>
    <definedName name="S_D_13">#REF!</definedName>
    <definedName name="S_D_13_5" localSheetId="5">#REF!</definedName>
    <definedName name="S_D_13_5" localSheetId="4">#REF!</definedName>
    <definedName name="S_D_13_5">#REF!</definedName>
    <definedName name="S_D_13_5_5" localSheetId="5">#REF!</definedName>
    <definedName name="S_D_13_5_5" localSheetId="4">#REF!</definedName>
    <definedName name="S_D_13_5_5">#REF!</definedName>
    <definedName name="S_D_13_8" localSheetId="5">#REF!</definedName>
    <definedName name="S_D_13_8" localSheetId="4">#REF!</definedName>
    <definedName name="S_D_13_8">#REF!</definedName>
    <definedName name="S_D_14" localSheetId="5">#REF!</definedName>
    <definedName name="S_D_14" localSheetId="4">#REF!</definedName>
    <definedName name="S_D_14">#REF!</definedName>
    <definedName name="S_D_14_5" localSheetId="5">#REF!</definedName>
    <definedName name="S_D_14_5" localSheetId="4">#REF!</definedName>
    <definedName name="S_D_14_5">#REF!</definedName>
    <definedName name="S_D_14_5_5" localSheetId="5">#REF!</definedName>
    <definedName name="S_D_14_5_5" localSheetId="4">#REF!</definedName>
    <definedName name="S_D_14_5_5">#REF!</definedName>
    <definedName name="S_D_14_8" localSheetId="5">#REF!</definedName>
    <definedName name="S_D_14_8" localSheetId="4">#REF!</definedName>
    <definedName name="S_D_14_8">#REF!</definedName>
    <definedName name="S_D_3" localSheetId="5">#REF!</definedName>
    <definedName name="S_D_3" localSheetId="4">#REF!</definedName>
    <definedName name="S_D_3">#REF!</definedName>
    <definedName name="S_D_5" localSheetId="5">#REF!</definedName>
    <definedName name="S_D_5" localSheetId="4">#REF!</definedName>
    <definedName name="S_D_5">#REF!</definedName>
    <definedName name="S_D_8" localSheetId="5">#REF!</definedName>
    <definedName name="S_D_8" localSheetId="4">#REF!</definedName>
    <definedName name="S_D_8">#REF!</definedName>
    <definedName name="sa" localSheetId="5">[67]MKT!$A:$C</definedName>
    <definedName name="sa">[68]MKT!$A$1:$C$65536</definedName>
    <definedName name="sa_lah" localSheetId="5">#REF!</definedName>
    <definedName name="sa_lah" localSheetId="4">#REF!</definedName>
    <definedName name="sa_lah">#REF!</definedName>
    <definedName name="SABRYGB" localSheetId="5">#REF!</definedName>
    <definedName name="SABRYGB" localSheetId="4">#REF!</definedName>
    <definedName name="SABRYGB">#REF!</definedName>
    <definedName name="sabvy" localSheetId="5">#N/A</definedName>
    <definedName name="sabvy" localSheetId="4">#REF!</definedName>
    <definedName name="sabvy">#REF!</definedName>
    <definedName name="saed" localSheetId="5">#REF!</definedName>
    <definedName name="saed" localSheetId="4">#REF!</definedName>
    <definedName name="saed">#REF!</definedName>
    <definedName name="SAEDONG" localSheetId="5">#REF!</definedName>
    <definedName name="SAEDONG" localSheetId="4">#REF!</definedName>
    <definedName name="SAEDONG">#REF!</definedName>
    <definedName name="saedong2" localSheetId="5">#REF!</definedName>
    <definedName name="saedong2" localSheetId="4">#REF!</definedName>
    <definedName name="saedong2">#REF!</definedName>
    <definedName name="saedongabsensi" localSheetId="5">#REF!</definedName>
    <definedName name="saedongabsensi" localSheetId="4">#REF!</definedName>
    <definedName name="saedongabsensi">#REF!</definedName>
    <definedName name="saedongindonesai2" localSheetId="5">#REF!</definedName>
    <definedName name="saedongindonesai2" localSheetId="4">#REF!</definedName>
    <definedName name="saedongindonesai2">#REF!</definedName>
    <definedName name="saedongindonesia" localSheetId="5">#REF!</definedName>
    <definedName name="saedongindonesia" localSheetId="4">#REF!</definedName>
    <definedName name="saedongindonesia">#REF!</definedName>
    <definedName name="SAPBEXdnldView" hidden="1">"48CDVDAERUCGESWUZB9B7IPXM"</definedName>
    <definedName name="SAPBEXsysID" hidden="1">"BOP"</definedName>
    <definedName name="sbhry" localSheetId="5">#REF!</definedName>
    <definedName name="sbhry" localSheetId="4">#REF!</definedName>
    <definedName name="sbhry">#REF!</definedName>
    <definedName name="SDAEFADAEF" localSheetId="5">#N/A</definedName>
    <definedName name="SDAEFADAEF" localSheetId="4">#REF!</definedName>
    <definedName name="SDAEFADAEF">#REF!</definedName>
    <definedName name="SDES" localSheetId="5">#REF!</definedName>
    <definedName name="SDES" localSheetId="4">#REF!</definedName>
    <definedName name="SDES">#REF!</definedName>
    <definedName name="sdf">[69]!A_SG</definedName>
    <definedName name="sdf_4">#N/A</definedName>
    <definedName name="sdf_42">#N/A</definedName>
    <definedName name="sdf_49">#N/A</definedName>
    <definedName name="sdfgfgs" localSheetId="5">#N/A</definedName>
    <definedName name="sdfgfgs" localSheetId="4">#REF!</definedName>
    <definedName name="sdfgfgs">#REF!</definedName>
    <definedName name="SDFSSDF">[2]!AS</definedName>
    <definedName name="SDGDFJHGK" localSheetId="5">#N/A</definedName>
    <definedName name="SDGDFJHGK" localSheetId="4">#REF!</definedName>
    <definedName name="SDGDFJHGK">#REF!</definedName>
    <definedName name="SDGDJUK" localSheetId="5">#REF!</definedName>
    <definedName name="SDGDJUK" localSheetId="4">#REF!</definedName>
    <definedName name="SDGDJUK">#REF!</definedName>
    <definedName name="SDGTDH" localSheetId="5">#N/A</definedName>
    <definedName name="SDGTDH" localSheetId="4">#REF!</definedName>
    <definedName name="SDGTDH">#REF!</definedName>
    <definedName name="sdi" localSheetId="5">#REF!</definedName>
    <definedName name="sdi" localSheetId="4">#REF!</definedName>
    <definedName name="sdi">#REF!</definedName>
    <definedName name="sdi2idab" localSheetId="5">#REF!</definedName>
    <definedName name="sdi2idab" localSheetId="4">#REF!</definedName>
    <definedName name="sdi2idab">#REF!</definedName>
    <definedName name="sdi2indonesia" localSheetId="5">#REF!</definedName>
    <definedName name="sdi2indonesia" localSheetId="4">#REF!</definedName>
    <definedName name="sdi2indonesia">#REF!</definedName>
    <definedName name="sdi2rangkas" localSheetId="5">#REF!</definedName>
    <definedName name="sdi2rangkas" localSheetId="4">#REF!</definedName>
    <definedName name="sdi2rangkas">#REF!</definedName>
    <definedName name="SDIABS" localSheetId="5">#REF!</definedName>
    <definedName name="SDIABS" localSheetId="4">#REF!</definedName>
    <definedName name="SDIABS">#REF!</definedName>
    <definedName name="sdiabsenida" localSheetId="5">#REF!</definedName>
    <definedName name="sdiabsenida" localSheetId="4">#REF!</definedName>
    <definedName name="sdiabsenida">#REF!</definedName>
    <definedName name="SDIABSN" localSheetId="5">#REF!</definedName>
    <definedName name="SDIABSN" localSheetId="4">#REF!</definedName>
    <definedName name="SDIABSN">#REF!</definedName>
    <definedName name="SDIABSNF" localSheetId="5">#REF!</definedName>
    <definedName name="SDIABSNF" localSheetId="4">#REF!</definedName>
    <definedName name="SDIABSNF">#REF!</definedName>
    <definedName name="SDIABSNIDA" localSheetId="5">#REF!</definedName>
    <definedName name="SDIABSNIDA" localSheetId="4">#REF!</definedName>
    <definedName name="SDIABSNIDA">#REF!</definedName>
    <definedName name="SDIIDA22" localSheetId="5">#REF!</definedName>
    <definedName name="SDIIDA22" localSheetId="4">#REF!</definedName>
    <definedName name="SDIIDA22">#REF!</definedName>
    <definedName name="SDIIDAAAAAA" localSheetId="5">#REF!</definedName>
    <definedName name="SDIIDAAAAAA" localSheetId="4">#REF!</definedName>
    <definedName name="SDIIDAAAAAA">#REF!</definedName>
    <definedName name="sdirangkas" localSheetId="5">#REF!</definedName>
    <definedName name="sdirangkas" localSheetId="4">#REF!</definedName>
    <definedName name="sdirangkas">#REF!</definedName>
    <definedName name="sds" localSheetId="5">#REF!</definedName>
    <definedName name="sds" localSheetId="4">#REF!</definedName>
    <definedName name="sds">#REF!</definedName>
    <definedName name="SDSDW" localSheetId="5">#REF!</definedName>
    <definedName name="SDSDW" localSheetId="4">#REF!</definedName>
    <definedName name="SDSDW">#REF!</definedName>
    <definedName name="sdsfsdfsdf" localSheetId="5">#REF!</definedName>
    <definedName name="sdsfsdfsdf" localSheetId="4">#REF!</definedName>
    <definedName name="sdsfsdfsdf">#REF!</definedName>
    <definedName name="Season">'[47]Look Up'!$D$2:$D$7</definedName>
    <definedName name="sebel" localSheetId="5">#REF!</definedName>
    <definedName name="sebel" localSheetId="4">#REF!</definedName>
    <definedName name="sebel">#REF!</definedName>
    <definedName name="SED" localSheetId="5">#REF!</definedName>
    <definedName name="SED" localSheetId="4">#REF!</definedName>
    <definedName name="SED">#REF!</definedName>
    <definedName name="SED_12">"$#REF!.$H$#REF!"</definedName>
    <definedName name="SED_13">"$#REF!.$H$#REF!"</definedName>
    <definedName name="SED_14">"$#REF!.$H$#REF!"</definedName>
    <definedName name="SED_3" localSheetId="5">#REF!</definedName>
    <definedName name="SED_3" localSheetId="4">#REF!</definedName>
    <definedName name="SED_3">#REF!</definedName>
    <definedName name="SED_4" localSheetId="5">#REF!</definedName>
    <definedName name="SED_4" localSheetId="4">#REF!</definedName>
    <definedName name="SED_4">#REF!</definedName>
    <definedName name="SED_6">"$#REF!.$H$#REF!"</definedName>
    <definedName name="SED_7">"$#REF!.$H$#REF!"</definedName>
    <definedName name="SED_8">"$#REF!.$H$#REF!"</definedName>
    <definedName name="SENA" localSheetId="5">#REF!</definedName>
    <definedName name="SENA" localSheetId="4">#REF!</definedName>
    <definedName name="SENA">#REF!</definedName>
    <definedName name="sewing" localSheetId="5">#REF!</definedName>
    <definedName name="sewing" localSheetId="4">#REF!</definedName>
    <definedName name="sewing">#REF!</definedName>
    <definedName name="SF" localSheetId="5">#REF!</definedName>
    <definedName name="SF" localSheetId="4">#REF!</definedName>
    <definedName name="SF">#REF!</definedName>
    <definedName name="SFGBRBG" localSheetId="5">#N/A</definedName>
    <definedName name="SFGBRBG" localSheetId="4">#REF!</definedName>
    <definedName name="SFGBRBG">#REF!</definedName>
    <definedName name="SFGH">'[42]9.11 '!SFGH</definedName>
    <definedName name="sfsd" localSheetId="5">#REF!</definedName>
    <definedName name="sfsd" localSheetId="4">#REF!</definedName>
    <definedName name="sfsd">#REF!</definedName>
    <definedName name="SFSDF" localSheetId="5">#REF!</definedName>
    <definedName name="SFSDF" localSheetId="4">#REF!</definedName>
    <definedName name="SFSDF">#REF!</definedName>
    <definedName name="SFSDF_3" localSheetId="5">#REF!</definedName>
    <definedName name="SFSDF_3" localSheetId="4">#REF!</definedName>
    <definedName name="SFSDF_3">#REF!</definedName>
    <definedName name="SFSDF_4" localSheetId="5">#REF!</definedName>
    <definedName name="SFSDF_4" localSheetId="4">#REF!</definedName>
    <definedName name="SFSDF_4">#REF!</definedName>
    <definedName name="SFSDS" hidden="1">#N/A</definedName>
    <definedName name="SGCBB">'[42]9.11 '!SGCBB</definedName>
    <definedName name="SGEDTRG" localSheetId="5">#REF!</definedName>
    <definedName name="SGEDTRG" localSheetId="4">#REF!</definedName>
    <definedName name="SGEDTRG">#REF!</definedName>
    <definedName name="SGHGH" localSheetId="5">#REF!</definedName>
    <definedName name="SGHGH" localSheetId="4">#REF!</definedName>
    <definedName name="SGHGH">#REF!</definedName>
    <definedName name="SGHS" localSheetId="5">#N/A</definedName>
    <definedName name="SGHS" localSheetId="4">#REF!</definedName>
    <definedName name="SGHS">#REF!</definedName>
    <definedName name="sgyr">BlankMacro1</definedName>
    <definedName name="shdfg" localSheetId="5">#REF!</definedName>
    <definedName name="shdfg" localSheetId="4">#REF!</definedName>
    <definedName name="shdfg">#REF!</definedName>
    <definedName name="sheet" localSheetId="5">#REF!</definedName>
    <definedName name="sheet" localSheetId="4">#REF!</definedName>
    <definedName name="sheet">#REF!</definedName>
    <definedName name="sheet_5" localSheetId="5">#REF!</definedName>
    <definedName name="sheet_5" localSheetId="4">#REF!</definedName>
    <definedName name="sheet_5">#REF!</definedName>
    <definedName name="sheet_5_1">#N/A</definedName>
    <definedName name="sheet_5_5" localSheetId="5">#REF!</definedName>
    <definedName name="sheet_5_5" localSheetId="4">#REF!</definedName>
    <definedName name="sheet_5_5">#REF!</definedName>
    <definedName name="sheet_8" localSheetId="5">#REF!</definedName>
    <definedName name="sheet_8" localSheetId="4">#REF!</definedName>
    <definedName name="sheet_8">#REF!</definedName>
    <definedName name="SHEET10">[70]입금!#REF!</definedName>
    <definedName name="SHG" localSheetId="5">#REF!</definedName>
    <definedName name="SHG" localSheetId="4">#REF!</definedName>
    <definedName name="SHG">#REF!</definedName>
    <definedName name="SHGH" localSheetId="5">#N/A</definedName>
    <definedName name="SHGH" localSheetId="4">#REF!</definedName>
    <definedName name="SHGH">#REF!</definedName>
    <definedName name="Shift" localSheetId="5">#REF!</definedName>
    <definedName name="Shift" localSheetId="4">#REF!</definedName>
    <definedName name="Shift">#REF!</definedName>
    <definedName name="Ship_Qty" localSheetId="5">#REF!</definedName>
    <definedName name="Ship_Qty" localSheetId="4">#REF!</definedName>
    <definedName name="Ship_Qty">#REF!</definedName>
    <definedName name="Ship_Qty_12" localSheetId="5">#REF!</definedName>
    <definedName name="Ship_Qty_12" localSheetId="4">#REF!</definedName>
    <definedName name="Ship_Qty_12">#REF!</definedName>
    <definedName name="Ship_Qty_12_5" localSheetId="5">#REF!</definedName>
    <definedName name="Ship_Qty_12_5" localSheetId="4">#REF!</definedName>
    <definedName name="Ship_Qty_12_5">#REF!</definedName>
    <definedName name="Ship_Qty_12_5_5" localSheetId="5">#REF!</definedName>
    <definedName name="Ship_Qty_12_5_5" localSheetId="4">#REF!</definedName>
    <definedName name="Ship_Qty_12_5_5">#REF!</definedName>
    <definedName name="Ship_Qty_12_8" localSheetId="5">#REF!</definedName>
    <definedName name="Ship_Qty_12_8" localSheetId="4">#REF!</definedName>
    <definedName name="Ship_Qty_12_8">#REF!</definedName>
    <definedName name="Ship_Qty_13" localSheetId="5">#REF!</definedName>
    <definedName name="Ship_Qty_13" localSheetId="4">#REF!</definedName>
    <definedName name="Ship_Qty_13">#REF!</definedName>
    <definedName name="Ship_Qty_13_5" localSheetId="5">#REF!</definedName>
    <definedName name="Ship_Qty_13_5" localSheetId="4">#REF!</definedName>
    <definedName name="Ship_Qty_13_5">#REF!</definedName>
    <definedName name="Ship_Qty_13_5_5" localSheetId="5">#REF!</definedName>
    <definedName name="Ship_Qty_13_5_5" localSheetId="4">#REF!</definedName>
    <definedName name="Ship_Qty_13_5_5">#REF!</definedName>
    <definedName name="Ship_Qty_13_8" localSheetId="5">#REF!</definedName>
    <definedName name="Ship_Qty_13_8" localSheetId="4">#REF!</definedName>
    <definedName name="Ship_Qty_13_8">#REF!</definedName>
    <definedName name="Ship_Qty_14" localSheetId="5">#REF!</definedName>
    <definedName name="Ship_Qty_14" localSheetId="4">#REF!</definedName>
    <definedName name="Ship_Qty_14">#REF!</definedName>
    <definedName name="Ship_Qty_14_5" localSheetId="5">#REF!</definedName>
    <definedName name="Ship_Qty_14_5" localSheetId="4">#REF!</definedName>
    <definedName name="Ship_Qty_14_5">#REF!</definedName>
    <definedName name="Ship_Qty_14_5_5" localSheetId="5">#REF!</definedName>
    <definedName name="Ship_Qty_14_5_5" localSheetId="4">#REF!</definedName>
    <definedName name="Ship_Qty_14_5_5">#REF!</definedName>
    <definedName name="Ship_Qty_14_8" localSheetId="5">#REF!</definedName>
    <definedName name="Ship_Qty_14_8" localSheetId="4">#REF!</definedName>
    <definedName name="Ship_Qty_14_8">#REF!</definedName>
    <definedName name="Ship_Qty_3" localSheetId="5">#REF!</definedName>
    <definedName name="Ship_Qty_3" localSheetId="4">#REF!</definedName>
    <definedName name="Ship_Qty_3">#REF!</definedName>
    <definedName name="Ship_Qty_5" localSheetId="5">#REF!</definedName>
    <definedName name="Ship_Qty_5" localSheetId="4">#REF!</definedName>
    <definedName name="Ship_Qty_5">#REF!</definedName>
    <definedName name="Ship_Qty_8" localSheetId="5">#REF!</definedName>
    <definedName name="Ship_Qty_8" localSheetId="4">#REF!</definedName>
    <definedName name="Ship_Qty_8">#REF!</definedName>
    <definedName name="ShoeCleaning" localSheetId="5">#REF!</definedName>
    <definedName name="ShoeCleaning" localSheetId="4">#REF!</definedName>
    <definedName name="ShoeCleaning">#REF!</definedName>
    <definedName name="ShoeColor" localSheetId="5">#REF!</definedName>
    <definedName name="ShoeColor" localSheetId="4">#REF!</definedName>
    <definedName name="ShoeColor">#REF!</definedName>
    <definedName name="ShoeColor_5" localSheetId="5">#REF!</definedName>
    <definedName name="ShoeColor_5" localSheetId="4">#REF!</definedName>
    <definedName name="ShoeColor_5">#REF!</definedName>
    <definedName name="ShoeColor_8" localSheetId="5">#REF!</definedName>
    <definedName name="ShoeColor_8" localSheetId="4">#REF!</definedName>
    <definedName name="ShoeColor_8">#REF!</definedName>
    <definedName name="ShoeName" localSheetId="5">#REF!</definedName>
    <definedName name="ShoeName" localSheetId="4">#REF!</definedName>
    <definedName name="ShoeName">#REF!</definedName>
    <definedName name="ShoeName_5" localSheetId="5">#REF!</definedName>
    <definedName name="ShoeName_5" localSheetId="4">#REF!</definedName>
    <definedName name="ShoeName_5">#REF!</definedName>
    <definedName name="ShoeName_8" localSheetId="5">#REF!</definedName>
    <definedName name="ShoeName_8" localSheetId="4">#REF!</definedName>
    <definedName name="ShoeName_8">#REF!</definedName>
    <definedName name="shqeg" localSheetId="5">#REF!</definedName>
    <definedName name="shqeg" localSheetId="4">#REF!</definedName>
    <definedName name="shqeg">#REF!</definedName>
    <definedName name="SHT" localSheetId="5" hidden="1">#REF!</definedName>
    <definedName name="SHT" localSheetId="4" hidden="1">#REF!</definedName>
    <definedName name="SHT" hidden="1">#REF!</definedName>
    <definedName name="SHYGHGF" localSheetId="5">#N/A</definedName>
    <definedName name="SHYGHGF" localSheetId="4">#REF!</definedName>
    <definedName name="SHYGHGF">#REF!</definedName>
    <definedName name="sidiaabs" localSheetId="5">#REF!</definedName>
    <definedName name="sidiaabs" localSheetId="4">#REF!</definedName>
    <definedName name="sidiaabs">#REF!</definedName>
    <definedName name="Sigma" localSheetId="5">#REF!</definedName>
    <definedName name="Sigma" localSheetId="4">#REF!</definedName>
    <definedName name="Sigma">#REF!</definedName>
    <definedName name="SILHOUETTE" localSheetId="5">[32]Tables!$A$58:$A$60</definedName>
    <definedName name="SILHOUETTE">[33]Tables!$A$58:$A$60</definedName>
    <definedName name="SILO">[71]Tables!#REF!</definedName>
    <definedName name="SIX" localSheetId="5">#REF!</definedName>
    <definedName name="SIX" localSheetId="4">#REF!</definedName>
    <definedName name="SIX">#REF!</definedName>
    <definedName name="SIX_12">"$#REF!.$A$#REF!:$F$#REF!"</definedName>
    <definedName name="SIX_13">"$#REF!.$A$#REF!:$F$#REF!"</definedName>
    <definedName name="SIX_14">"$#REF!.$A$#REF!:$F$#REF!"</definedName>
    <definedName name="SIX_3" localSheetId="5">#REF!</definedName>
    <definedName name="SIX_3" localSheetId="4">#REF!</definedName>
    <definedName name="SIX_3">#REF!</definedName>
    <definedName name="SIX_4" localSheetId="5">#REF!</definedName>
    <definedName name="SIX_4" localSheetId="4">#REF!</definedName>
    <definedName name="SIX_4">#REF!</definedName>
    <definedName name="SIX_6">"$#REF!.$A$#REF!:$F$#REF!"</definedName>
    <definedName name="SIX_7">"$#REF!.$A$#REF!:$F$#REF!"</definedName>
    <definedName name="SIX_8">"$#REF!.$A$#REF!:$F$#REF!"</definedName>
    <definedName name="SizeTable">[24]Sum!$B$6:$C$34</definedName>
    <definedName name="SizeTable_3">[24]Sum!$B$6:$C$34</definedName>
    <definedName name="SizeTable_4">[24]Sum!$B$6:$C$34</definedName>
    <definedName name="SizeTable_5" localSheetId="5">#REF!</definedName>
    <definedName name="SizeTable_5" localSheetId="4">#REF!</definedName>
    <definedName name="SizeTable_5">#REF!</definedName>
    <definedName name="SizeTable_8" localSheetId="5">#REF!</definedName>
    <definedName name="SizeTable_8" localSheetId="4">#REF!</definedName>
    <definedName name="SizeTable_8">#REF!</definedName>
    <definedName name="SizeUp" localSheetId="5">#REF!</definedName>
    <definedName name="SizeUp" localSheetId="4">#REF!</definedName>
    <definedName name="SizeUp">#REF!</definedName>
    <definedName name="SizeUp_12">"$#REF!.$B$40:$D$68"</definedName>
    <definedName name="SizeUp_13">"$#REF!.$B$40:$D$68"</definedName>
    <definedName name="SizeUp_14">"$#REF!.$B$40:$D$68"</definedName>
    <definedName name="SizeUp_3" localSheetId="5">#REF!</definedName>
    <definedName name="SizeUp_3" localSheetId="4">#REF!</definedName>
    <definedName name="SizeUp_3">#REF!</definedName>
    <definedName name="SizeUp_6">"$#REF!.$B$40:$D$68"</definedName>
    <definedName name="SizeUp_7">"$#REF!.$B$40:$D$68"</definedName>
    <definedName name="SizeUp_8">"$#REF!.$B$40:$D$68"</definedName>
    <definedName name="SK" localSheetId="5">#REF!</definedName>
    <definedName name="SK" localSheetId="4">#REF!</definedName>
    <definedName name="SK">#REF!</definedName>
    <definedName name="SK_5" localSheetId="5">#REF!</definedName>
    <definedName name="SK_5" localSheetId="4">#REF!</definedName>
    <definedName name="SK_5">#REF!</definedName>
    <definedName name="SK_5_1">#N/A</definedName>
    <definedName name="SK_5_5" localSheetId="5">#REF!</definedName>
    <definedName name="SK_5_5" localSheetId="4">#REF!</definedName>
    <definedName name="SK_5_5">#REF!</definedName>
    <definedName name="SK_8" localSheetId="5">#REF!</definedName>
    <definedName name="SK_8" localSheetId="4">#REF!</definedName>
    <definedName name="SK_8">#REF!</definedName>
    <definedName name="SKU" localSheetId="5">#REF!</definedName>
    <definedName name="SKU" localSheetId="4">#REF!</definedName>
    <definedName name="SKU">#REF!</definedName>
    <definedName name="SKU_5" localSheetId="5">#REF!</definedName>
    <definedName name="SKU_5" localSheetId="4">#REF!</definedName>
    <definedName name="SKU_5">#REF!</definedName>
    <definedName name="SKU_8" localSheetId="5">#REF!</definedName>
    <definedName name="SKU_8" localSheetId="4">#REF!</definedName>
    <definedName name="SKU_8">#REF!</definedName>
    <definedName name="slkjfsjh">[2]!slkjfsjh</definedName>
    <definedName name="snhsb" localSheetId="5">#REF!</definedName>
    <definedName name="snhsb" localSheetId="4">#REF!</definedName>
    <definedName name="snhsb">#REF!</definedName>
    <definedName name="SOCK">[18]!A_ANALYSIS</definedName>
    <definedName name="SOCK_4">#N/A</definedName>
    <definedName name="SOCK_42">#N/A</definedName>
    <definedName name="SOCK_49">#N/A</definedName>
    <definedName name="SOCK_5">"'smb://Yekti/hermin/My%252520Documents/hermin/My%252520Documents/new%252520CSS%252520PU%252520form(95).xls'#A_ANALYSIS"</definedName>
    <definedName name="SOCK_8">"'smb://Yekti/hermin/My%2520Documents/hermin/My%2520Documents/new%2520CSS%2520PU%2520form(95).xls'#A_ANALYSIS"</definedName>
    <definedName name="sop">BlankMacro1</definedName>
    <definedName name="SORCHEAD" localSheetId="5">#REF!</definedName>
    <definedName name="SORCHEAD" localSheetId="4">#REF!</definedName>
    <definedName name="SORCHEAD">#REF!</definedName>
    <definedName name="SORCSPEC" localSheetId="5">#REF!</definedName>
    <definedName name="SORCSPEC" localSheetId="4">#REF!</definedName>
    <definedName name="SORCSPEC">#REF!</definedName>
    <definedName name="spec" localSheetId="5">#REF!</definedName>
    <definedName name="spec" localSheetId="4">#REF!</definedName>
    <definedName name="spec">#REF!</definedName>
    <definedName name="spec_5" localSheetId="5">#REF!</definedName>
    <definedName name="spec_5" localSheetId="4">#REF!</definedName>
    <definedName name="spec_5">#REF!</definedName>
    <definedName name="spec_8" localSheetId="5">#REF!</definedName>
    <definedName name="spec_8" localSheetId="4">#REF!</definedName>
    <definedName name="spec_8">#REF!</definedName>
    <definedName name="SPECBODY" localSheetId="5">#REF!</definedName>
    <definedName name="SPECBODY" localSheetId="4">#REF!</definedName>
    <definedName name="SPECBODY">#REF!</definedName>
    <definedName name="SpecialPrice" localSheetId="5" hidden="1">#REF!</definedName>
    <definedName name="SpecialPrice" localSheetId="4" hidden="1">#REF!</definedName>
    <definedName name="SpecialPrice" hidden="1">#REF!</definedName>
    <definedName name="ss" localSheetId="5">#REF!</definedName>
    <definedName name="ss" localSheetId="4">#REF!</definedName>
    <definedName name="ss">#REF!</definedName>
    <definedName name="ss_12">NA()</definedName>
    <definedName name="ss_12_5">NA()</definedName>
    <definedName name="ss_12_8">NA()</definedName>
    <definedName name="ss_13">NA()</definedName>
    <definedName name="ss_13_5">NA()</definedName>
    <definedName name="ss_13_8">NA()</definedName>
    <definedName name="ss_14">NA()</definedName>
    <definedName name="ss_14_5">NA()</definedName>
    <definedName name="ss_14_8">NA()</definedName>
    <definedName name="ss_3">"'smb://Ayu/D/My%2520Documents/new%2520CSS%2520PU%2520form(95).xls'#A_SG"</definedName>
    <definedName name="ss_5">"'smb://Walter/upper/TECH/MERRY/178049A.XLS'#直線55_Click"</definedName>
    <definedName name="ss_6">NA()</definedName>
    <definedName name="ss_6_5">NA()</definedName>
    <definedName name="ss_6_8">NA()</definedName>
    <definedName name="ss_7">NA()</definedName>
    <definedName name="ss_7_5">NA()</definedName>
    <definedName name="ss_7_8">NA()</definedName>
    <definedName name="ss_8">"'smb://Walter/upper/TECH/MERRY/178049A.XLS'#直線55_Click"</definedName>
    <definedName name="ss_8_5">NA()</definedName>
    <definedName name="ss_8_8">NA()</definedName>
    <definedName name="ssfd" localSheetId="5">#REF!</definedName>
    <definedName name="ssfd" localSheetId="4">#REF!</definedName>
    <definedName name="ssfd">#REF!</definedName>
    <definedName name="SSFSSDF">#REF!</definedName>
    <definedName name="SSS" localSheetId="5">#REF!</definedName>
    <definedName name="SSS" localSheetId="4">#REF!</definedName>
    <definedName name="SSS">#REF!</definedName>
    <definedName name="sssss" localSheetId="5">#REF!</definedName>
    <definedName name="sssss" localSheetId="4">#REF!</definedName>
    <definedName name="sssss">#REF!</definedName>
    <definedName name="SSSSSS" localSheetId="5">#REF!</definedName>
    <definedName name="SSSSSS" localSheetId="4">#REF!</definedName>
    <definedName name="SSSSSS">#REF!</definedName>
    <definedName name="State" localSheetId="5">#N/A</definedName>
    <definedName name="State" localSheetId="4">#REF!</definedName>
    <definedName name="State">#REF!</definedName>
    <definedName name="Status" localSheetId="5">#REF!</definedName>
    <definedName name="Status" localSheetId="4">#REF!</definedName>
    <definedName name="Status">#REF!</definedName>
    <definedName name="STBHT" localSheetId="5">#N/A</definedName>
    <definedName name="STBHT" localSheetId="4">#REF!</definedName>
    <definedName name="STBHT">#REF!</definedName>
    <definedName name="stc" localSheetId="5">#REF!</definedName>
    <definedName name="stc" localSheetId="4">#REF!</definedName>
    <definedName name="stc">#REF!</definedName>
    <definedName name="stc_12">"$#REF!.$#REF!$#REF!"</definedName>
    <definedName name="stc_12_5">"$#REF!.$#REF!$#REF!"</definedName>
    <definedName name="stc_13">"$#REF!.$#REF!$#REF!"</definedName>
    <definedName name="stc_13_5">"$#REF!.$#REF!$#REF!"</definedName>
    <definedName name="stc_14">"$#REF!.$#REF!$#REF!"</definedName>
    <definedName name="stc_14_5">"$#REF!.$#REF!$#REF!"</definedName>
    <definedName name="stc_3">'[70]Cutting Dies '!#REF!</definedName>
    <definedName name="stc_3_5" localSheetId="5">#REF!</definedName>
    <definedName name="stc_3_5" localSheetId="4">#REF!</definedName>
    <definedName name="stc_3_5">#REF!</definedName>
    <definedName name="stc_4">'[70]Cutting Dies '!#REF!</definedName>
    <definedName name="stc_42">'[72]Cutting Dies '!#REF!</definedName>
    <definedName name="stc_49">'[72]Cutting Dies '!#REF!</definedName>
    <definedName name="stc_5" localSheetId="5">#REF!</definedName>
    <definedName name="stc_5" localSheetId="4">#REF!</definedName>
    <definedName name="stc_5">#REF!</definedName>
    <definedName name="stc_5_5" localSheetId="5">#REF!</definedName>
    <definedName name="stc_5_5" localSheetId="4">#REF!</definedName>
    <definedName name="stc_5_5">#REF!</definedName>
    <definedName name="stc_6">"$#REF!.$#REF!$#REF!"</definedName>
    <definedName name="stc_6_5">"$#REF!.$#REF!$#REF!"</definedName>
    <definedName name="stc_7">"$#REF!.$#REF!$#REF!"</definedName>
    <definedName name="stc_7_5">"$#REF!.$#REF!$#REF!"</definedName>
    <definedName name="stc_8" localSheetId="5">#REF!</definedName>
    <definedName name="stc_8" localSheetId="4">#REF!</definedName>
    <definedName name="stc_8">#REF!</definedName>
    <definedName name="stc_8_5">"$#REF!.$#REF!$#REF!"</definedName>
    <definedName name="Stfit">[73]!A_ANALYSIS</definedName>
    <definedName name="Stfit_4">#N/A</definedName>
    <definedName name="Stfit_42">#N/A</definedName>
    <definedName name="Stfit_49">#N/A</definedName>
    <definedName name="stitch" localSheetId="5">#REF!</definedName>
    <definedName name="stitch" localSheetId="4">#REF!</definedName>
    <definedName name="stitch">#REF!</definedName>
    <definedName name="Stitch_Begin" localSheetId="5">#REF!</definedName>
    <definedName name="Stitch_Begin" localSheetId="4">#REF!</definedName>
    <definedName name="Stitch_Begin">#REF!</definedName>
    <definedName name="Stitch_Begin_12" localSheetId="5">#REF!</definedName>
    <definedName name="Stitch_Begin_12" localSheetId="4">#REF!</definedName>
    <definedName name="Stitch_Begin_12">#REF!</definedName>
    <definedName name="Stitch_Begin_12_5" localSheetId="5">#REF!</definedName>
    <definedName name="Stitch_Begin_12_5" localSheetId="4">#REF!</definedName>
    <definedName name="Stitch_Begin_12_5">#REF!</definedName>
    <definedName name="Stitch_Begin_12_5_5" localSheetId="5">#REF!</definedName>
    <definedName name="Stitch_Begin_12_5_5" localSheetId="4">#REF!</definedName>
    <definedName name="Stitch_Begin_12_5_5">#REF!</definedName>
    <definedName name="Stitch_Begin_12_8" localSheetId="5">#REF!</definedName>
    <definedName name="Stitch_Begin_12_8" localSheetId="4">#REF!</definedName>
    <definedName name="Stitch_Begin_12_8">#REF!</definedName>
    <definedName name="Stitch_Begin_13" localSheetId="5">#REF!</definedName>
    <definedName name="Stitch_Begin_13" localSheetId="4">#REF!</definedName>
    <definedName name="Stitch_Begin_13">#REF!</definedName>
    <definedName name="Stitch_Begin_13_5" localSheetId="5">#REF!</definedName>
    <definedName name="Stitch_Begin_13_5" localSheetId="4">#REF!</definedName>
    <definedName name="Stitch_Begin_13_5">#REF!</definedName>
    <definedName name="Stitch_Begin_13_5_5" localSheetId="5">#REF!</definedName>
    <definedName name="Stitch_Begin_13_5_5" localSheetId="4">#REF!</definedName>
    <definedName name="Stitch_Begin_13_5_5">#REF!</definedName>
    <definedName name="Stitch_Begin_13_8" localSheetId="5">#REF!</definedName>
    <definedName name="Stitch_Begin_13_8" localSheetId="4">#REF!</definedName>
    <definedName name="Stitch_Begin_13_8">#REF!</definedName>
    <definedName name="Stitch_Begin_14" localSheetId="5">#REF!</definedName>
    <definedName name="Stitch_Begin_14" localSheetId="4">#REF!</definedName>
    <definedName name="Stitch_Begin_14">#REF!</definedName>
    <definedName name="Stitch_Begin_14_5" localSheetId="5">#REF!</definedName>
    <definedName name="Stitch_Begin_14_5" localSheetId="4">#REF!</definedName>
    <definedName name="Stitch_Begin_14_5">#REF!</definedName>
    <definedName name="Stitch_Begin_14_5_5" localSheetId="5">#REF!</definedName>
    <definedName name="Stitch_Begin_14_5_5" localSheetId="4">#REF!</definedName>
    <definedName name="Stitch_Begin_14_5_5">#REF!</definedName>
    <definedName name="Stitch_Begin_14_8" localSheetId="5">#REF!</definedName>
    <definedName name="Stitch_Begin_14_8" localSheetId="4">#REF!</definedName>
    <definedName name="Stitch_Begin_14_8">#REF!</definedName>
    <definedName name="Stitch_Begin_3" localSheetId="5">#REF!</definedName>
    <definedName name="Stitch_Begin_3" localSheetId="4">#REF!</definedName>
    <definedName name="Stitch_Begin_3">#REF!</definedName>
    <definedName name="Stitch_Begin_5" localSheetId="5">#REF!</definedName>
    <definedName name="Stitch_Begin_5" localSheetId="4">#REF!</definedName>
    <definedName name="Stitch_Begin_5">#REF!</definedName>
    <definedName name="Stitch_Begin_8" localSheetId="5">#REF!</definedName>
    <definedName name="Stitch_Begin_8" localSheetId="4">#REF!</definedName>
    <definedName name="Stitch_Begin_8">#REF!</definedName>
    <definedName name="Stitch_End" localSheetId="5">#REF!</definedName>
    <definedName name="Stitch_End" localSheetId="4">#REF!</definedName>
    <definedName name="Stitch_End">#REF!</definedName>
    <definedName name="Stitch_End_12" localSheetId="5">#REF!</definedName>
    <definedName name="Stitch_End_12" localSheetId="4">#REF!</definedName>
    <definedName name="Stitch_End_12">#REF!</definedName>
    <definedName name="Stitch_End_12_5" localSheetId="5">#REF!</definedName>
    <definedName name="Stitch_End_12_5" localSheetId="4">#REF!</definedName>
    <definedName name="Stitch_End_12_5">#REF!</definedName>
    <definedName name="Stitch_End_12_5_5" localSheetId="5">#REF!</definedName>
    <definedName name="Stitch_End_12_5_5" localSheetId="4">#REF!</definedName>
    <definedName name="Stitch_End_12_5_5">#REF!</definedName>
    <definedName name="Stitch_End_12_8" localSheetId="5">#REF!</definedName>
    <definedName name="Stitch_End_12_8" localSheetId="4">#REF!</definedName>
    <definedName name="Stitch_End_12_8">#REF!</definedName>
    <definedName name="Stitch_End_13" localSheetId="5">#REF!</definedName>
    <definedName name="Stitch_End_13" localSheetId="4">#REF!</definedName>
    <definedName name="Stitch_End_13">#REF!</definedName>
    <definedName name="Stitch_End_13_5" localSheetId="5">#REF!</definedName>
    <definedName name="Stitch_End_13_5" localSheetId="4">#REF!</definedName>
    <definedName name="Stitch_End_13_5">#REF!</definedName>
    <definedName name="Stitch_End_13_5_5" localSheetId="5">#REF!</definedName>
    <definedName name="Stitch_End_13_5_5" localSheetId="4">#REF!</definedName>
    <definedName name="Stitch_End_13_5_5">#REF!</definedName>
    <definedName name="Stitch_End_13_8" localSheetId="5">#REF!</definedName>
    <definedName name="Stitch_End_13_8" localSheetId="4">#REF!</definedName>
    <definedName name="Stitch_End_13_8">#REF!</definedName>
    <definedName name="Stitch_End_14" localSheetId="5">#REF!</definedName>
    <definedName name="Stitch_End_14" localSheetId="4">#REF!</definedName>
    <definedName name="Stitch_End_14">#REF!</definedName>
    <definedName name="Stitch_End_14_5" localSheetId="5">#REF!</definedName>
    <definedName name="Stitch_End_14_5" localSheetId="4">#REF!</definedName>
    <definedName name="Stitch_End_14_5">#REF!</definedName>
    <definedName name="Stitch_End_14_5_5" localSheetId="5">#REF!</definedName>
    <definedName name="Stitch_End_14_5_5" localSheetId="4">#REF!</definedName>
    <definedName name="Stitch_End_14_5_5">#REF!</definedName>
    <definedName name="Stitch_End_14_8" localSheetId="5">#REF!</definedName>
    <definedName name="Stitch_End_14_8" localSheetId="4">#REF!</definedName>
    <definedName name="Stitch_End_14_8">#REF!</definedName>
    <definedName name="Stitch_End_3" localSheetId="5">#REF!</definedName>
    <definedName name="Stitch_End_3" localSheetId="4">#REF!</definedName>
    <definedName name="Stitch_End_3">#REF!</definedName>
    <definedName name="Stitch_End_5" localSheetId="5">#REF!</definedName>
    <definedName name="Stitch_End_5" localSheetId="4">#REF!</definedName>
    <definedName name="Stitch_End_5">#REF!</definedName>
    <definedName name="Stitch_End_8" localSheetId="5">#REF!</definedName>
    <definedName name="Stitch_End_8" localSheetId="4">#REF!</definedName>
    <definedName name="Stitch_End_8">#REF!</definedName>
    <definedName name="stitch2">#N/A</definedName>
    <definedName name="Stitching" localSheetId="5">#REF!</definedName>
    <definedName name="Stitching" localSheetId="4">#REF!</definedName>
    <definedName name="Stitching">#REF!</definedName>
    <definedName name="stngn" localSheetId="5">#REF!</definedName>
    <definedName name="stngn" localSheetId="4">#REF!</definedName>
    <definedName name="stngn">#REF!</definedName>
    <definedName name="stockfit" localSheetId="5">#REF!</definedName>
    <definedName name="stockfit" localSheetId="4">#REF!</definedName>
    <definedName name="stockfit">#REF!</definedName>
    <definedName name="street" localSheetId="5">#REF!</definedName>
    <definedName name="street" localSheetId="4">#REF!</definedName>
    <definedName name="street">#REF!</definedName>
    <definedName name="SubA" localSheetId="5">[74]Materials!$M$30</definedName>
    <definedName name="SubA">[75]Materials!$M$30</definedName>
    <definedName name="SubB" localSheetId="5">[74]Materials!$M$36</definedName>
    <definedName name="SubB">[75]Materials!$M$36</definedName>
    <definedName name="SubC" localSheetId="5">[74]Materials!$M$40</definedName>
    <definedName name="SubC">[75]Materials!$M$40</definedName>
    <definedName name="SubD" localSheetId="5">[74]Materials!$M$44</definedName>
    <definedName name="SubD">[75]Materials!$M$44</definedName>
    <definedName name="SubE" localSheetId="5">[74]Materials!$M$54</definedName>
    <definedName name="SubE">[75]Materials!$M$54</definedName>
    <definedName name="SubF">[76]Materials!#REF!</definedName>
    <definedName name="sum">BlankMacro1</definedName>
    <definedName name="sumari" localSheetId="4">#REF!</definedName>
    <definedName name="sumari">#REF!</definedName>
    <definedName name="summary">BlankMacro1</definedName>
    <definedName name="SWWWWE" localSheetId="5">#REF!</definedName>
    <definedName name="SWWWWE" localSheetId="4">#REF!</definedName>
    <definedName name="SWWWWE">#REF!</definedName>
    <definedName name="SzTable" localSheetId="5">#REF!</definedName>
    <definedName name="SzTable" localSheetId="4">#REF!</definedName>
    <definedName name="SzTable">#REF!</definedName>
    <definedName name="SzTable_12">"$#REF!.$O$40:$R$68"</definedName>
    <definedName name="SzTable_13">"$#REF!.$O$40:$R$68"</definedName>
    <definedName name="SzTable_14">"$#REF!.$O$40:$R$68"</definedName>
    <definedName name="SzTable_3" localSheetId="5">#REF!</definedName>
    <definedName name="SzTable_3" localSheetId="4">#REF!</definedName>
    <definedName name="SzTable_3">#REF!</definedName>
    <definedName name="SzTable_6">"$#REF!.$O$40:$R$68"</definedName>
    <definedName name="SzTable_7">"$#REF!.$O$40:$R$68"</definedName>
    <definedName name="SzTable_8">"$#REF!.$O$40:$R$68"</definedName>
    <definedName name="t">'[27]LOP Tool'!#REF!</definedName>
    <definedName name="T2AMOUNT0301" localSheetId="5">#REF!</definedName>
    <definedName name="T2AMOUNT0301" localSheetId="4">#REF!</definedName>
    <definedName name="T2AMOUNT0301">#REF!</definedName>
    <definedName name="T2AMOUNT0302" localSheetId="5">#REF!</definedName>
    <definedName name="T2AMOUNT0302" localSheetId="4">#REF!</definedName>
    <definedName name="T2AMOUNT0302">#REF!</definedName>
    <definedName name="T2AMOUNT0303" localSheetId="5">#REF!</definedName>
    <definedName name="T2AMOUNT0303" localSheetId="4">#REF!</definedName>
    <definedName name="T2AMOUNT0303">#REF!</definedName>
    <definedName name="T2AMOUNT0304" localSheetId="5">#REF!</definedName>
    <definedName name="T2AMOUNT0304" localSheetId="4">#REF!</definedName>
    <definedName name="T2AMOUNT0304">#REF!</definedName>
    <definedName name="T2AMOUNT0305" localSheetId="5">#REF!</definedName>
    <definedName name="T2AMOUNT0305" localSheetId="4">#REF!</definedName>
    <definedName name="T2AMOUNT0305">#REF!</definedName>
    <definedName name="T2AMOUNT0306" localSheetId="5">#REF!</definedName>
    <definedName name="T2AMOUNT0306" localSheetId="4">#REF!</definedName>
    <definedName name="T2AMOUNT0306">#REF!</definedName>
    <definedName name="T2AMOUNT0307" localSheetId="5">#REF!</definedName>
    <definedName name="T2AMOUNT0307" localSheetId="4">#REF!</definedName>
    <definedName name="T2AMOUNT0307">#REF!</definedName>
    <definedName name="T2AMOUNT0308" localSheetId="5">#REF!</definedName>
    <definedName name="T2AMOUNT0308" localSheetId="4">#REF!</definedName>
    <definedName name="T2AMOUNT0308">#REF!</definedName>
    <definedName name="T2AMOUNT0309" localSheetId="5">#REF!</definedName>
    <definedName name="T2AMOUNT0309" localSheetId="4">#REF!</definedName>
    <definedName name="T2AMOUNT0309">#REF!</definedName>
    <definedName name="T2AMOUNT0310" localSheetId="5">#REF!</definedName>
    <definedName name="T2AMOUNT0310" localSheetId="4">#REF!</definedName>
    <definedName name="T2AMOUNT0310">#REF!</definedName>
    <definedName name="T2AMOUNT0311" localSheetId="5">#REF!</definedName>
    <definedName name="T2AMOUNT0311" localSheetId="4">#REF!</definedName>
    <definedName name="T2AMOUNT0311">#REF!</definedName>
    <definedName name="T2AMOUNT0312" localSheetId="5">#REF!</definedName>
    <definedName name="T2AMOUNT0312" localSheetId="4">#REF!</definedName>
    <definedName name="T2AMOUNT0312">#REF!</definedName>
    <definedName name="T2AMOUNT03TL" localSheetId="5">#REF!</definedName>
    <definedName name="T2AMOUNT03TL" localSheetId="4">#REF!</definedName>
    <definedName name="T2AMOUNT03TL">#REF!</definedName>
    <definedName name="T2AMOUNT0401" localSheetId="5">#N/A</definedName>
    <definedName name="T2AMOUNT0401" localSheetId="4">#REF!</definedName>
    <definedName name="T2AMOUNT0401">#REF!</definedName>
    <definedName name="T2AMOUNT0402" localSheetId="5">#N/A</definedName>
    <definedName name="T2AMOUNT0402" localSheetId="4">#REF!</definedName>
    <definedName name="T2AMOUNT0402">#REF!</definedName>
    <definedName name="T2AMOUNT0403" localSheetId="5">#N/A</definedName>
    <definedName name="T2AMOUNT0403" localSheetId="4">#REF!</definedName>
    <definedName name="T2AMOUNT0403">#REF!</definedName>
    <definedName name="T2AMOUNT0404" localSheetId="5">#N/A</definedName>
    <definedName name="T2AMOUNT0404" localSheetId="4">#REF!</definedName>
    <definedName name="T2AMOUNT0404">#REF!</definedName>
    <definedName name="T2AMOUNT0405" localSheetId="5">#N/A</definedName>
    <definedName name="T2AMOUNT0405" localSheetId="4">#REF!</definedName>
    <definedName name="T2AMOUNT0405">#REF!</definedName>
    <definedName name="T2AMOUNT0406" localSheetId="5">#N/A</definedName>
    <definedName name="T2AMOUNT0406" localSheetId="4">#REF!</definedName>
    <definedName name="T2AMOUNT0406">#REF!</definedName>
    <definedName name="T2AMOUNT0407" localSheetId="5">#N/A</definedName>
    <definedName name="T2AMOUNT0407" localSheetId="4">#REF!</definedName>
    <definedName name="T2AMOUNT0407">#REF!</definedName>
    <definedName name="T2AMOUNT0408" localSheetId="5">#N/A</definedName>
    <definedName name="T2AMOUNT0408" localSheetId="4">#REF!</definedName>
    <definedName name="T2AMOUNT0408">#REF!</definedName>
    <definedName name="T2AMOUNT0409" localSheetId="5">#N/A</definedName>
    <definedName name="T2AMOUNT0409" localSheetId="4">#REF!</definedName>
    <definedName name="T2AMOUNT0409">#REF!</definedName>
    <definedName name="T2AMOUNT0410" localSheetId="5">#N/A</definedName>
    <definedName name="T2AMOUNT0410" localSheetId="4">#REF!</definedName>
    <definedName name="T2AMOUNT0410">#REF!</definedName>
    <definedName name="T2AMOUNT0411" localSheetId="5">#N/A</definedName>
    <definedName name="T2AMOUNT0411" localSheetId="4">#REF!</definedName>
    <definedName name="T2AMOUNT0411">#REF!</definedName>
    <definedName name="T2AMOUNT0412" localSheetId="5">#N/A</definedName>
    <definedName name="T2AMOUNT0412" localSheetId="4">#REF!</definedName>
    <definedName name="T2AMOUNT0412">#REF!</definedName>
    <definedName name="T2AMOUNT04TL" localSheetId="5">#N/A</definedName>
    <definedName name="T2AMOUNT04TL" localSheetId="4">#REF!</definedName>
    <definedName name="T2AMOUNT04TL">#REF!</definedName>
    <definedName name="T2PR0301" localSheetId="5">#REF!</definedName>
    <definedName name="T2PR0301" localSheetId="4">#REF!</definedName>
    <definedName name="T2PR0301">#REF!</definedName>
    <definedName name="T2PR0302" localSheetId="5">#REF!</definedName>
    <definedName name="T2PR0302" localSheetId="4">#REF!</definedName>
    <definedName name="T2PR0302">#REF!</definedName>
    <definedName name="T2PR0303" localSheetId="5">#REF!</definedName>
    <definedName name="T2PR0303" localSheetId="4">#REF!</definedName>
    <definedName name="T2PR0303">#REF!</definedName>
    <definedName name="T2PR0304" localSheetId="5">#REF!</definedName>
    <definedName name="T2PR0304" localSheetId="4">#REF!</definedName>
    <definedName name="T2PR0304">#REF!</definedName>
    <definedName name="T2PR0305" localSheetId="5">#REF!</definedName>
    <definedName name="T2PR0305" localSheetId="4">#REF!</definedName>
    <definedName name="T2PR0305">#REF!</definedName>
    <definedName name="T2PR0306" localSheetId="5">#REF!</definedName>
    <definedName name="T2PR0306" localSheetId="4">#REF!</definedName>
    <definedName name="T2PR0306">#REF!</definedName>
    <definedName name="T2PR0307" localSheetId="5">#REF!</definedName>
    <definedName name="T2PR0307" localSheetId="4">#REF!</definedName>
    <definedName name="T2PR0307">#REF!</definedName>
    <definedName name="T2PR0308" localSheetId="5">#REF!</definedName>
    <definedName name="T2PR0308" localSheetId="4">#REF!</definedName>
    <definedName name="T2PR0308">#REF!</definedName>
    <definedName name="T2PR0309" localSheetId="5">#REF!</definedName>
    <definedName name="T2PR0309" localSheetId="4">#REF!</definedName>
    <definedName name="T2PR0309">#REF!</definedName>
    <definedName name="T2PR0310" localSheetId="5">#REF!</definedName>
    <definedName name="T2PR0310" localSheetId="4">#REF!</definedName>
    <definedName name="T2PR0310">#REF!</definedName>
    <definedName name="T2PR0311" localSheetId="5">#REF!</definedName>
    <definedName name="T2PR0311" localSheetId="4">#REF!</definedName>
    <definedName name="T2PR0311">#REF!</definedName>
    <definedName name="T2PR0312" localSheetId="5">#REF!</definedName>
    <definedName name="T2PR0312" localSheetId="4">#REF!</definedName>
    <definedName name="T2PR0312">#REF!</definedName>
    <definedName name="T2PR03TL" localSheetId="5">#REF!</definedName>
    <definedName name="T2PR03TL" localSheetId="4">#REF!</definedName>
    <definedName name="T2PR03TL">#REF!</definedName>
    <definedName name="T2PR0401" localSheetId="5">#N/A</definedName>
    <definedName name="T2PR0401" localSheetId="4">#REF!</definedName>
    <definedName name="T2PR0401">#REF!</definedName>
    <definedName name="T2PR0402" localSheetId="5">#N/A</definedName>
    <definedName name="T2PR0402" localSheetId="4">#REF!</definedName>
    <definedName name="T2PR0402">#REF!</definedName>
    <definedName name="T2PR0403" localSheetId="5">#N/A</definedName>
    <definedName name="T2PR0403" localSheetId="4">#REF!</definedName>
    <definedName name="T2PR0403">#REF!</definedName>
    <definedName name="T2PR0404" localSheetId="5">#N/A</definedName>
    <definedName name="T2PR0404" localSheetId="4">#REF!</definedName>
    <definedName name="T2PR0404">#REF!</definedName>
    <definedName name="T2PR0405" localSheetId="5">#N/A</definedName>
    <definedName name="T2PR0405" localSheetId="4">#REF!</definedName>
    <definedName name="T2PR0405">#REF!</definedName>
    <definedName name="T2PR0406" localSheetId="5">#N/A</definedName>
    <definedName name="T2PR0406" localSheetId="4">#REF!</definedName>
    <definedName name="T2PR0406">#REF!</definedName>
    <definedName name="T2PR0407" localSheetId="5">#N/A</definedName>
    <definedName name="T2PR0407" localSheetId="4">#REF!</definedName>
    <definedName name="T2PR0407">#REF!</definedName>
    <definedName name="T2PR0408" localSheetId="5">#N/A</definedName>
    <definedName name="T2PR0408" localSheetId="4">#REF!</definedName>
    <definedName name="T2PR0408">#REF!</definedName>
    <definedName name="T2PR0409" localSheetId="5">#N/A</definedName>
    <definedName name="T2PR0409" localSheetId="4">#REF!</definedName>
    <definedName name="T2PR0409">#REF!</definedName>
    <definedName name="T2PR0410" localSheetId="5">#N/A</definedName>
    <definedName name="T2PR0410" localSheetId="4">#REF!</definedName>
    <definedName name="T2PR0410">#REF!</definedName>
    <definedName name="T2PR0411" localSheetId="5">#N/A</definedName>
    <definedName name="T2PR0411" localSheetId="4">#REF!</definedName>
    <definedName name="T2PR0411">#REF!</definedName>
    <definedName name="T2PR0412" localSheetId="5">#N/A</definedName>
    <definedName name="T2PR0412" localSheetId="4">#REF!</definedName>
    <definedName name="T2PR0412">#REF!</definedName>
    <definedName name="T2PR04TL" localSheetId="5">#N/A</definedName>
    <definedName name="T2PR04TL" localSheetId="4">#REF!</definedName>
    <definedName name="T2PR04TL">#REF!</definedName>
    <definedName name="talaria" localSheetId="5">#REF!</definedName>
    <definedName name="talaria" localSheetId="4">#REF!</definedName>
    <definedName name="talaria">#REF!</definedName>
    <definedName name="TAPE" localSheetId="5">#REF!</definedName>
    <definedName name="TAPE" localSheetId="4">#REF!</definedName>
    <definedName name="TAPE">#REF!</definedName>
    <definedName name="TAPE_12">"$#REF!.$A$1:$J$1464"</definedName>
    <definedName name="TAPE_13">"$#REF!.$A$1:$J$1464"</definedName>
    <definedName name="TAPE_14">"$#REF!.$A$1:$J$1464"</definedName>
    <definedName name="TAPE_3" localSheetId="5">#REF!</definedName>
    <definedName name="TAPE_3" localSheetId="4">#REF!</definedName>
    <definedName name="TAPE_3">#REF!</definedName>
    <definedName name="TAPE_4" localSheetId="5">#REF!</definedName>
    <definedName name="TAPE_4" localSheetId="4">#REF!</definedName>
    <definedName name="TAPE_4">#REF!</definedName>
    <definedName name="TAPE_6">"$#REF!.$A$1:$J$1464"</definedName>
    <definedName name="TAPE_7">"$#REF!.$A$1:$J$1464"</definedName>
    <definedName name="TAPE_8">"$#REF!.$A$1:$J$1464"</definedName>
    <definedName name="tape1234" localSheetId="5">#REF!</definedName>
    <definedName name="tape1234" localSheetId="4">#REF!</definedName>
    <definedName name="tape1234">#REF!</definedName>
    <definedName name="TAPE2" localSheetId="5">#REF!</definedName>
    <definedName name="TAPE2" localSheetId="4">#REF!</definedName>
    <definedName name="TAPE2">#REF!</definedName>
    <definedName name="target">BlankMacro1</definedName>
    <definedName name="tbl_ProdInfo" localSheetId="5" hidden="1">#REF!</definedName>
    <definedName name="tbl_ProdInfo" localSheetId="4" hidden="1">#REF!</definedName>
    <definedName name="tbl_ProdInfo" hidden="1">#REF!</definedName>
    <definedName name="tblExportProdSch" localSheetId="5">#REF!</definedName>
    <definedName name="tblExportProdSch" localSheetId="4">#REF!</definedName>
    <definedName name="tblExportProdSch">#REF!</definedName>
    <definedName name="tblExportProdSch_5" localSheetId="5">#REF!</definedName>
    <definedName name="tblExportProdSch_5" localSheetId="4">#REF!</definedName>
    <definedName name="tblExportProdSch_5">#REF!</definedName>
    <definedName name="tblExportProdSch_8" localSheetId="5">#REF!</definedName>
    <definedName name="tblExportProdSch_8" localSheetId="4">#REF!</definedName>
    <definedName name="tblExportProdSch_8">#REF!</definedName>
    <definedName name="TBRSYHGTB" localSheetId="5">#N/A</definedName>
    <definedName name="TBRSYHGTB" localSheetId="4">#REF!</definedName>
    <definedName name="TBRSYHGTB">#REF!</definedName>
    <definedName name="TD_CODE" localSheetId="5">[32]Tables!$A$37:$A$55</definedName>
    <definedName name="TD_CODE">[33]Tables!$A$37:$A$55</definedName>
    <definedName name="Technology" localSheetId="5">OFFSET([21]List!$C$2,,,COUNTA([21]List!$C$2:$C$20))</definedName>
    <definedName name="Technology">OFFSET([22]List!$C$2, , ,COUNTA([22]List!$C$2:$C$20))</definedName>
    <definedName name="teghsgw" localSheetId="5">#REF!</definedName>
    <definedName name="teghsgw" localSheetId="4">#REF!</definedName>
    <definedName name="teghsgw">#REF!</definedName>
    <definedName name="TemplatePrintArea" localSheetId="5">#REF!</definedName>
    <definedName name="TemplatePrintArea" localSheetId="4">#REF!</definedName>
    <definedName name="TemplatePrintArea">#REF!</definedName>
    <definedName name="TEST" localSheetId="5">#REF!</definedName>
    <definedName name="TEST" localSheetId="4">#REF!</definedName>
    <definedName name="TEST">#REF!</definedName>
    <definedName name="TEST_12">"$#REF!.$#REF!$#REF!"</definedName>
    <definedName name="TEST_12_5">"$#REF!.$#REF!$#REF!"</definedName>
    <definedName name="TEST_13">"$#REF!.$#REF!$#REF!"</definedName>
    <definedName name="TEST_13_5">"$#REF!.$#REF!$#REF!"</definedName>
    <definedName name="TEST_14">"$#REF!.$#REF!$#REF!"</definedName>
    <definedName name="TEST_14_5">"$#REF!.$#REF!$#REF!"</definedName>
    <definedName name="TEST_3" localSheetId="5">#REF!</definedName>
    <definedName name="TEST_3" localSheetId="4">#REF!</definedName>
    <definedName name="TEST_3">#REF!</definedName>
    <definedName name="TEST_3_5" localSheetId="5">#REF!</definedName>
    <definedName name="TEST_3_5" localSheetId="4">#REF!</definedName>
    <definedName name="TEST_3_5">#REF!</definedName>
    <definedName name="TEST_4" localSheetId="5">#REF!</definedName>
    <definedName name="TEST_4" localSheetId="4">#REF!</definedName>
    <definedName name="TEST_4">#REF!</definedName>
    <definedName name="TEST_42" localSheetId="5">#REF!</definedName>
    <definedName name="TEST_42" localSheetId="4">#REF!</definedName>
    <definedName name="TEST_42">#REF!</definedName>
    <definedName name="TEST_49" localSheetId="5">#REF!</definedName>
    <definedName name="TEST_49" localSheetId="4">#REF!</definedName>
    <definedName name="TEST_49">#REF!</definedName>
    <definedName name="TEST_5">"$#REF!.$#REF!$#REF!"</definedName>
    <definedName name="TEST_5_5">"$#REF!.$#REF!$#REF!"</definedName>
    <definedName name="TEST_6">"$#REF!.$#REF!$#REF!"</definedName>
    <definedName name="TEST_6_5">"$#REF!.$#REF!$#REF!"</definedName>
    <definedName name="TEST_7">"$#REF!.$#REF!$#REF!"</definedName>
    <definedName name="TEST_7_5">"$#REF!.$#REF!$#REF!"</definedName>
    <definedName name="TEST_8">"$#REF!.$#REF!$#REF!"</definedName>
    <definedName name="TEST_8_5">"$#REF!.$#REF!$#REF!"</definedName>
    <definedName name="test1" localSheetId="5">#REF!</definedName>
    <definedName name="test1" localSheetId="4">#REF!</definedName>
    <definedName name="test1">#REF!</definedName>
    <definedName name="TESTE" localSheetId="5">#REF!</definedName>
    <definedName name="TESTE" localSheetId="4">#REF!</definedName>
    <definedName name="TESTE">#REF!</definedName>
    <definedName name="TESTE_12">"$#REF!.$#REF!$#REF!"</definedName>
    <definedName name="TESTE_12_5">"$#REF!.$#REF!$#REF!"</definedName>
    <definedName name="TESTE_13">"$#REF!.$#REF!$#REF!"</definedName>
    <definedName name="TESTE_13_5">"$#REF!.$#REF!$#REF!"</definedName>
    <definedName name="TESTE_14">"$#REF!.$#REF!$#REF!"</definedName>
    <definedName name="TESTE_14_5">"$#REF!.$#REF!$#REF!"</definedName>
    <definedName name="TESTE_3" localSheetId="5">#REF!</definedName>
    <definedName name="TESTE_3" localSheetId="4">#REF!</definedName>
    <definedName name="TESTE_3">#REF!</definedName>
    <definedName name="TESTE_3_5" localSheetId="5">#REF!</definedName>
    <definedName name="TESTE_3_5" localSheetId="4">#REF!</definedName>
    <definedName name="TESTE_3_5">#REF!</definedName>
    <definedName name="TESTE_4" localSheetId="5">#REF!</definedName>
    <definedName name="TESTE_4" localSheetId="4">#REF!</definedName>
    <definedName name="TESTE_4">#REF!</definedName>
    <definedName name="TESTE_42" localSheetId="5">#REF!</definedName>
    <definedName name="TESTE_42" localSheetId="4">#REF!</definedName>
    <definedName name="TESTE_42">#REF!</definedName>
    <definedName name="TESTE_49" localSheetId="5">#REF!</definedName>
    <definedName name="TESTE_49" localSheetId="4">#REF!</definedName>
    <definedName name="TESTE_49">#REF!</definedName>
    <definedName name="TESTE_5">"$#REF!.$#REF!$#REF!"</definedName>
    <definedName name="TESTE_5_5">"$#REF!.$#REF!$#REF!"</definedName>
    <definedName name="TESTE_6">"$#REF!.$#REF!$#REF!"</definedName>
    <definedName name="TESTE_6_5">"$#REF!.$#REF!$#REF!"</definedName>
    <definedName name="TESTE_7">"$#REF!.$#REF!$#REF!"</definedName>
    <definedName name="TESTE_7_5">"$#REF!.$#REF!$#REF!"</definedName>
    <definedName name="TESTE_8">"$#REF!.$#REF!$#REF!"</definedName>
    <definedName name="TESTE_8_5">"$#REF!.$#REF!$#REF!"</definedName>
    <definedName name="textddd" localSheetId="5">#REF!</definedName>
    <definedName name="textddd" localSheetId="4">#REF!</definedName>
    <definedName name="textddd">#REF!</definedName>
    <definedName name="tgaer" localSheetId="5">[1]피유.프레스!#REF!</definedName>
    <definedName name="tgaer" localSheetId="4">#REF!</definedName>
    <definedName name="tgaer">#REF!</definedName>
    <definedName name="TGSH" localSheetId="5">#N/A</definedName>
    <definedName name="TGSH" localSheetId="4">#REF!</definedName>
    <definedName name="TGSH">#REF!</definedName>
    <definedName name="TGSHT" localSheetId="5">#N/A</definedName>
    <definedName name="TGSHT" localSheetId="4">#REF!</definedName>
    <definedName name="TGSHT">#REF!</definedName>
    <definedName name="TH" localSheetId="5">#N/A</definedName>
    <definedName name="TH" localSheetId="4">#REF!</definedName>
    <definedName name="TH">#REF!</definedName>
    <definedName name="thanh">[2]!thanh</definedName>
    <definedName name="thfrgfj">[37]Tables!#REF!</definedName>
    <definedName name="three" localSheetId="5">#REF!</definedName>
    <definedName name="three" localSheetId="4">#REF!</definedName>
    <definedName name="three">#REF!</definedName>
    <definedName name="three_12">"$#REF!.$A$#REF!"</definedName>
    <definedName name="three_13">"$#REF!.$A$#REF!"</definedName>
    <definedName name="three_14">"$#REF!.$A$#REF!"</definedName>
    <definedName name="three_3" localSheetId="5">#REF!</definedName>
    <definedName name="three_3" localSheetId="4">#REF!</definedName>
    <definedName name="three_3">#REF!</definedName>
    <definedName name="three_4" localSheetId="5">#REF!</definedName>
    <definedName name="three_4" localSheetId="4">#REF!</definedName>
    <definedName name="three_4">#REF!</definedName>
    <definedName name="three_6">"$#REF!.$A$#REF!"</definedName>
    <definedName name="three_7">"$#REF!.$A$#REF!"</definedName>
    <definedName name="three_8">"$#REF!.$A$#REF!"</definedName>
    <definedName name="THWTHG" localSheetId="5">#N/A</definedName>
    <definedName name="THWTHG" localSheetId="4">#REF!</definedName>
    <definedName name="THWTHG">#REF!</definedName>
    <definedName name="TIER" localSheetId="5">[32]Tables!$A$63:$A$67</definedName>
    <definedName name="TIER">[33]Tables!$A$63:$A$67</definedName>
    <definedName name="tls">BlankMacro1</definedName>
    <definedName name="tmh">'[27]LOP Tool'!#REF!</definedName>
    <definedName name="TMI">'[27]LOP Tool'!#REF!</definedName>
    <definedName name="TNT" localSheetId="5" hidden="1">#REF!</definedName>
    <definedName name="TNT" localSheetId="4" hidden="1">#REF!</definedName>
    <definedName name="TNT" hidden="1">#REF!</definedName>
    <definedName name="Tongue" localSheetId="5">#REF!</definedName>
    <definedName name="Tongue" localSheetId="4">#REF!</definedName>
    <definedName name="Tongue">#REF!</definedName>
    <definedName name="TOP" localSheetId="5">#REF!</definedName>
    <definedName name="TOP" localSheetId="4">#REF!</definedName>
    <definedName name="TOP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" localSheetId="5">#REF!</definedName>
    <definedName name="total" localSheetId="4">#REF!</definedName>
    <definedName name="total">#REF!</definedName>
    <definedName name="totalct1" localSheetId="5">#REF!</definedName>
    <definedName name="totalct1" localSheetId="4">#REF!</definedName>
    <definedName name="totalct1">#REF!</definedName>
    <definedName name="totalct1_1">#N/A</definedName>
    <definedName name="totalct1_28" localSheetId="5">#REF!</definedName>
    <definedName name="totalct1_28" localSheetId="4">#REF!</definedName>
    <definedName name="totalct1_28">#REF!</definedName>
    <definedName name="totalct1_28_1">#N/A</definedName>
    <definedName name="totalct1_5" localSheetId="5">#REF!</definedName>
    <definedName name="totalct1_5" localSheetId="4">#REF!</definedName>
    <definedName name="totalct1_5">#REF!</definedName>
    <definedName name="totalct1_5_1">#N/A</definedName>
    <definedName name="totalct1_5_5" localSheetId="5">#REF!</definedName>
    <definedName name="totalct1_5_5" localSheetId="4">#REF!</definedName>
    <definedName name="totalct1_5_5">#REF!</definedName>
    <definedName name="totalct1_8" localSheetId="5">#REF!</definedName>
    <definedName name="totalct1_8" localSheetId="4">#REF!</definedName>
    <definedName name="totalct1_8">#REF!</definedName>
    <definedName name="totalct2" localSheetId="5">#REF!</definedName>
    <definedName name="totalct2" localSheetId="4">#REF!</definedName>
    <definedName name="totalct2">#REF!</definedName>
    <definedName name="totalct2_1">#N/A</definedName>
    <definedName name="totalct2_28" localSheetId="5">#REF!</definedName>
    <definedName name="totalct2_28" localSheetId="4">#REF!</definedName>
    <definedName name="totalct2_28">#REF!</definedName>
    <definedName name="totalct2_28_1">#N/A</definedName>
    <definedName name="totalct2_5" localSheetId="5">#REF!</definedName>
    <definedName name="totalct2_5" localSheetId="4">#REF!</definedName>
    <definedName name="totalct2_5">#REF!</definedName>
    <definedName name="totalct2_5_1">#N/A</definedName>
    <definedName name="totalct2_5_5" localSheetId="5">#REF!</definedName>
    <definedName name="totalct2_5_5" localSheetId="4">#REF!</definedName>
    <definedName name="totalct2_5_5">#REF!</definedName>
    <definedName name="totalct2_8" localSheetId="5">#REF!</definedName>
    <definedName name="totalct2_8" localSheetId="4">#REF!</definedName>
    <definedName name="totalct2_8">#REF!</definedName>
    <definedName name="totalct3" localSheetId="5">#REF!</definedName>
    <definedName name="totalct3" localSheetId="4">#REF!</definedName>
    <definedName name="totalct3">#REF!</definedName>
    <definedName name="totalct3_1">#N/A</definedName>
    <definedName name="totalct3_28" localSheetId="5">#REF!</definedName>
    <definedName name="totalct3_28" localSheetId="4">#REF!</definedName>
    <definedName name="totalct3_28">#REF!</definedName>
    <definedName name="totalct3_28_1">#N/A</definedName>
    <definedName name="totalct3_5" localSheetId="5">#REF!</definedName>
    <definedName name="totalct3_5" localSheetId="4">#REF!</definedName>
    <definedName name="totalct3_5">#REF!</definedName>
    <definedName name="totalct3_5_1">#N/A</definedName>
    <definedName name="totalct3_5_5" localSheetId="5">#REF!</definedName>
    <definedName name="totalct3_5_5" localSheetId="4">#REF!</definedName>
    <definedName name="totalct3_5_5">#REF!</definedName>
    <definedName name="totalct3_8" localSheetId="5">#REF!</definedName>
    <definedName name="totalct3_8" localSheetId="4">#REF!</definedName>
    <definedName name="totalct3_8">#REF!</definedName>
    <definedName name="TRAX">'[27]LOP Tool'!#REF!</definedName>
    <definedName name="TRBYH5TR" localSheetId="5">[1]피유.프레스!#REF!</definedName>
    <definedName name="TRBYH5TR" localSheetId="4">#REF!</definedName>
    <definedName name="TRBYH5TR">#REF!</definedName>
    <definedName name="TRBYHTH" localSheetId="5">#REF!</definedName>
    <definedName name="TRBYHTH" localSheetId="4">#REF!</definedName>
    <definedName name="TRBYHTH">#REF!</definedName>
    <definedName name="TRSBYTY" localSheetId="5">#REF!</definedName>
    <definedName name="TRSBYTY" localSheetId="4">#REF!</definedName>
    <definedName name="TRSBYTY">#REF!</definedName>
    <definedName name="TRUC">[1]피유.프레스!#REF!</definedName>
    <definedName name="TRY" localSheetId="5">#REF!</definedName>
    <definedName name="TRY" localSheetId="4">#REF!</definedName>
    <definedName name="TRY">#REF!</definedName>
    <definedName name="tryhbse" localSheetId="5">#N/A</definedName>
    <definedName name="tryhbse" localSheetId="4">#REF!</definedName>
    <definedName name="tryhbse">#REF!</definedName>
    <definedName name="TSHG" localSheetId="5">#N/A</definedName>
    <definedName name="TSHG" localSheetId="4">#REF!</definedName>
    <definedName name="TSHG">#REF!</definedName>
    <definedName name="tshv" localSheetId="5">#N/A</definedName>
    <definedName name="tshv" localSheetId="4">#REF!</definedName>
    <definedName name="tshv">#REF!</definedName>
    <definedName name="TTEST" localSheetId="5">#REF!</definedName>
    <definedName name="TTEST" localSheetId="4">#REF!</definedName>
    <definedName name="TTEST">#REF!</definedName>
    <definedName name="TTEST_12">"$#REF!.$#REF!$#REF!"</definedName>
    <definedName name="TTEST_12_5">"$#REF!.$#REF!$#REF!"</definedName>
    <definedName name="TTEST_13">"$#REF!.$#REF!$#REF!"</definedName>
    <definedName name="TTEST_13_5">"$#REF!.$#REF!$#REF!"</definedName>
    <definedName name="TTEST_14">"$#REF!.$#REF!$#REF!"</definedName>
    <definedName name="TTEST_14_5">"$#REF!.$#REF!$#REF!"</definedName>
    <definedName name="TTEST_3" localSheetId="5">#REF!</definedName>
    <definedName name="TTEST_3" localSheetId="4">#REF!</definedName>
    <definedName name="TTEST_3">#REF!</definedName>
    <definedName name="TTEST_3_5" localSheetId="5">#REF!</definedName>
    <definedName name="TTEST_3_5" localSheetId="4">#REF!</definedName>
    <definedName name="TTEST_3_5">#REF!</definedName>
    <definedName name="TTEST_4" localSheetId="5">#REF!</definedName>
    <definedName name="TTEST_4" localSheetId="4">#REF!</definedName>
    <definedName name="TTEST_4">#REF!</definedName>
    <definedName name="TTEST_42" localSheetId="5">#REF!</definedName>
    <definedName name="TTEST_42" localSheetId="4">#REF!</definedName>
    <definedName name="TTEST_42">#REF!</definedName>
    <definedName name="TTEST_49" localSheetId="5">#REF!</definedName>
    <definedName name="TTEST_49" localSheetId="4">#REF!</definedName>
    <definedName name="TTEST_49">#REF!</definedName>
    <definedName name="TTEST_5" localSheetId="5">#REF!</definedName>
    <definedName name="TTEST_5" localSheetId="4">#REF!</definedName>
    <definedName name="TTEST_5">#REF!</definedName>
    <definedName name="TTEST_5_5" localSheetId="5">#REF!</definedName>
    <definedName name="TTEST_5_5" localSheetId="4">#REF!</definedName>
    <definedName name="TTEST_5_5">#REF!</definedName>
    <definedName name="TTEST_6">"$#REF!.$#REF!$#REF!"</definedName>
    <definedName name="TTEST_6_5">"$#REF!.$#REF!$#REF!"</definedName>
    <definedName name="TTEST_7">"$#REF!.$#REF!$#REF!"</definedName>
    <definedName name="TTEST_7_5">"$#REF!.$#REF!$#REF!"</definedName>
    <definedName name="TTEST_8" localSheetId="5">#REF!</definedName>
    <definedName name="TTEST_8" localSheetId="4">#REF!</definedName>
    <definedName name="TTEST_8">#REF!</definedName>
    <definedName name="TTEST_8_5">"$#REF!.$#REF!$#REF!"</definedName>
    <definedName name="TTL_Labor">[41]BMN405!#REF!</definedName>
    <definedName name="TTTTTT" localSheetId="5">#REF!</definedName>
    <definedName name="TTTTTT" localSheetId="4">#REF!</definedName>
    <definedName name="TTTTTT">#REF!</definedName>
    <definedName name="ttwtfwyufayuaws" localSheetId="5">#REF!</definedName>
    <definedName name="ttwtfwyufayuaws" localSheetId="4">#REF!</definedName>
    <definedName name="ttwtfwyufayuaws">#REF!</definedName>
    <definedName name="TURNOVER" localSheetId="5">#REF!</definedName>
    <definedName name="TURNOVER" localSheetId="4">#REF!</definedName>
    <definedName name="TURNOVER">#REF!</definedName>
    <definedName name="TUU" localSheetId="5">#N/A</definedName>
    <definedName name="TUU" localSheetId="4">#REF!</definedName>
    <definedName name="TUU">#REF!</definedName>
    <definedName name="two" localSheetId="5">#REF!</definedName>
    <definedName name="two" localSheetId="4">#REF!</definedName>
    <definedName name="two">#REF!</definedName>
    <definedName name="two_12">"$#REF!.$A$12:$F$12"</definedName>
    <definedName name="two_13">"$#REF!.$A$12:$F$12"</definedName>
    <definedName name="two_14">"$#REF!.$A$12:$F$12"</definedName>
    <definedName name="two_3" localSheetId="5">#REF!</definedName>
    <definedName name="two_3" localSheetId="4">#REF!</definedName>
    <definedName name="two_3">#REF!</definedName>
    <definedName name="two_4" localSheetId="5">#REF!</definedName>
    <definedName name="two_4" localSheetId="4">#REF!</definedName>
    <definedName name="two_4">#REF!</definedName>
    <definedName name="two_6">"$#REF!.$A$12:$F$12"</definedName>
    <definedName name="two_7">"$#REF!.$A$12:$F$12"</definedName>
    <definedName name="two_8">"$#REF!.$A$12:$F$12"</definedName>
    <definedName name="tydjgyh" localSheetId="5">#N/A</definedName>
    <definedName name="tydjgyh" localSheetId="4">#REF!</definedName>
    <definedName name="tydjgyh">#REF!</definedName>
    <definedName name="type" localSheetId="5">[28]Sheet1!$B$2:$B$9</definedName>
    <definedName name="type">[29]Sheet1!$B$2:$B$9</definedName>
    <definedName name="TypeList">'[77]GFP Type'!$A$2:$A$26</definedName>
    <definedName name="tytttttttttttt" localSheetId="5">#REF!</definedName>
    <definedName name="tytttttttttttt" localSheetId="4">#REF!</definedName>
    <definedName name="tytttttttttttt">#REF!</definedName>
    <definedName name="tyu">BlankMacro1</definedName>
    <definedName name="TYUIYO" localSheetId="5">#REF!</definedName>
    <definedName name="TYUIYO" localSheetId="4">#REF!</definedName>
    <definedName name="TYUIYO">#REF!</definedName>
    <definedName name="U" localSheetId="5">#REF!</definedName>
    <definedName name="U">"'file:///tmp/TECH/MERRY/178049A.XLS'#直線55_Click"</definedName>
    <definedName name="U_1">#N/A</definedName>
    <definedName name="UDPO" localSheetId="5">#REF!</definedName>
    <definedName name="UDPO" localSheetId="4">#REF!</definedName>
    <definedName name="UDPO">#REF!</definedName>
    <definedName name="uged" localSheetId="5">#N/A</definedName>
    <definedName name="uged">"'smb://Ayu/MY%20DOCUMENTS/My%20Documents/new%20CSS%20PU%20form(95).xls'#A_VOLUME"</definedName>
    <definedName name="uged_5">"'smb://Ayu/MY%252520DOCUMENTS/My%252520Documents/new%252520CSS%252520PU%252520form(95).xls'#A_VOLUME"</definedName>
    <definedName name="uged_8">"'smb://Ayu/MY%2520DOCUMENTS/My%2520Documents/new%2520CSS%2520PU%2520form(95).xls'#A_VOLUME"</definedName>
    <definedName name="UIGHFUI">'[42]9.11 '!UIGHFUI</definedName>
    <definedName name="uku" localSheetId="5">#N/A</definedName>
    <definedName name="uku" localSheetId="4">#REF!</definedName>
    <definedName name="uku">#REF!</definedName>
    <definedName name="UNTUNG" localSheetId="5">#REF!</definedName>
    <definedName name="UNTUNG" localSheetId="4">#REF!</definedName>
    <definedName name="UNTUNG">#REF!</definedName>
    <definedName name="Up_Down_Press" localSheetId="5">#REF!</definedName>
    <definedName name="Up_Down_Press" localSheetId="4">#REF!</definedName>
    <definedName name="Up_Down_Press">#REF!</definedName>
    <definedName name="updated" localSheetId="5">#REF!</definedName>
    <definedName name="updated" localSheetId="4">#REF!</definedName>
    <definedName name="updated">#REF!</definedName>
    <definedName name="UPPER_BOTTOM_STT" localSheetId="5">#REF!</definedName>
    <definedName name="UPPER_BOTTOM_STT" localSheetId="4">#REF!</definedName>
    <definedName name="UPPER_BOTTOM_STT">#REF!</definedName>
    <definedName name="Usigma" localSheetId="5">#REF!</definedName>
    <definedName name="Usigma" localSheetId="4">#REF!</definedName>
    <definedName name="Usigma">#REF!</definedName>
    <definedName name="utukf" localSheetId="5">#N/A</definedName>
    <definedName name="utukf" localSheetId="4">#REF!</definedName>
    <definedName name="utukf">#REF!</definedName>
    <definedName name="UUUUU" localSheetId="5">#REF!</definedName>
    <definedName name="UUUUU" localSheetId="4">#REF!</definedName>
    <definedName name="UUUUU">#REF!</definedName>
    <definedName name="v" localSheetId="5">#REF!</definedName>
    <definedName name="v" localSheetId="4">#REF!</definedName>
    <definedName name="v">#REF!</definedName>
    <definedName name="valid">BlankMacro1</definedName>
    <definedName name="VBF" localSheetId="5">#REF!</definedName>
    <definedName name="VBF" localSheetId="4">#REF!</definedName>
    <definedName name="VBF">#REF!</definedName>
    <definedName name="VBNMHG" localSheetId="5">#REF!</definedName>
    <definedName name="VBNMHG" localSheetId="4">#REF!</definedName>
    <definedName name="VBNMHG">#REF!</definedName>
    <definedName name="VCF" localSheetId="5">#REF!</definedName>
    <definedName name="VCF" localSheetId="4">#REF!</definedName>
    <definedName name="VCF">#REF!</definedName>
    <definedName name="Vendor" localSheetId="5">#REF!</definedName>
    <definedName name="Vendor" localSheetId="4">#REF!</definedName>
    <definedName name="Vendor">#REF!</definedName>
    <definedName name="Vendor_1" localSheetId="5">#REF!</definedName>
    <definedName name="Vendor_1">#N/A</definedName>
    <definedName name="Vendor_10" localSheetId="5">#REF!</definedName>
    <definedName name="Vendor_10" localSheetId="4">#REF!</definedName>
    <definedName name="Vendor_10">#REF!</definedName>
    <definedName name="Vendor_2" localSheetId="5">#REF!</definedName>
    <definedName name="Vendor_2" localSheetId="4">#REF!</definedName>
    <definedName name="Vendor_2">#REF!</definedName>
    <definedName name="Vendor_21" localSheetId="5">#REF!</definedName>
    <definedName name="Vendor_21" localSheetId="4">#REF!</definedName>
    <definedName name="Vendor_21">#REF!</definedName>
    <definedName name="Vendor_3" localSheetId="5">#REF!</definedName>
    <definedName name="Vendor_3" localSheetId="4">#REF!</definedName>
    <definedName name="Vendor_3">#REF!</definedName>
    <definedName name="Vendor_4" localSheetId="5">#REF!</definedName>
    <definedName name="Vendor_4" localSheetId="4">#REF!</definedName>
    <definedName name="Vendor_4">#REF!</definedName>
    <definedName name="Vendor_5" localSheetId="5">#REF!</definedName>
    <definedName name="Vendor_5" localSheetId="4">#REF!</definedName>
    <definedName name="Vendor_5">#REF!</definedName>
    <definedName name="Vendor_8" localSheetId="5">#REF!</definedName>
    <definedName name="Vendor_8" localSheetId="4">#REF!</definedName>
    <definedName name="Vendor_8">#REF!</definedName>
    <definedName name="Vendor_9" localSheetId="5">#REF!</definedName>
    <definedName name="Vendor_9" localSheetId="4">#REF!</definedName>
    <definedName name="Vendor_9">#REF!</definedName>
    <definedName name="Vessel_Name" localSheetId="5">#REF!</definedName>
    <definedName name="Vessel_Name" localSheetId="4">#REF!</definedName>
    <definedName name="Vessel_Name">#REF!</definedName>
    <definedName name="Vessel_Name_12" localSheetId="5">#REF!</definedName>
    <definedName name="Vessel_Name_12" localSheetId="4">#REF!</definedName>
    <definedName name="Vessel_Name_12">#REF!</definedName>
    <definedName name="Vessel_Name_12_5" localSheetId="5">#REF!</definedName>
    <definedName name="Vessel_Name_12_5" localSheetId="4">#REF!</definedName>
    <definedName name="Vessel_Name_12_5">#REF!</definedName>
    <definedName name="Vessel_Name_12_5_5" localSheetId="5">#REF!</definedName>
    <definedName name="Vessel_Name_12_5_5" localSheetId="4">#REF!</definedName>
    <definedName name="Vessel_Name_12_5_5">#REF!</definedName>
    <definedName name="Vessel_Name_12_8" localSheetId="5">#REF!</definedName>
    <definedName name="Vessel_Name_12_8" localSheetId="4">#REF!</definedName>
    <definedName name="Vessel_Name_12_8">#REF!</definedName>
    <definedName name="Vessel_Name_13" localSheetId="5">#REF!</definedName>
    <definedName name="Vessel_Name_13" localSheetId="4">#REF!</definedName>
    <definedName name="Vessel_Name_13">#REF!</definedName>
    <definedName name="Vessel_Name_13_5" localSheetId="5">#REF!</definedName>
    <definedName name="Vessel_Name_13_5" localSheetId="4">#REF!</definedName>
    <definedName name="Vessel_Name_13_5">#REF!</definedName>
    <definedName name="Vessel_Name_13_5_5" localSheetId="5">#REF!</definedName>
    <definedName name="Vessel_Name_13_5_5" localSheetId="4">#REF!</definedName>
    <definedName name="Vessel_Name_13_5_5">#REF!</definedName>
    <definedName name="Vessel_Name_13_8" localSheetId="5">#REF!</definedName>
    <definedName name="Vessel_Name_13_8" localSheetId="4">#REF!</definedName>
    <definedName name="Vessel_Name_13_8">#REF!</definedName>
    <definedName name="Vessel_Name_14" localSheetId="5">#REF!</definedName>
    <definedName name="Vessel_Name_14" localSheetId="4">#REF!</definedName>
    <definedName name="Vessel_Name_14">#REF!</definedName>
    <definedName name="Vessel_Name_14_5" localSheetId="5">#REF!</definedName>
    <definedName name="Vessel_Name_14_5" localSheetId="4">#REF!</definedName>
    <definedName name="Vessel_Name_14_5">#REF!</definedName>
    <definedName name="Vessel_Name_14_5_5" localSheetId="5">#REF!</definedName>
    <definedName name="Vessel_Name_14_5_5" localSheetId="4">#REF!</definedName>
    <definedName name="Vessel_Name_14_5_5">#REF!</definedName>
    <definedName name="Vessel_Name_14_8" localSheetId="5">#REF!</definedName>
    <definedName name="Vessel_Name_14_8" localSheetId="4">#REF!</definedName>
    <definedName name="Vessel_Name_14_8">#REF!</definedName>
    <definedName name="Vessel_Name_3" localSheetId="5">#REF!</definedName>
    <definedName name="Vessel_Name_3" localSheetId="4">#REF!</definedName>
    <definedName name="Vessel_Name_3">#REF!</definedName>
    <definedName name="Vessel_Name_5" localSheetId="5">#REF!</definedName>
    <definedName name="Vessel_Name_5" localSheetId="4">#REF!</definedName>
    <definedName name="Vessel_Name_5">#REF!</definedName>
    <definedName name="Vessel_Name_8" localSheetId="5">#REF!</definedName>
    <definedName name="Vessel_Name_8" localSheetId="4">#REF!</definedName>
    <definedName name="Vessel_Name_8">#REF!</definedName>
    <definedName name="vicky" localSheetId="5">#REF!</definedName>
    <definedName name="vicky" localSheetId="4">#REF!</definedName>
    <definedName name="vicky">#REF!</definedName>
    <definedName name="VIE" localSheetId="5">#REF!</definedName>
    <definedName name="VIE" localSheetId="4">#REF!</definedName>
    <definedName name="VIE">#REF!</definedName>
    <definedName name="view100">[18]!view100</definedName>
    <definedName name="view100_12">NA()</definedName>
    <definedName name="view100_12_5">NA()</definedName>
    <definedName name="view100_12_8">NA()</definedName>
    <definedName name="view100_13">NA()</definedName>
    <definedName name="view100_13_5">NA()</definedName>
    <definedName name="view100_13_8">NA()</definedName>
    <definedName name="view100_14">NA()</definedName>
    <definedName name="view100_14_5">NA()</definedName>
    <definedName name="view100_14_8">NA()</definedName>
    <definedName name="view100_3">#N/A</definedName>
    <definedName name="view100_4">#N/A</definedName>
    <definedName name="view100_42">#N/A</definedName>
    <definedName name="view100_49">#N/A</definedName>
    <definedName name="view100_5">"'smb://Ujang/mst/My%252520Documents/spec/MST/TERRA%252520SEBEC%2525205%252520ZIP/GS/My%252520Documents/new%252520CSS%252520PU%252520form(95).xls'#view100"</definedName>
    <definedName name="view100_6">NA()</definedName>
    <definedName name="view100_6_5">NA()</definedName>
    <definedName name="view100_6_8">NA()</definedName>
    <definedName name="view100_7">NA()</definedName>
    <definedName name="view100_7_5">NA()</definedName>
    <definedName name="view100_7_8">NA()</definedName>
    <definedName name="view100_8">"'smb://Ujang/mst/My%2520Documents/spec/MST/TERRA%2520SEBEC%25205%2520ZIP/GS/My%2520Documents/new%2520CSS%2520PU%2520form(95).xls'#view100"</definedName>
    <definedName name="view100_8_5">NA()</definedName>
    <definedName name="view100_8_8">NA()</definedName>
    <definedName name="vinh" localSheetId="5">#REF!</definedName>
    <definedName name="vinh" localSheetId="4">#REF!</definedName>
    <definedName name="vinh">#REF!</definedName>
    <definedName name="VTAMOUNT0301" localSheetId="5">#REF!</definedName>
    <definedName name="VTAMOUNT0301" localSheetId="4">#REF!</definedName>
    <definedName name="VTAMOUNT0301">#REF!</definedName>
    <definedName name="VTAMOUNT0302" localSheetId="5">#REF!</definedName>
    <definedName name="VTAMOUNT0302" localSheetId="4">#REF!</definedName>
    <definedName name="VTAMOUNT0302">#REF!</definedName>
    <definedName name="VTAMOUNT0303" localSheetId="5">#REF!</definedName>
    <definedName name="VTAMOUNT0303" localSheetId="4">#REF!</definedName>
    <definedName name="VTAMOUNT0303">#REF!</definedName>
    <definedName name="VTAMOUNT0304" localSheetId="5">#REF!</definedName>
    <definedName name="VTAMOUNT0304" localSheetId="4">#REF!</definedName>
    <definedName name="VTAMOUNT0304">#REF!</definedName>
    <definedName name="VTAMOUNT0305" localSheetId="5">#REF!</definedName>
    <definedName name="VTAMOUNT0305" localSheetId="4">#REF!</definedName>
    <definedName name="VTAMOUNT0305">#REF!</definedName>
    <definedName name="VTAMOUNT0306" localSheetId="5">#REF!</definedName>
    <definedName name="VTAMOUNT0306" localSheetId="4">#REF!</definedName>
    <definedName name="VTAMOUNT0306">#REF!</definedName>
    <definedName name="VTAMOUNT0307" localSheetId="5">#REF!</definedName>
    <definedName name="VTAMOUNT0307" localSheetId="4">#REF!</definedName>
    <definedName name="VTAMOUNT0307">#REF!</definedName>
    <definedName name="VTAMOUNT0308" localSheetId="5">#REF!</definedName>
    <definedName name="VTAMOUNT0308" localSheetId="4">#REF!</definedName>
    <definedName name="VTAMOUNT0308">#REF!</definedName>
    <definedName name="VTAMOUNT0309" localSheetId="5">#REF!</definedName>
    <definedName name="VTAMOUNT0309" localSheetId="4">#REF!</definedName>
    <definedName name="VTAMOUNT0309">#REF!</definedName>
    <definedName name="VTAMOUNT0310" localSheetId="5">#REF!</definedName>
    <definedName name="VTAMOUNT0310" localSheetId="4">#REF!</definedName>
    <definedName name="VTAMOUNT0310">#REF!</definedName>
    <definedName name="VTAMOUNT0311" localSheetId="5">#REF!</definedName>
    <definedName name="VTAMOUNT0311" localSheetId="4">#REF!</definedName>
    <definedName name="VTAMOUNT0311">#REF!</definedName>
    <definedName name="VTAMOUNT0312" localSheetId="5">#REF!</definedName>
    <definedName name="VTAMOUNT0312" localSheetId="4">#REF!</definedName>
    <definedName name="VTAMOUNT0312">#REF!</definedName>
    <definedName name="VTAMOUNT03TL" localSheetId="5">#REF!</definedName>
    <definedName name="VTAMOUNT03TL" localSheetId="4">#REF!</definedName>
    <definedName name="VTAMOUNT03TL">#REF!</definedName>
    <definedName name="VTAMOUNT0401" localSheetId="5">#N/A</definedName>
    <definedName name="VTAMOUNT0401" localSheetId="4">#REF!</definedName>
    <definedName name="VTAMOUNT0401">#REF!</definedName>
    <definedName name="VTAMOUNT0402" localSheetId="5">#N/A</definedName>
    <definedName name="VTAMOUNT0402" localSheetId="4">#REF!</definedName>
    <definedName name="VTAMOUNT0402">#REF!</definedName>
    <definedName name="VTAMOUNT0403" localSheetId="5">#N/A</definedName>
    <definedName name="VTAMOUNT0403" localSheetId="4">#REF!</definedName>
    <definedName name="VTAMOUNT0403">#REF!</definedName>
    <definedName name="VTAMOUNT0404" localSheetId="5">#N/A</definedName>
    <definedName name="VTAMOUNT0404" localSheetId="4">#REF!</definedName>
    <definedName name="VTAMOUNT0404">#REF!</definedName>
    <definedName name="VTAMOUNT0405" localSheetId="5">#N/A</definedName>
    <definedName name="VTAMOUNT0405" localSheetId="4">#REF!</definedName>
    <definedName name="VTAMOUNT0405">#REF!</definedName>
    <definedName name="VTAMOUNT0406" localSheetId="5">#N/A</definedName>
    <definedName name="VTAMOUNT0406" localSheetId="4">#REF!</definedName>
    <definedName name="VTAMOUNT0406">#REF!</definedName>
    <definedName name="VTAMOUNT0407" localSheetId="5">#N/A</definedName>
    <definedName name="VTAMOUNT0407" localSheetId="4">#REF!</definedName>
    <definedName name="VTAMOUNT0407">#REF!</definedName>
    <definedName name="VTAMOUNT0408" localSheetId="5">#N/A</definedName>
    <definedName name="VTAMOUNT0408" localSheetId="4">#REF!</definedName>
    <definedName name="VTAMOUNT0408">#REF!</definedName>
    <definedName name="VTAMOUNT0409" localSheetId="5">#N/A</definedName>
    <definedName name="VTAMOUNT0409" localSheetId="4">#REF!</definedName>
    <definedName name="VTAMOUNT0409">#REF!</definedName>
    <definedName name="VTAMOUNT0410" localSheetId="5">#N/A</definedName>
    <definedName name="VTAMOUNT0410" localSheetId="4">#REF!</definedName>
    <definedName name="VTAMOUNT0410">#REF!</definedName>
    <definedName name="VTAMOUNT0411" localSheetId="5">#N/A</definedName>
    <definedName name="VTAMOUNT0411" localSheetId="4">#REF!</definedName>
    <definedName name="VTAMOUNT0411">#REF!</definedName>
    <definedName name="VTAMOUNT0412" localSheetId="5">#N/A</definedName>
    <definedName name="VTAMOUNT0412" localSheetId="4">#REF!</definedName>
    <definedName name="VTAMOUNT0412">#REF!</definedName>
    <definedName name="VTAMOUNT04TL" localSheetId="5">#N/A</definedName>
    <definedName name="VTAMOUNT04TL" localSheetId="4">#REF!</definedName>
    <definedName name="VTAMOUNT04TL">#REF!</definedName>
    <definedName name="VTPR0301" localSheetId="5">#REF!</definedName>
    <definedName name="VTPR0301" localSheetId="4">#REF!</definedName>
    <definedName name="VTPR0301">#REF!</definedName>
    <definedName name="VTPR0302" localSheetId="5">#REF!</definedName>
    <definedName name="VTPR0302" localSheetId="4">#REF!</definedName>
    <definedName name="VTPR0302">#REF!</definedName>
    <definedName name="VTPR0303" localSheetId="5">#REF!</definedName>
    <definedName name="VTPR0303" localSheetId="4">#REF!</definedName>
    <definedName name="VTPR0303">#REF!</definedName>
    <definedName name="VTPR0304" localSheetId="5">#REF!</definedName>
    <definedName name="VTPR0304" localSheetId="4">#REF!</definedName>
    <definedName name="VTPR0304">#REF!</definedName>
    <definedName name="VTPR0305" localSheetId="5">#REF!</definedName>
    <definedName name="VTPR0305" localSheetId="4">#REF!</definedName>
    <definedName name="VTPR0305">#REF!</definedName>
    <definedName name="VTPR0306" localSheetId="5">#REF!</definedName>
    <definedName name="VTPR0306" localSheetId="4">#REF!</definedName>
    <definedName name="VTPR0306">#REF!</definedName>
    <definedName name="VTPR0307" localSheetId="5">#REF!</definedName>
    <definedName name="VTPR0307" localSheetId="4">#REF!</definedName>
    <definedName name="VTPR0307">#REF!</definedName>
    <definedName name="VTPR0308" localSheetId="5">#REF!</definedName>
    <definedName name="VTPR0308" localSheetId="4">#REF!</definedName>
    <definedName name="VTPR0308">#REF!</definedName>
    <definedName name="VTPR0309" localSheetId="5">#REF!</definedName>
    <definedName name="VTPR0309" localSheetId="4">#REF!</definedName>
    <definedName name="VTPR0309">#REF!</definedName>
    <definedName name="VTPR0310" localSheetId="5">#REF!</definedName>
    <definedName name="VTPR0310" localSheetId="4">#REF!</definedName>
    <definedName name="VTPR0310">#REF!</definedName>
    <definedName name="VTPR0311" localSheetId="5">#REF!</definedName>
    <definedName name="VTPR0311" localSheetId="4">#REF!</definedName>
    <definedName name="VTPR0311">#REF!</definedName>
    <definedName name="VTPR0312" localSheetId="5">#REF!</definedName>
    <definedName name="VTPR0312" localSheetId="4">#REF!</definedName>
    <definedName name="VTPR0312">#REF!</definedName>
    <definedName name="VTPR03TL" localSheetId="5">#REF!</definedName>
    <definedName name="VTPR03TL" localSheetId="4">#REF!</definedName>
    <definedName name="VTPR03TL">#REF!</definedName>
    <definedName name="VTPR0401" localSheetId="5">#N/A</definedName>
    <definedName name="VTPR0401" localSheetId="4">#REF!</definedName>
    <definedName name="VTPR0401">#REF!</definedName>
    <definedName name="VTPR0402" localSheetId="5">#N/A</definedName>
    <definedName name="VTPR0402" localSheetId="4">#REF!</definedName>
    <definedName name="VTPR0402">#REF!</definedName>
    <definedName name="VTPR0403" localSheetId="5">#N/A</definedName>
    <definedName name="VTPR0403" localSheetId="4">#REF!</definedName>
    <definedName name="VTPR0403">#REF!</definedName>
    <definedName name="VTPR0404" localSheetId="5">#N/A</definedName>
    <definedName name="VTPR0404" localSheetId="4">#REF!</definedName>
    <definedName name="VTPR0404">#REF!</definedName>
    <definedName name="VTPR0405" localSheetId="5">#N/A</definedName>
    <definedName name="VTPR0405" localSheetId="4">#REF!</definedName>
    <definedName name="VTPR0405">#REF!</definedName>
    <definedName name="VTPR0406" localSheetId="5">#N/A</definedName>
    <definedName name="VTPR0406" localSheetId="4">#REF!</definedName>
    <definedName name="VTPR0406">#REF!</definedName>
    <definedName name="VTPR0407" localSheetId="5">#N/A</definedName>
    <definedName name="VTPR0407" localSheetId="4">#REF!</definedName>
    <definedName name="VTPR0407">#REF!</definedName>
    <definedName name="VTPR0408" localSheetId="5">#N/A</definedName>
    <definedName name="VTPR0408" localSheetId="4">#REF!</definedName>
    <definedName name="VTPR0408">#REF!</definedName>
    <definedName name="VTPR0409" localSheetId="5">#N/A</definedName>
    <definedName name="VTPR0409" localSheetId="4">#REF!</definedName>
    <definedName name="VTPR0409">#REF!</definedName>
    <definedName name="VTPR0410" localSheetId="5">#N/A</definedName>
    <definedName name="VTPR0410" localSheetId="4">#REF!</definedName>
    <definedName name="VTPR0410">#REF!</definedName>
    <definedName name="VTPR0411" localSheetId="5">#N/A</definedName>
    <definedName name="VTPR0411" localSheetId="4">#REF!</definedName>
    <definedName name="VTPR0411">#REF!</definedName>
    <definedName name="VTPR0412" localSheetId="5">#N/A</definedName>
    <definedName name="VTPR0412" localSheetId="4">#REF!</definedName>
    <definedName name="VTPR0412">#REF!</definedName>
    <definedName name="VTRUST">#N/A</definedName>
    <definedName name="VV" localSheetId="5">#REF!</definedName>
    <definedName name="VV" localSheetId="4">#REF!</definedName>
    <definedName name="VV">#REF!</definedName>
    <definedName name="w" localSheetId="5">#REF!</definedName>
    <definedName name="w" localSheetId="4">#REF!</definedName>
    <definedName name="w">#REF!</definedName>
    <definedName name="w_12">"$#REF!.$A$1:$AMJ$6"</definedName>
    <definedName name="w_13">"$#REF!.$A$1:$AMJ$6"</definedName>
    <definedName name="w_14">"$#REF!.$A$1:$AMJ$6"</definedName>
    <definedName name="w_3" localSheetId="5">#REF!</definedName>
    <definedName name="w_3" localSheetId="4">#REF!</definedName>
    <definedName name="w_3">#REF!</definedName>
    <definedName name="w_6">"$#REF!.$A$1:$AMJ$6"</definedName>
    <definedName name="w_7">"$#REF!.$A$1:$AMJ$6"</definedName>
    <definedName name="w_8">"$#REF!.$A$1:$AMJ$6"</definedName>
    <definedName name="W4.23">[37]Tables!#REF!</definedName>
    <definedName name="WANG" localSheetId="5" xml:space="preserve"> IF(#REF! = "", "",#REF!)</definedName>
    <definedName name="WANG" localSheetId="4">IF(#REF!="","",#REF!)</definedName>
    <definedName name="WANG">IF(#REF!="","",#REF!)</definedName>
    <definedName name="WARW" localSheetId="5">#REF!</definedName>
    <definedName name="WARW" localSheetId="4">#REF!</definedName>
    <definedName name="WARW">#REF!</definedName>
    <definedName name="WE" localSheetId="5">#REF!</definedName>
    <definedName name="WE" localSheetId="4">#REF!</definedName>
    <definedName name="WE">#REF!</definedName>
    <definedName name="WE_D_LIKE_TO_REPORT_THAT_OUR_DEPT_HOLIDAY_WORKING__AS_FOLLOWING" localSheetId="5">#REF!</definedName>
    <definedName name="WE_D_LIKE_TO_REPORT_THAT_OUR_DEPT_HOLIDAY_WORKING__AS_FOLLOWING" localSheetId="4">#REF!</definedName>
    <definedName name="WE_D_LIKE_TO_REPORT_THAT_OUR_DEPT_HOLIDAY_WORKING__AS_FOLLOWING">#REF!</definedName>
    <definedName name="wedy" localSheetId="5">#REF!</definedName>
    <definedName name="wedy" localSheetId="4">#REF!</definedName>
    <definedName name="wedy">#REF!</definedName>
    <definedName name="weedy" localSheetId="5">#REF!</definedName>
    <definedName name="weedy" localSheetId="4">#REF!</definedName>
    <definedName name="weedy">#REF!</definedName>
    <definedName name="Week" localSheetId="5">#REF!</definedName>
    <definedName name="Week" localSheetId="4">#REF!</definedName>
    <definedName name="Week">#REF!</definedName>
    <definedName name="Week_12" localSheetId="5">#REF!</definedName>
    <definedName name="Week_12" localSheetId="4">#REF!</definedName>
    <definedName name="Week_12">#REF!</definedName>
    <definedName name="Week_12_5" localSheetId="5">#REF!</definedName>
    <definedName name="Week_12_5" localSheetId="4">#REF!</definedName>
    <definedName name="Week_12_5">#REF!</definedName>
    <definedName name="Week_12_5_5" localSheetId="5">#REF!</definedName>
    <definedName name="Week_12_5_5" localSheetId="4">#REF!</definedName>
    <definedName name="Week_12_5_5">#REF!</definedName>
    <definedName name="Week_12_8" localSheetId="5">#REF!</definedName>
    <definedName name="Week_12_8" localSheetId="4">#REF!</definedName>
    <definedName name="Week_12_8">#REF!</definedName>
    <definedName name="Week_13" localSheetId="5">#REF!</definedName>
    <definedName name="Week_13" localSheetId="4">#REF!</definedName>
    <definedName name="Week_13">#REF!</definedName>
    <definedName name="Week_13_5" localSheetId="5">#REF!</definedName>
    <definedName name="Week_13_5" localSheetId="4">#REF!</definedName>
    <definedName name="Week_13_5">#REF!</definedName>
    <definedName name="Week_13_5_5" localSheetId="5">#REF!</definedName>
    <definedName name="Week_13_5_5" localSheetId="4">#REF!</definedName>
    <definedName name="Week_13_5_5">#REF!</definedName>
    <definedName name="Week_13_8" localSheetId="5">#REF!</definedName>
    <definedName name="Week_13_8" localSheetId="4">#REF!</definedName>
    <definedName name="Week_13_8">#REF!</definedName>
    <definedName name="Week_14" localSheetId="5">#REF!</definedName>
    <definedName name="Week_14" localSheetId="4">#REF!</definedName>
    <definedName name="Week_14">#REF!</definedName>
    <definedName name="Week_14_5" localSheetId="5">#REF!</definedName>
    <definedName name="Week_14_5" localSheetId="4">#REF!</definedName>
    <definedName name="Week_14_5">#REF!</definedName>
    <definedName name="Week_14_5_5" localSheetId="5">#REF!</definedName>
    <definedName name="Week_14_5_5" localSheetId="4">#REF!</definedName>
    <definedName name="Week_14_5_5">#REF!</definedName>
    <definedName name="Week_14_8" localSheetId="5">#REF!</definedName>
    <definedName name="Week_14_8" localSheetId="4">#REF!</definedName>
    <definedName name="Week_14_8">#REF!</definedName>
    <definedName name="Week_3" localSheetId="5">#REF!</definedName>
    <definedName name="Week_3" localSheetId="4">#REF!</definedName>
    <definedName name="Week_3">#REF!</definedName>
    <definedName name="Week_5" localSheetId="5">#REF!</definedName>
    <definedName name="Week_5" localSheetId="4">#REF!</definedName>
    <definedName name="Week_5">#REF!</definedName>
    <definedName name="Week_8" localSheetId="5">#REF!</definedName>
    <definedName name="Week_8" localSheetId="4">#REF!</definedName>
    <definedName name="Week_8">#REF!</definedName>
    <definedName name="werw" localSheetId="5">[2]!werw</definedName>
    <definedName name="WERW" localSheetId="4">#REF!</definedName>
    <definedName name="WERW">#REF!</definedName>
    <definedName name="wfwfwfwwf">[18]!A_VOLUME</definedName>
    <definedName name="WHAT" localSheetId="5">#REF!</definedName>
    <definedName name="WHAT" localSheetId="4">#REF!</definedName>
    <definedName name="WHAT">#REF!</definedName>
    <definedName name="why" localSheetId="5">#REF!</definedName>
    <definedName name="why" localSheetId="4">#REF!</definedName>
    <definedName name="why">#REF!</definedName>
    <definedName name="why_4" localSheetId="5">#REF!</definedName>
    <definedName name="why_4" localSheetId="4">#REF!</definedName>
    <definedName name="why_4">#REF!</definedName>
    <definedName name="why_42" localSheetId="5">#REF!</definedName>
    <definedName name="why_42" localSheetId="4">#REF!</definedName>
    <definedName name="why_42">#REF!</definedName>
    <definedName name="why_49" localSheetId="5">#REF!</definedName>
    <definedName name="why_49" localSheetId="4">#REF!</definedName>
    <definedName name="why_49">#REF!</definedName>
    <definedName name="work" localSheetId="5">#REF!</definedName>
    <definedName name="work" localSheetId="4">#REF!</definedName>
    <definedName name="work">#REF!</definedName>
    <definedName name="work_12">"$#REF!.$#REF!$#REF!"</definedName>
    <definedName name="work_12_5">"$#REF!.$#REF!$#REF!"</definedName>
    <definedName name="work_13">"$#REF!.$#REF!$#REF!"</definedName>
    <definedName name="work_13_5">"$#REF!.$#REF!$#REF!"</definedName>
    <definedName name="work_14">"$#REF!.$#REF!$#REF!"</definedName>
    <definedName name="work_14_5">"$#REF!.$#REF!$#REF!"</definedName>
    <definedName name="work_3" localSheetId="5">#REF!</definedName>
    <definedName name="work_3" localSheetId="4">#REF!</definedName>
    <definedName name="work_3">#REF!</definedName>
    <definedName name="work_3_5" localSheetId="5">#REF!</definedName>
    <definedName name="work_3_5" localSheetId="4">#REF!</definedName>
    <definedName name="work_3_5">#REF!</definedName>
    <definedName name="work_5" localSheetId="5">#REF!</definedName>
    <definedName name="work_5" localSheetId="4">#REF!</definedName>
    <definedName name="work_5">#REF!</definedName>
    <definedName name="work_5_5" localSheetId="5">#REF!</definedName>
    <definedName name="work_5_5" localSheetId="4">#REF!</definedName>
    <definedName name="work_5_5">#REF!</definedName>
    <definedName name="work_8" localSheetId="5">#REF!</definedName>
    <definedName name="work_8" localSheetId="4">#REF!</definedName>
    <definedName name="work_8">#REF!</definedName>
    <definedName name="worker" localSheetId="5">#REF!</definedName>
    <definedName name="worker" localSheetId="4">#REF!</definedName>
    <definedName name="worker">#REF!</definedName>
    <definedName name="ws" localSheetId="5">#REF!</definedName>
    <definedName name="ws" localSheetId="4">#REF!</definedName>
    <definedName name="ws">#REF!</definedName>
    <definedName name="WW" localSheetId="5">#REF!</definedName>
    <definedName name="WW" localSheetId="4">#REF!</definedName>
    <definedName name="WW">#REF!</definedName>
    <definedName name="www" localSheetId="5">#REF!</definedName>
    <definedName name="www" localSheetId="4">#REF!</definedName>
    <definedName name="www">#REF!</definedName>
    <definedName name="WWWW" localSheetId="5">#REF!</definedName>
    <definedName name="WWWW" localSheetId="4">#REF!</definedName>
    <definedName name="WWWW">#REF!</definedName>
    <definedName name="WWWWWWWWWSA" localSheetId="5">#REF!</definedName>
    <definedName name="WWWWWWWWWSA" localSheetId="4">#REF!</definedName>
    <definedName name="WWWWWWWWWSA">#REF!</definedName>
    <definedName name="WWWWWWWWWWWWWWW" localSheetId="5">#REF!</definedName>
    <definedName name="WWWWWWWWWWWWWWW" localSheetId="4">#REF!</definedName>
    <definedName name="WWWWWWWWWWWWWWW">#REF!</definedName>
    <definedName name="WWWWWWWWWWWWWWWWWW" localSheetId="5">#REF!</definedName>
    <definedName name="WWWWWWWWWWWWWWWWWW" localSheetId="4">#REF!</definedName>
    <definedName name="WWWWWWWWWWWWWWWWWW">#REF!</definedName>
    <definedName name="x" localSheetId="5">#REF!</definedName>
    <definedName name="x" localSheetId="4">#REF!</definedName>
    <definedName name="x">#REF!</definedName>
    <definedName name="XAZSGEQFAE" localSheetId="5">#N/A</definedName>
    <definedName name="XAZSGEQFAE" localSheetId="4">#REF!</definedName>
    <definedName name="XAZSGEQFAE">#REF!</definedName>
    <definedName name="xbnhy" localSheetId="5">#REF!</definedName>
    <definedName name="xbnhy" localSheetId="4">#REF!</definedName>
    <definedName name="xbnhy">#REF!</definedName>
    <definedName name="XCEFAEF" localSheetId="5">#REF!</definedName>
    <definedName name="XCEFAEF" localSheetId="4">#REF!</definedName>
    <definedName name="XCEFAEF">#REF!</definedName>
    <definedName name="XDHGFJG" localSheetId="5">#N/A</definedName>
    <definedName name="XDHGFJG" localSheetId="4">#REF!</definedName>
    <definedName name="XDHGFJG">#REF!</definedName>
    <definedName name="XEFQ" localSheetId="5">#REF!</definedName>
    <definedName name="XEFQ" localSheetId="4">#REF!</definedName>
    <definedName name="XEFQ">#REF!</definedName>
    <definedName name="xeq" localSheetId="5">#REF!</definedName>
    <definedName name="xeq" localSheetId="4">#REF!</definedName>
    <definedName name="xeq">#REF!</definedName>
    <definedName name="XFADFAE" localSheetId="5">#REF!</definedName>
    <definedName name="XFADFAE" localSheetId="4">#REF!</definedName>
    <definedName name="XFADFAE">#REF!</definedName>
    <definedName name="xgzn" localSheetId="5">#N/A</definedName>
    <definedName name="xgzn" localSheetId="4">#REF!</definedName>
    <definedName name="xgzn">#REF!</definedName>
    <definedName name="xhznt" localSheetId="5">#N/A</definedName>
    <definedName name="xhznt" localSheetId="4">#REF!</definedName>
    <definedName name="xhznt">#REF!</definedName>
    <definedName name="XIJIHUANSHU" localSheetId="5" xml:space="preserve"> IF(#REF! = "", "",#REF!)</definedName>
    <definedName name="XIJIHUANSHU" localSheetId="4">IF(#REF!="","",#REF!)</definedName>
    <definedName name="XIJIHUANSHU">IF(#REF!="","",#REF!)</definedName>
    <definedName name="xnbdtrynh" localSheetId="5">#N/A</definedName>
    <definedName name="xnbdtrynh" localSheetId="4">#REF!</definedName>
    <definedName name="xnbdtrynh">#REF!</definedName>
    <definedName name="xnbh" localSheetId="5">#N/A</definedName>
    <definedName name="xnbh" localSheetId="4">#REF!</definedName>
    <definedName name="xnbh">#REF!</definedName>
    <definedName name="xndhzg" localSheetId="5">#N/A</definedName>
    <definedName name="xndhzg" localSheetId="4">#REF!</definedName>
    <definedName name="xndhzg">#REF!</definedName>
    <definedName name="XVCXB" localSheetId="5">#N/A</definedName>
    <definedName name="XVCXB" localSheetId="4">#REF!</definedName>
    <definedName name="XVCXB">#REF!</definedName>
    <definedName name="XXX" localSheetId="5">#REF!</definedName>
    <definedName name="XXX" localSheetId="4">#REF!</definedName>
    <definedName name="XXX">#REF!</definedName>
    <definedName name="xxxxx" localSheetId="5">#REF!</definedName>
    <definedName name="xxxxx" localSheetId="4">#REF!</definedName>
    <definedName name="xxxxx">#REF!</definedName>
    <definedName name="xxxxxxxxxxxxxxx" localSheetId="5">#REF!</definedName>
    <definedName name="xxxxxxxxxxxxxxx" localSheetId="4">#REF!</definedName>
    <definedName name="xxxxxxxxxxxxxxx">#REF!</definedName>
    <definedName name="xyz" localSheetId="5">#REF!</definedName>
    <definedName name="xyz" localSheetId="4">#REF!</definedName>
    <definedName name="xyz">#REF!</definedName>
    <definedName name="XZA" localSheetId="5">#REF!</definedName>
    <definedName name="XZA" localSheetId="4">#REF!</definedName>
    <definedName name="XZA">#REF!</definedName>
    <definedName name="XZCVX">'[42]9.11 '!XZCVX</definedName>
    <definedName name="xzrtnyh" localSheetId="5">[1]피유.프레스!#REF!</definedName>
    <definedName name="xzrtnyh" localSheetId="4">#REF!</definedName>
    <definedName name="xzrtnyh">#REF!</definedName>
    <definedName name="y" localSheetId="5">#REF!</definedName>
    <definedName name="y" localSheetId="4">#REF!</definedName>
    <definedName name="y">#REF!</definedName>
    <definedName name="yanti">"'smb://Ujang/mst/My%20Documents/spec/MST/TERRA%20SEBEC%205%20ZIP/GS/My%20Documents/new%20CSS%20PU%20form(95).xls'#A_WEIGHTS"</definedName>
    <definedName name="yanti_5">"'smb://Ujang/mst/My%252520Documents/spec/MST/TERRA%252520SEBEC%2525205%252520ZIP/GS/My%252520Documents/new%252520CSS%252520PU%252520form(95).xls'#A_WEIGHTS"</definedName>
    <definedName name="yanti_8">"'smb://Ujang/mst/My%2520Documents/spec/MST/TERRA%2520SEBEC%25205%2520ZIP/GS/My%2520Documents/new%2520CSS%2520PU%2520form(95).xls'#A_WEIGHTS"</definedName>
    <definedName name="ydtkjhgjh" localSheetId="5">#N/A</definedName>
    <definedName name="ydtkjhgjh" localSheetId="4">#REF!</definedName>
    <definedName name="ydtkjhgjh">#REF!</definedName>
    <definedName name="Year">'[47]Look Up'!$E$2:$E$20</definedName>
    <definedName name="YES">[18]!A_ANALYSIS</definedName>
    <definedName name="yesaya" localSheetId="5">#REF!</definedName>
    <definedName name="yesaya" localSheetId="4">#REF!</definedName>
    <definedName name="yesaya">#REF!</definedName>
    <definedName name="Yesno" localSheetId="5">[61]Sheet1!$A$11:$A$14</definedName>
    <definedName name="Yesno">[62]Sheet1!$A$11:$A$14</definedName>
    <definedName name="YESS">[18]!PAGE_WIDTH</definedName>
    <definedName name="ygh" localSheetId="5">#REF!</definedName>
    <definedName name="ygh" localSheetId="4">#REF!</definedName>
    <definedName name="ygh">#REF!</definedName>
    <definedName name="YHHRY">[18]!A_VOLUME</definedName>
    <definedName name="yhjy" localSheetId="5">#REF!</definedName>
    <definedName name="yhjy" localSheetId="4">#REF!</definedName>
    <definedName name="yhjy">#REF!</definedName>
    <definedName name="Yield" localSheetId="5">#REF!</definedName>
    <definedName name="Yield" localSheetId="4">#REF!</definedName>
    <definedName name="Yield">#REF!</definedName>
    <definedName name="yilong" localSheetId="5">#REF!</definedName>
    <definedName name="yilong" localSheetId="4">#REF!</definedName>
    <definedName name="yilong">#REF!</definedName>
    <definedName name="yilong_1">#N/A</definedName>
    <definedName name="yilong_5" localSheetId="5">#REF!</definedName>
    <definedName name="yilong_5" localSheetId="4">#REF!</definedName>
    <definedName name="yilong_5">#REF!</definedName>
    <definedName name="yj" localSheetId="5">#REF!</definedName>
    <definedName name="yj" localSheetId="4">#REF!</definedName>
    <definedName name="yj">#REF!</definedName>
    <definedName name="ykdgh" localSheetId="5">#N/A</definedName>
    <definedName name="ykdgh" localSheetId="4">#REF!</definedName>
    <definedName name="ykdgh">#REF!</definedName>
    <definedName name="yl" localSheetId="5">#REF!</definedName>
    <definedName name="yl" localSheetId="4">#REF!</definedName>
    <definedName name="yl">#REF!</definedName>
    <definedName name="yl_1">#N/A</definedName>
    <definedName name="yl_5" localSheetId="5">#REF!</definedName>
    <definedName name="yl_5" localSheetId="4">#REF!</definedName>
    <definedName name="yl_5">#REF!</definedName>
    <definedName name="YU" localSheetId="5">#REF!</definedName>
    <definedName name="YU" localSheetId="4">#REF!</definedName>
    <definedName name="YU">#REF!</definedName>
    <definedName name="yuyu" localSheetId="5">#REF!</definedName>
    <definedName name="yuyu" localSheetId="4">#REF!</definedName>
    <definedName name="yuyu">#REF!</definedName>
    <definedName name="yyyyyyyyyyyyyyyyyy" localSheetId="5">#REF!</definedName>
    <definedName name="yyyyyyyyyyyyyyyyyy" localSheetId="4">#REF!</definedName>
    <definedName name="yyyyyyyyyyyyyyyyyy">#REF!</definedName>
    <definedName name="z" localSheetId="5">#REF!</definedName>
    <definedName name="z" localSheetId="4">#REF!</definedName>
    <definedName name="z">#REF!</definedName>
    <definedName name="ZAS" localSheetId="5">#REF!</definedName>
    <definedName name="ZAS" localSheetId="4">#REF!</definedName>
    <definedName name="ZAS">#REF!</definedName>
    <definedName name="zde" localSheetId="5">#REF!</definedName>
    <definedName name="zde" localSheetId="4">#REF!</definedName>
    <definedName name="zde">#REF!</definedName>
    <definedName name="zdfafaf" localSheetId="5">#N/A</definedName>
    <definedName name="zdfafaf" localSheetId="4">#REF!</definedName>
    <definedName name="zdfafaf">#REF!</definedName>
    <definedName name="ZDFEZ" localSheetId="5">#N/A</definedName>
    <definedName name="ZDFEZ" localSheetId="4">#REF!</definedName>
    <definedName name="ZDFEZ">#REF!</definedName>
    <definedName name="zdfezdf" localSheetId="5">#N/A</definedName>
    <definedName name="zdfezdf" localSheetId="4">#REF!</definedName>
    <definedName name="zdfezdf">#REF!</definedName>
    <definedName name="zdfqfadf" localSheetId="5">#N/A</definedName>
    <definedName name="zdfqfadf" localSheetId="4">#REF!</definedName>
    <definedName name="zdfqfadf">#REF!</definedName>
    <definedName name="zdgra" localSheetId="5">#N/A</definedName>
    <definedName name="zdgra" localSheetId="4">#REF!</definedName>
    <definedName name="zdgra">#REF!</definedName>
    <definedName name="ZE" localSheetId="5">#REF!</definedName>
    <definedName name="ZE" localSheetId="4">#REF!</definedName>
    <definedName name="ZE">#REF!</definedName>
    <definedName name="zea" localSheetId="5">#REF!</definedName>
    <definedName name="zea" localSheetId="4">#REF!</definedName>
    <definedName name="zea">#REF!</definedName>
    <definedName name="zefafq" localSheetId="5">#REF!</definedName>
    <definedName name="zefafq" localSheetId="4">#REF!</definedName>
    <definedName name="zefafq">#REF!</definedName>
    <definedName name="ZEQFA" localSheetId="5">#N/A</definedName>
    <definedName name="ZEQFA" localSheetId="4">#REF!</definedName>
    <definedName name="ZEQFA">#REF!</definedName>
    <definedName name="ZFDGAG" localSheetId="5">#N/A</definedName>
    <definedName name="ZFDGAG" localSheetId="4">#REF!</definedName>
    <definedName name="ZFDGAG">#REF!</definedName>
    <definedName name="zgarfaf" localSheetId="5">#REF!</definedName>
    <definedName name="zgarfaf" localSheetId="4">#REF!</definedName>
    <definedName name="zgarfaf">#REF!</definedName>
    <definedName name="zgeqf" localSheetId="5">#N/A</definedName>
    <definedName name="zgeqf" localSheetId="4">#REF!</definedName>
    <definedName name="zgeqf">#REF!</definedName>
    <definedName name="zgerez" localSheetId="5">#REF!</definedName>
    <definedName name="zgerez" localSheetId="4">#REF!</definedName>
    <definedName name="zgerez">#REF!</definedName>
    <definedName name="zgqrgqf" localSheetId="5">#REF!</definedName>
    <definedName name="zgqrgqf" localSheetId="4">#REF!</definedName>
    <definedName name="zgqrgqf">#REF!</definedName>
    <definedName name="Zip" localSheetId="5">#REF!</definedName>
    <definedName name="Zip" localSheetId="4">#REF!</definedName>
    <definedName name="Zip">#REF!</definedName>
    <definedName name="ZSA" localSheetId="5">#REF!</definedName>
    <definedName name="ZSA" localSheetId="4">#REF!</definedName>
    <definedName name="ZSA">#REF!</definedName>
    <definedName name="ZXC" localSheetId="5">#REF!</definedName>
    <definedName name="ZXC" localSheetId="4">#REF!</definedName>
    <definedName name="ZXC">#REF!</definedName>
    <definedName name="ZZ" localSheetId="5">#REF!</definedName>
    <definedName name="ZZ" localSheetId="4">#REF!</definedName>
    <definedName name="ZZ">#REF!</definedName>
    <definedName name="ZZZ" localSheetId="5">#REF!</definedName>
    <definedName name="ZZZ" localSheetId="4">#REF!</definedName>
    <definedName name="ZZZ">#REF!</definedName>
    <definedName name="강대은">[78]!강대은</definedName>
    <definedName name="개발단계별" localSheetId="5">'[65]LPC TEMPLATE'!$B$65:INDEX('[65]LPC TEMPLATE'!$B$65:$B$73,COUNTA('[65]LPC TEMPLATE'!$B$65:$B$73))</definedName>
    <definedName name="개발단계별">'[66]LPC TEMPLATE'!$B$65:INDEX('[66]LPC TEMPLATE'!$B$65:$B$73,COUNTA('[66]LPC TEMPLATE'!$B$65:$B$73))</definedName>
    <definedName name="견본" localSheetId="5">#REF!</definedName>
    <definedName name="견본" localSheetId="4">#REF!</definedName>
    <definedName name="견본">#REF!</definedName>
    <definedName name="나염2" localSheetId="5">#REF!</definedName>
    <definedName name="나염2" localSheetId="4">#REF!</definedName>
    <definedName name="나염2">#REF!</definedName>
    <definedName name="나이키" localSheetId="5">#REF!</definedName>
    <definedName name="나이키" localSheetId="4">#REF!</definedName>
    <definedName name="나이키">#REF!</definedName>
    <definedName name="단가" localSheetId="5">#N/A</definedName>
    <definedName name="단가" localSheetId="4">#REF!</definedName>
    <definedName name="단가">#REF!</definedName>
    <definedName name="데이터">INDIRECT('[79]5.수정데이터통합'!$G$2)</definedName>
    <definedName name="도레미" localSheetId="5">#REF!</definedName>
    <definedName name="도레미" localSheetId="4">#REF!</definedName>
    <definedName name="도레미">#REF!</definedName>
    <definedName name="ㄸㄱ구믇045352756" localSheetId="5">#REF!</definedName>
    <definedName name="ㄸㄱ구믇045352756" localSheetId="4">#REF!</definedName>
    <definedName name="ㄸㄱ구믇045352756">#REF!</definedName>
    <definedName name="ㄸㄱ구믇056236863" localSheetId="5">#REF!</definedName>
    <definedName name="ㄸㄱ구믇056236863" localSheetId="4">#REF!</definedName>
    <definedName name="ㄸㄱ구믇056236863">#REF!</definedName>
    <definedName name="ㄸㄱ구믇533424019" localSheetId="5">#REF!</definedName>
    <definedName name="ㄸㄱ구믇533424019" localSheetId="4">#REF!</definedName>
    <definedName name="ㄸㄱ구믇533424019">#REF!</definedName>
    <definedName name="ㄸㄱ구믇579518615" localSheetId="5">#REF!</definedName>
    <definedName name="ㄸㄱ구믇579518615" localSheetId="4">#REF!</definedName>
    <definedName name="ㄸㄱ구믇579518615">#REF!</definedName>
    <definedName name="ㄸㄱ구믇705547510" localSheetId="5">#REF!</definedName>
    <definedName name="ㄸㄱ구믇705547510" localSheetId="4">#REF!</definedName>
    <definedName name="ㄸㄱ구믇705547510">#REF!</definedName>
    <definedName name="ㄸㄱ구믇774740099">#N/A</definedName>
    <definedName name="ㄹㄹ" localSheetId="5">#REF!</definedName>
    <definedName name="ㄹㄹ" localSheetId="4">#REF!</definedName>
    <definedName name="ㄹㄹ">#REF!</definedName>
    <definedName name="ㄹㄹ_12">"$#REF!.$E$62:$F$62"</definedName>
    <definedName name="ㄹㄹ_13">"$#REF!.$E$62:$F$62"</definedName>
    <definedName name="ㄹㄹ_14">"$#REF!.$E$62:$F$62"</definedName>
    <definedName name="ㄹㄹ_3" localSheetId="5">#REF!</definedName>
    <definedName name="ㄹㄹ_3" localSheetId="4">#REF!</definedName>
    <definedName name="ㄹㄹ_3">#REF!</definedName>
    <definedName name="ㄹㄹ_3_5" localSheetId="5">#REF!</definedName>
    <definedName name="ㄹㄹ_3_5" localSheetId="4">#REF!</definedName>
    <definedName name="ㄹㄹ_3_5">#REF!</definedName>
    <definedName name="ㄹㄹ_4" localSheetId="5">#REF!</definedName>
    <definedName name="ㄹㄹ_4" localSheetId="4">#REF!</definedName>
    <definedName name="ㄹㄹ_4">#REF!</definedName>
    <definedName name="ㄹㄹ_6">"$#REF!.$E$62:$F$62"</definedName>
    <definedName name="ㄹㄹ_7">"$#REF!.$E$62:$F$62"</definedName>
    <definedName name="ㄹㄹ_8">"$#REF!.$E$62:$F$62"</definedName>
    <definedName name="ㅁ1" localSheetId="5">#REF!</definedName>
    <definedName name="ㅁ1" localSheetId="4">#REF!</definedName>
    <definedName name="ㅁ1">#REF!</definedName>
    <definedName name="ㅁㅁ" localSheetId="5">#REF!</definedName>
    <definedName name="ㅁㅁ" localSheetId="4">#REF!</definedName>
    <definedName name="ㅁㅁ">#REF!</definedName>
    <definedName name="ㅂ">BlankMacro1</definedName>
    <definedName name="반제품기말">#N/A</definedName>
    <definedName name="반제품기초">#N/A</definedName>
    <definedName name="범위">#N/A</definedName>
    <definedName name="변수들" localSheetId="5">#REF!</definedName>
    <definedName name="변수들" localSheetId="4">#REF!</definedName>
    <definedName name="변수들">#REF!</definedName>
    <definedName name="비중" localSheetId="5">#N/A</definedName>
    <definedName name="비중" localSheetId="4">#REF!</definedName>
    <definedName name="비중">#REF!</definedName>
    <definedName name="생산계획">#N/A</definedName>
    <definedName name="생산계획소모품">#N/A</definedName>
    <definedName name="신" localSheetId="5">#REF!</definedName>
    <definedName name="신" localSheetId="4">#REF!</definedName>
    <definedName name="신">#REF!</definedName>
    <definedName name="ㅇㅇ" localSheetId="5">#REF!</definedName>
    <definedName name="ㅇㅇ" localSheetId="4">#REF!</definedName>
    <definedName name="ㅇㅇ">#REF!</definedName>
    <definedName name="ㅇㅇㅇ" localSheetId="5">#REF!</definedName>
    <definedName name="ㅇㅇㅇ" localSheetId="4">#REF!</definedName>
    <definedName name="ㅇㅇㅇ">#REF!</definedName>
    <definedName name="알파벳" localSheetId="5">#REF!</definedName>
    <definedName name="알파벳" localSheetId="4">#REF!</definedName>
    <definedName name="알파벳">#REF!</definedName>
    <definedName name="알파벳2" localSheetId="5">#REF!</definedName>
    <definedName name="알파벳2" localSheetId="4">#REF!</definedName>
    <definedName name="알파벳2">#REF!</definedName>
    <definedName name="업퍼" localSheetId="5">#REF!</definedName>
    <definedName name="업퍼" localSheetId="4">#REF!</definedName>
    <definedName name="업퍼">#REF!</definedName>
    <definedName name="옵션">[40]!옵션</definedName>
    <definedName name="완제기말">#N/A</definedName>
    <definedName name="완제기초">#N/A</definedName>
    <definedName name="원가" localSheetId="5">#REF!</definedName>
    <definedName name="원가" localSheetId="4">#REF!</definedName>
    <definedName name="원가">#REF!</definedName>
    <definedName name="원본데이터" localSheetId="5">OFFSET('[80]5.수정데이터통합'!$B$5,0,0,COUNTA('[80]5.수정데이터통합'!$B2:$B1043036),11)</definedName>
    <definedName name="원본데이터">OFFSET('[81]5.수정데이터통합'!$B$5,0,0,COUNTA('[81]5.수정데이터통합'!$B2:$B1043036),11)</definedName>
    <definedName name="원재료">[40]!원재료</definedName>
    <definedName name="원재료기말">#N/A</definedName>
    <definedName name="원재료기초">#N/A</definedName>
    <definedName name="은성">[40]!은성</definedName>
    <definedName name="인원">BlankMacro1</definedName>
    <definedName name="일" localSheetId="5">#REF!</definedName>
    <definedName name="일" localSheetId="4">#REF!</definedName>
    <definedName name="일">#REF!</definedName>
    <definedName name="ㅈㅈㅈㅈㅈㅈ">[40]!ㅈㅈㅈㅈㅈㅈ</definedName>
    <definedName name="재공품기말">#N/A</definedName>
    <definedName name="재공품기초">#N/A</definedName>
    <definedName name="재단부품">[4]!A_SG</definedName>
    <definedName name="재봉" localSheetId="5">#REF!</definedName>
    <definedName name="재봉" localSheetId="4">#REF!</definedName>
    <definedName name="재봉">#REF!</definedName>
    <definedName name="재질" localSheetId="5">#N/A</definedName>
    <definedName name="재질" localSheetId="4">#REF!</definedName>
    <definedName name="재질">#REF!</definedName>
    <definedName name="제조" localSheetId="5">#REF!</definedName>
    <definedName name="제조" localSheetId="4">#REF!</definedName>
    <definedName name="제조">#REF!</definedName>
    <definedName name="참조">[40]!참조</definedName>
    <definedName name="총계정원장">#N/A</definedName>
    <definedName name="츠" localSheetId="5">#REF!</definedName>
    <definedName name="츠" localSheetId="4">#REF!</definedName>
    <definedName name="츠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퓨즈">[4]!A_ANALYSIS</definedName>
    <definedName name="퓨즈분석자료" localSheetId="5">#REF!</definedName>
    <definedName name="퓨즈분석자료" localSheetId="4">#REF!</definedName>
    <definedName name="퓨즈분석자료">#REF!</definedName>
    <definedName name="ㅏㅏ" localSheetId="5">#REF!</definedName>
    <definedName name="ㅏㅏ" localSheetId="4">#REF!</definedName>
    <definedName name="ㅏㅏ">#REF!</definedName>
    <definedName name="一" localSheetId="4">#REF!</definedName>
    <definedName name="一">#REF!</definedName>
    <definedName name="三" localSheetId="4">#REF!</definedName>
    <definedName name="三">#REF!</definedName>
    <definedName name="上" localSheetId="5" xml:space="preserve"> IF(#REF! = "", "",#REF!)</definedName>
    <definedName name="上" localSheetId="4">IF(#REF!="","",#REF!)</definedName>
    <definedName name="上">IF(#REF!="","",#REF!)</definedName>
    <definedName name="二" localSheetId="4">#REF!</definedName>
    <definedName name="二">#REF!</definedName>
    <definedName name="寺">[16]!直線55_Click</definedName>
    <definedName name="寺_42">#NAME?</definedName>
    <definedName name="干活撒地方就合缝">[37]Tables!#REF!</definedName>
    <definedName name="改善活動">'[82]Supplier List'!$E$2:$E$23</definedName>
    <definedName name="新" localSheetId="5" xml:space="preserve"> IF(#REF! = "", "",#REF!)</definedName>
    <definedName name="新" localSheetId="4">IF(#REF!="","",#REF!)</definedName>
    <definedName name="新">IF(#REF!="","",#REF!)</definedName>
    <definedName name="新改计划书" localSheetId="5" xml:space="preserve"> IF(#REF! = "", "",#REF!)</definedName>
    <definedName name="新改计划书" localSheetId="4">IF(#REF!="","",#REF!)</definedName>
    <definedName name="新改计划书">IF(#REF!="","",#REF!)</definedName>
    <definedName name="新格式" localSheetId="5">#REF!</definedName>
    <definedName name="新格式" localSheetId="4">#REF!</definedName>
    <definedName name="新格式">#REF!</definedName>
    <definedName name="新计划书">[37]Tables!#REF!</definedName>
    <definedName name="查詢1" localSheetId="5">#REF!</definedName>
    <definedName name="查詢1" localSheetId="4">#REF!</definedName>
    <definedName name="查詢1">#REF!</definedName>
    <definedName name="查詢1_1">#N/A</definedName>
    <definedName name="查詢1_5" localSheetId="5">#REF!</definedName>
    <definedName name="查詢1_5" localSheetId="4">#REF!</definedName>
    <definedName name="查詢1_5">#REF!</definedName>
    <definedName name="直線55_Click">[17]!直線55_Click</definedName>
    <definedName name="直線55_Click_5">"'smb://Walter/upper/TECH/MERRY/178049A.XLS'#直線55_Click"</definedName>
    <definedName name="直線55_Click_8">"'smb://Walter/upper/TECH/MERRY/178049A.XLS'#直線55_Click"</definedName>
    <definedName name="矗線56_Click">[17]!直線55_Click</definedName>
    <definedName name="矗線56_Click_5">"'smb://Walter/upper/TECH/MERRY/178049A.XLS'#直線55_Click"</definedName>
    <definedName name="矗線56_Click_8">"'smb://Walter/upper/TECH/MERRY/178049A.XLS'#直線55_Click"</definedName>
    <definedName name="破计划">[37]Tables!#REF!</definedName>
    <definedName name="第二階段生產報表" localSheetId="5">#REF!</definedName>
    <definedName name="第二階段生產報表" localSheetId="4">#REF!</definedName>
    <definedName name="第二階段生產報表">#REF!</definedName>
    <definedName name="表4_23">"$#REF!.$A$18:$AG$30"</definedName>
    <definedName name="裁断分析表">[5]!A_HARDNESS</definedName>
    <definedName name="裁断分析表2">[5]!A_ANALYSIS</definedName>
    <definedName name="计划书" localSheetId="5" xml:space="preserve"> IF(#REF! = "", "",#REF!)</definedName>
    <definedName name="计划书" localSheetId="4">IF(#REF!="","",#REF!)</definedName>
    <definedName name="计划书">IF(#REF!="","",#REF!)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4" i="11" l="1"/>
  <c r="B22" i="11"/>
  <c r="AM42" i="11"/>
  <c r="AM21" i="11"/>
  <c r="AM41" i="11"/>
  <c r="AM20" i="11"/>
  <c r="AM40" i="11"/>
  <c r="AM19" i="11"/>
  <c r="AM38" i="11"/>
  <c r="AN17" i="11"/>
  <c r="AM17" i="11"/>
  <c r="AM37" i="11"/>
  <c r="AM16" i="11"/>
  <c r="AM36" i="11"/>
  <c r="AM15" i="11"/>
  <c r="AM35" i="11"/>
  <c r="AM14" i="11"/>
  <c r="AM34" i="11"/>
  <c r="AM13" i="11"/>
  <c r="AM33" i="11"/>
  <c r="AM12" i="11"/>
  <c r="AM31" i="11"/>
  <c r="AM10" i="11"/>
  <c r="AM30" i="11"/>
  <c r="AM9" i="11"/>
  <c r="AM29" i="11"/>
  <c r="AM8" i="11"/>
  <c r="AM28" i="11"/>
  <c r="AM7" i="11"/>
  <c r="AM27" i="11"/>
  <c r="AM6" i="11"/>
  <c r="M72" i="1"/>
  <c r="M62" i="1"/>
  <c r="M55" i="1"/>
  <c r="M45" i="1"/>
  <c r="M33" i="1"/>
  <c r="M23" i="1"/>
  <c r="M14" i="1"/>
  <c r="M6" i="1"/>
  <c r="M104" i="1"/>
  <c r="M103" i="1"/>
  <c r="M96" i="1"/>
  <c r="M95" i="1"/>
  <c r="M94" i="1"/>
  <c r="M87" i="1"/>
  <c r="M73" i="1"/>
  <c r="M70" i="1"/>
  <c r="M71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69" i="1"/>
  <c r="M58" i="1"/>
  <c r="I107" i="1"/>
  <c r="G107" i="1"/>
  <c r="G99" i="1"/>
  <c r="I99" i="1"/>
  <c r="X40" i="7"/>
  <c r="X21" i="7"/>
  <c r="Q21" i="8" l="1"/>
  <c r="I90" i="1"/>
  <c r="G90" i="1"/>
  <c r="X45" i="10"/>
  <c r="X23" i="10"/>
  <c r="AO64" i="11"/>
  <c r="AO43" i="11"/>
  <c r="K65" i="1"/>
  <c r="I65" i="1"/>
  <c r="G65" i="1"/>
  <c r="AO22" i="11"/>
  <c r="Q43" i="9"/>
  <c r="I19" i="1"/>
  <c r="G19" i="1"/>
  <c r="Q41" i="8"/>
  <c r="P41" i="8"/>
  <c r="Q22" i="9" l="1"/>
  <c r="P22" i="9"/>
  <c r="W40" i="7" l="1"/>
  <c r="W21" i="7"/>
  <c r="N103" i="1"/>
  <c r="P21" i="8"/>
  <c r="W45" i="10"/>
  <c r="W23" i="10"/>
  <c r="M39" i="1"/>
  <c r="L39" i="1"/>
  <c r="L23" i="1"/>
  <c r="J23" i="1"/>
  <c r="H23" i="1"/>
  <c r="M59" i="1"/>
  <c r="M60" i="1"/>
  <c r="M61" i="1"/>
  <c r="M24" i="1"/>
  <c r="M25" i="1"/>
  <c r="M26" i="1"/>
  <c r="M27" i="1"/>
  <c r="M28" i="1"/>
  <c r="M29" i="1"/>
  <c r="M30" i="1"/>
  <c r="M31" i="1"/>
  <c r="M32" i="1"/>
  <c r="M34" i="1"/>
  <c r="M35" i="1"/>
  <c r="M36" i="1"/>
  <c r="M37" i="1"/>
  <c r="M38" i="1"/>
  <c r="M40" i="1"/>
  <c r="M41" i="1"/>
  <c r="M42" i="1"/>
  <c r="M43" i="1"/>
  <c r="M44" i="1"/>
  <c r="M46" i="1"/>
  <c r="M47" i="1"/>
  <c r="M48" i="1"/>
  <c r="M49" i="1"/>
  <c r="M50" i="1"/>
  <c r="M51" i="1"/>
  <c r="M52" i="1"/>
  <c r="M53" i="1"/>
  <c r="M54" i="1"/>
  <c r="M56" i="1"/>
  <c r="M57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8" i="1"/>
  <c r="M11" i="1"/>
  <c r="M7" i="1"/>
  <c r="M8" i="1"/>
  <c r="M9" i="1"/>
  <c r="M10" i="1"/>
  <c r="M12" i="1"/>
  <c r="M13" i="1"/>
  <c r="M15" i="1"/>
  <c r="AN64" i="11"/>
  <c r="AN43" i="11"/>
  <c r="AN22" i="11"/>
  <c r="J6" i="1"/>
  <c r="H6" i="1"/>
  <c r="P43" i="9"/>
  <c r="J7" i="1"/>
  <c r="J8" i="1"/>
  <c r="J9" i="1"/>
  <c r="J10" i="1"/>
  <c r="J11" i="1"/>
  <c r="J12" i="1"/>
  <c r="J13" i="1"/>
  <c r="J14" i="1"/>
  <c r="J15" i="1"/>
  <c r="H7" i="1"/>
  <c r="H9" i="1"/>
  <c r="H10" i="1"/>
  <c r="H11" i="1"/>
  <c r="H12" i="1"/>
  <c r="H13" i="1"/>
  <c r="H14" i="1"/>
  <c r="H15" i="1"/>
  <c r="U39" i="7" l="1"/>
  <c r="U38" i="7"/>
  <c r="U37" i="7"/>
  <c r="U35" i="7"/>
  <c r="U34" i="7"/>
  <c r="U33" i="7"/>
  <c r="U32" i="7"/>
  <c r="U31" i="7"/>
  <c r="U30" i="7"/>
  <c r="U26" i="7"/>
  <c r="U27" i="7"/>
  <c r="U28" i="7"/>
  <c r="U25" i="7"/>
  <c r="U20" i="7"/>
  <c r="U19" i="7"/>
  <c r="U18" i="7"/>
  <c r="U16" i="7"/>
  <c r="U15" i="7"/>
  <c r="U14" i="7"/>
  <c r="U13" i="7"/>
  <c r="U12" i="7"/>
  <c r="U11" i="7"/>
  <c r="U6" i="7"/>
  <c r="U7" i="7"/>
  <c r="U8" i="7"/>
  <c r="U9" i="7"/>
  <c r="U5" i="7"/>
  <c r="N40" i="8"/>
  <c r="N39" i="8"/>
  <c r="N38" i="8"/>
  <c r="N36" i="8"/>
  <c r="N35" i="8"/>
  <c r="N34" i="8"/>
  <c r="N33" i="8"/>
  <c r="N32" i="8"/>
  <c r="N31" i="8"/>
  <c r="N29" i="8"/>
  <c r="N28" i="8"/>
  <c r="N27" i="8"/>
  <c r="N26" i="8"/>
  <c r="N25" i="8"/>
  <c r="N20" i="8"/>
  <c r="N19" i="8"/>
  <c r="N18" i="8"/>
  <c r="N12" i="8"/>
  <c r="N13" i="8"/>
  <c r="N14" i="8"/>
  <c r="N15" i="8"/>
  <c r="N16" i="8"/>
  <c r="N11" i="8"/>
  <c r="N7" i="8"/>
  <c r="N8" i="8"/>
  <c r="N9" i="8"/>
  <c r="N6" i="8"/>
  <c r="N5" i="8"/>
  <c r="U44" i="10"/>
  <c r="U43" i="10"/>
  <c r="U42" i="10"/>
  <c r="U41" i="10"/>
  <c r="U39" i="10"/>
  <c r="U38" i="10"/>
  <c r="U37" i="10"/>
  <c r="U36" i="10"/>
  <c r="U35" i="10"/>
  <c r="U34" i="10"/>
  <c r="U32" i="10"/>
  <c r="U31" i="10"/>
  <c r="U30" i="10"/>
  <c r="U29" i="10"/>
  <c r="U28" i="10"/>
  <c r="U22" i="10"/>
  <c r="U21" i="10"/>
  <c r="U20" i="10"/>
  <c r="U19" i="10"/>
  <c r="U17" i="10"/>
  <c r="U16" i="10"/>
  <c r="U15" i="10"/>
  <c r="U14" i="10"/>
  <c r="U13" i="10"/>
  <c r="U12" i="10"/>
  <c r="U7" i="10"/>
  <c r="U10" i="10"/>
  <c r="U9" i="10"/>
  <c r="U8" i="10"/>
  <c r="U6" i="10"/>
  <c r="AL63" i="11"/>
  <c r="AL62" i="11"/>
  <c r="AL61" i="11"/>
  <c r="AL59" i="11"/>
  <c r="AL58" i="11"/>
  <c r="AL57" i="11"/>
  <c r="AL56" i="11"/>
  <c r="AL55" i="11"/>
  <c r="AL54" i="11"/>
  <c r="AL52" i="11"/>
  <c r="AL51" i="11"/>
  <c r="AL50" i="11"/>
  <c r="AL49" i="11"/>
  <c r="AL48" i="11"/>
  <c r="AL42" i="11"/>
  <c r="AL41" i="11"/>
  <c r="AL40" i="11"/>
  <c r="AL38" i="11"/>
  <c r="AL37" i="11"/>
  <c r="AL36" i="11"/>
  <c r="AL35" i="11"/>
  <c r="AL34" i="11"/>
  <c r="AL33" i="11"/>
  <c r="AL31" i="11"/>
  <c r="AL30" i="11"/>
  <c r="AL29" i="11"/>
  <c r="AL28" i="11"/>
  <c r="AL27" i="11"/>
  <c r="AL21" i="11"/>
  <c r="AL20" i="11"/>
  <c r="AL19" i="11"/>
  <c r="AL17" i="11"/>
  <c r="AL16" i="11"/>
  <c r="AL15" i="11"/>
  <c r="AL14" i="11"/>
  <c r="AL13" i="11"/>
  <c r="AL12" i="11"/>
  <c r="AL7" i="11"/>
  <c r="AL8" i="11"/>
  <c r="AL9" i="11"/>
  <c r="AL10" i="11"/>
  <c r="AL6" i="11"/>
  <c r="N27" i="9"/>
  <c r="N42" i="9"/>
  <c r="N41" i="9"/>
  <c r="N40" i="9"/>
  <c r="N38" i="9"/>
  <c r="N37" i="9"/>
  <c r="N36" i="9"/>
  <c r="N35" i="9"/>
  <c r="N34" i="9"/>
  <c r="N33" i="9"/>
  <c r="N31" i="9"/>
  <c r="N30" i="9"/>
  <c r="N29" i="9"/>
  <c r="N28" i="9"/>
  <c r="N21" i="9"/>
  <c r="N20" i="9"/>
  <c r="N19" i="9"/>
  <c r="N13" i="9"/>
  <c r="N14" i="9"/>
  <c r="N15" i="9"/>
  <c r="N16" i="9"/>
  <c r="N17" i="9"/>
  <c r="N12" i="9"/>
  <c r="N7" i="9"/>
  <c r="N8" i="9"/>
  <c r="N9" i="9"/>
  <c r="N10" i="9"/>
  <c r="N6" i="9"/>
  <c r="C64" i="11"/>
  <c r="D64" i="11"/>
  <c r="E64" i="11"/>
  <c r="F64" i="11"/>
  <c r="G64" i="11"/>
  <c r="H64" i="11"/>
  <c r="I64" i="11"/>
  <c r="J64" i="11"/>
  <c r="K64" i="11"/>
  <c r="L64" i="11"/>
  <c r="M64" i="11"/>
  <c r="O64" i="11"/>
  <c r="P64" i="11"/>
  <c r="R64" i="11"/>
  <c r="S64" i="11"/>
  <c r="T64" i="11"/>
  <c r="U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B64" i="11"/>
  <c r="C43" i="11"/>
  <c r="D43" i="11"/>
  <c r="E43" i="11"/>
  <c r="F43" i="11"/>
  <c r="G43" i="11"/>
  <c r="H43" i="11"/>
  <c r="I43" i="11"/>
  <c r="J43" i="11"/>
  <c r="K43" i="11"/>
  <c r="M43" i="11"/>
  <c r="O43" i="11"/>
  <c r="P43" i="11"/>
  <c r="R43" i="11"/>
  <c r="S43" i="11"/>
  <c r="T43" i="11"/>
  <c r="U43" i="11"/>
  <c r="V43" i="11"/>
  <c r="W43" i="11"/>
  <c r="Y43" i="11"/>
  <c r="Z43" i="11"/>
  <c r="AA43" i="11"/>
  <c r="AB43" i="11"/>
  <c r="AC43" i="11"/>
  <c r="AD43" i="11"/>
  <c r="AE43" i="11"/>
  <c r="AF43" i="11"/>
  <c r="AG43" i="11"/>
  <c r="AH43" i="11"/>
  <c r="AI43" i="11"/>
  <c r="AK43" i="11"/>
  <c r="B43" i="11"/>
  <c r="C22" i="11"/>
  <c r="D22" i="11"/>
  <c r="E22" i="11"/>
  <c r="F22" i="11"/>
  <c r="G22" i="11"/>
  <c r="H22" i="11"/>
  <c r="I22" i="11"/>
  <c r="J22" i="11"/>
  <c r="K22" i="11"/>
  <c r="M22" i="11"/>
  <c r="O22" i="11"/>
  <c r="P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B43" i="9" l="1"/>
  <c r="L43" i="9"/>
  <c r="K43" i="9"/>
  <c r="J43" i="9"/>
  <c r="I43" i="9"/>
  <c r="H43" i="9"/>
  <c r="G43" i="9"/>
  <c r="F43" i="9"/>
  <c r="E43" i="9"/>
  <c r="D43" i="9"/>
  <c r="C43" i="9"/>
  <c r="C22" i="9"/>
  <c r="D22" i="9"/>
  <c r="E22" i="9"/>
  <c r="F22" i="9"/>
  <c r="G22" i="9"/>
  <c r="H22" i="9"/>
  <c r="I22" i="9"/>
  <c r="J22" i="9"/>
  <c r="K22" i="9"/>
  <c r="L22" i="9"/>
  <c r="B22" i="9"/>
  <c r="B21" i="7"/>
  <c r="M41" i="8"/>
  <c r="K41" i="8"/>
  <c r="H41" i="8"/>
  <c r="E41" i="8"/>
  <c r="C41" i="8"/>
  <c r="B41" i="8"/>
  <c r="C21" i="8"/>
  <c r="E21" i="8"/>
  <c r="F21" i="8"/>
  <c r="H21" i="8"/>
  <c r="K21" i="8"/>
  <c r="M21" i="8"/>
  <c r="B21" i="8"/>
  <c r="B23" i="10"/>
  <c r="T40" i="7"/>
  <c r="S40" i="7"/>
  <c r="Q40" i="7"/>
  <c r="O40" i="7"/>
  <c r="N40" i="7"/>
  <c r="M40" i="7"/>
  <c r="L40" i="7"/>
  <c r="I40" i="7"/>
  <c r="H40" i="7"/>
  <c r="G40" i="7"/>
  <c r="F40" i="7"/>
  <c r="E40" i="7"/>
  <c r="D40" i="7"/>
  <c r="C40" i="7"/>
  <c r="B40" i="7"/>
  <c r="D21" i="7"/>
  <c r="C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104" i="1" l="1"/>
  <c r="E104" i="1" l="1"/>
  <c r="E103" i="1"/>
  <c r="F103" i="1" l="1"/>
  <c r="O103" i="1" s="1"/>
  <c r="H103" i="1"/>
  <c r="J103" i="1"/>
  <c r="F104" i="1"/>
  <c r="O104" i="1" s="1"/>
  <c r="J104" i="1"/>
  <c r="H104" i="1"/>
  <c r="F62" i="1"/>
  <c r="F23" i="1"/>
  <c r="O23" i="1" s="1"/>
  <c r="F6" i="1"/>
  <c r="O6" i="1" s="1"/>
  <c r="N94" i="1"/>
  <c r="N69" i="1"/>
  <c r="N6" i="1"/>
  <c r="F7" i="1"/>
  <c r="O7" i="1" s="1"/>
  <c r="F8" i="1"/>
  <c r="O8" i="1" s="1"/>
  <c r="F9" i="1"/>
  <c r="F10" i="1"/>
  <c r="F11" i="1"/>
  <c r="O11" i="1" s="1"/>
  <c r="F12" i="1"/>
  <c r="F13" i="1"/>
  <c r="F14" i="1"/>
  <c r="F15" i="1"/>
  <c r="F16" i="1"/>
  <c r="F46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O45" i="1" s="1"/>
  <c r="F47" i="1"/>
  <c r="F48" i="1"/>
  <c r="F49" i="1"/>
  <c r="F50" i="1"/>
  <c r="F51" i="1"/>
  <c r="F52" i="1"/>
  <c r="F53" i="1"/>
  <c r="F54" i="1"/>
  <c r="F55" i="1"/>
  <c r="O55" i="1" s="1"/>
  <c r="F56" i="1"/>
  <c r="F57" i="1"/>
  <c r="F58" i="1"/>
  <c r="F59" i="1"/>
  <c r="F60" i="1"/>
  <c r="F61" i="1"/>
  <c r="N7" i="1"/>
  <c r="N8" i="1"/>
  <c r="M16" i="1"/>
  <c r="N16" i="1" s="1"/>
  <c r="P62" i="1" l="1"/>
  <c r="O62" i="1"/>
  <c r="P104" i="1"/>
  <c r="P103" i="1"/>
  <c r="P23" i="1"/>
  <c r="O39" i="1"/>
  <c r="P39" i="1"/>
  <c r="N55" i="1"/>
  <c r="N47" i="1"/>
  <c r="O47" i="1"/>
  <c r="N38" i="1"/>
  <c r="O38" i="1"/>
  <c r="N29" i="1"/>
  <c r="O29" i="1"/>
  <c r="N46" i="1"/>
  <c r="O46" i="1"/>
  <c r="N62" i="1"/>
  <c r="N54" i="1"/>
  <c r="O54" i="1"/>
  <c r="N45" i="1"/>
  <c r="N37" i="1"/>
  <c r="O37" i="1"/>
  <c r="N28" i="1"/>
  <c r="O28" i="1"/>
  <c r="N61" i="1"/>
  <c r="O61" i="1"/>
  <c r="N57" i="1"/>
  <c r="O57" i="1"/>
  <c r="N53" i="1"/>
  <c r="O53" i="1"/>
  <c r="N49" i="1"/>
  <c r="O49" i="1"/>
  <c r="N44" i="1"/>
  <c r="O44" i="1"/>
  <c r="N40" i="1"/>
  <c r="O40" i="1"/>
  <c r="N36" i="1"/>
  <c r="O36" i="1"/>
  <c r="N31" i="1"/>
  <c r="O31" i="1"/>
  <c r="N27" i="1"/>
  <c r="O27" i="1"/>
  <c r="N34" i="1"/>
  <c r="O34" i="1"/>
  <c r="N59" i="1"/>
  <c r="O59" i="1"/>
  <c r="N51" i="1"/>
  <c r="O51" i="1"/>
  <c r="N42" i="1"/>
  <c r="O42" i="1"/>
  <c r="N33" i="1"/>
  <c r="O33" i="1"/>
  <c r="N25" i="1"/>
  <c r="O25" i="1"/>
  <c r="N58" i="1"/>
  <c r="O58" i="1"/>
  <c r="N50" i="1"/>
  <c r="O50" i="1"/>
  <c r="N41" i="1"/>
  <c r="O41" i="1"/>
  <c r="N32" i="1"/>
  <c r="O32" i="1"/>
  <c r="N24" i="1"/>
  <c r="O24" i="1"/>
  <c r="N60" i="1"/>
  <c r="O60" i="1"/>
  <c r="N56" i="1"/>
  <c r="O56" i="1"/>
  <c r="N52" i="1"/>
  <c r="O52" i="1"/>
  <c r="N48" i="1"/>
  <c r="O48" i="1"/>
  <c r="N43" i="1"/>
  <c r="O43" i="1"/>
  <c r="N39" i="1"/>
  <c r="N35" i="1"/>
  <c r="O35" i="1"/>
  <c r="N30" i="1"/>
  <c r="O30" i="1"/>
  <c r="N26" i="1"/>
  <c r="O26" i="1"/>
  <c r="N14" i="1"/>
  <c r="O14" i="1"/>
  <c r="N13" i="1"/>
  <c r="O13" i="1"/>
  <c r="N12" i="1"/>
  <c r="O12" i="1"/>
  <c r="N10" i="1"/>
  <c r="O10" i="1"/>
  <c r="N9" i="1"/>
  <c r="O9" i="1"/>
  <c r="N15" i="1"/>
  <c r="O15" i="1"/>
  <c r="N11" i="1"/>
  <c r="P46" i="1"/>
  <c r="P26" i="1"/>
  <c r="P24" i="1"/>
  <c r="P6" i="1"/>
  <c r="P43" i="1"/>
  <c r="P35" i="1"/>
  <c r="P59" i="1"/>
  <c r="P55" i="1"/>
  <c r="P51" i="1"/>
  <c r="P47" i="1"/>
  <c r="P30" i="1"/>
  <c r="P44" i="1"/>
  <c r="P40" i="1"/>
  <c r="P36" i="1"/>
  <c r="P48" i="1"/>
  <c r="P31" i="1"/>
  <c r="P27" i="1"/>
  <c r="P60" i="1"/>
  <c r="P56" i="1"/>
  <c r="P52" i="1"/>
  <c r="P34" i="1"/>
  <c r="P8" i="1"/>
  <c r="P7" i="1"/>
  <c r="P16" i="1"/>
  <c r="P12" i="1"/>
  <c r="P45" i="1"/>
  <c r="P41" i="1"/>
  <c r="P37" i="1"/>
  <c r="P61" i="1"/>
  <c r="P57" i="1"/>
  <c r="P53" i="1"/>
  <c r="P49" i="1"/>
  <c r="P32" i="1"/>
  <c r="P28" i="1"/>
  <c r="P58" i="1"/>
  <c r="P54" i="1"/>
  <c r="P50" i="1"/>
  <c r="P42" i="1"/>
  <c r="P38" i="1"/>
  <c r="P33" i="1"/>
  <c r="P29" i="1"/>
  <c r="P25" i="1"/>
  <c r="P15" i="1"/>
  <c r="P11" i="1"/>
  <c r="P14" i="1"/>
  <c r="P10" i="1"/>
  <c r="P13" i="1"/>
  <c r="P9" i="1"/>
  <c r="D41" i="1" l="1"/>
  <c r="N23" i="1" l="1"/>
  <c r="D23" i="1"/>
  <c r="D62" i="1"/>
  <c r="D60" i="1"/>
  <c r="D59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0" i="1"/>
  <c r="D39" i="1"/>
  <c r="D37" i="1"/>
  <c r="D36" i="1"/>
  <c r="D34" i="1"/>
  <c r="D33" i="1"/>
  <c r="D32" i="1"/>
  <c r="D31" i="1"/>
  <c r="D30" i="1"/>
  <c r="D29" i="1"/>
  <c r="D28" i="1"/>
  <c r="D25" i="1"/>
  <c r="D26" i="1"/>
  <c r="D27" i="1"/>
  <c r="E96" i="1"/>
  <c r="E95" i="1"/>
  <c r="E94" i="1"/>
  <c r="J94" i="1" s="1"/>
  <c r="H96" i="1" l="1"/>
  <c r="J96" i="1"/>
  <c r="F95" i="1"/>
  <c r="O95" i="1" s="1"/>
  <c r="J95" i="1"/>
  <c r="H95" i="1"/>
  <c r="F94" i="1"/>
  <c r="O94" i="1" s="1"/>
  <c r="H94" i="1"/>
  <c r="F96" i="1"/>
  <c r="O96" i="1" s="1"/>
  <c r="E82" i="1"/>
  <c r="E83" i="1"/>
  <c r="E84" i="1"/>
  <c r="E85" i="1"/>
  <c r="E86" i="1"/>
  <c r="E87" i="1"/>
  <c r="E80" i="1"/>
  <c r="E81" i="1"/>
  <c r="E76" i="1"/>
  <c r="E70" i="1"/>
  <c r="E71" i="1"/>
  <c r="E69" i="1"/>
  <c r="P94" i="1" l="1"/>
  <c r="P96" i="1"/>
  <c r="J72" i="1"/>
  <c r="H72" i="1"/>
  <c r="J80" i="1"/>
  <c r="H80" i="1"/>
  <c r="H75" i="1"/>
  <c r="J75" i="1"/>
  <c r="H71" i="1"/>
  <c r="J71" i="1"/>
  <c r="J77" i="1"/>
  <c r="H77" i="1"/>
  <c r="H87" i="1"/>
  <c r="J87" i="1"/>
  <c r="J83" i="1"/>
  <c r="H83" i="1"/>
  <c r="H74" i="1"/>
  <c r="J74" i="1"/>
  <c r="F70" i="1"/>
  <c r="H70" i="1"/>
  <c r="J70" i="1"/>
  <c r="J76" i="1"/>
  <c r="H76" i="1"/>
  <c r="H86" i="1"/>
  <c r="J86" i="1"/>
  <c r="H82" i="1"/>
  <c r="J82" i="1"/>
  <c r="F69" i="1"/>
  <c r="P69" i="1" s="1"/>
  <c r="J69" i="1"/>
  <c r="H69" i="1"/>
  <c r="H78" i="1"/>
  <c r="J78" i="1"/>
  <c r="J84" i="1"/>
  <c r="H84" i="1"/>
  <c r="H73" i="1"/>
  <c r="J73" i="1"/>
  <c r="H79" i="1"/>
  <c r="J79" i="1"/>
  <c r="J81" i="1"/>
  <c r="H81" i="1"/>
  <c r="J85" i="1"/>
  <c r="H85" i="1"/>
  <c r="F72" i="1"/>
  <c r="O72" i="1" s="1"/>
  <c r="F78" i="1"/>
  <c r="F80" i="1"/>
  <c r="F84" i="1"/>
  <c r="F74" i="1"/>
  <c r="F73" i="1"/>
  <c r="F75" i="1"/>
  <c r="F71" i="1"/>
  <c r="F77" i="1"/>
  <c r="F87" i="1"/>
  <c r="F83" i="1"/>
  <c r="F76" i="1"/>
  <c r="F86" i="1"/>
  <c r="F82" i="1"/>
  <c r="F79" i="1"/>
  <c r="F81" i="1"/>
  <c r="F85" i="1"/>
  <c r="D61" i="1"/>
  <c r="D58" i="1"/>
  <c r="D42" i="1"/>
  <c r="D38" i="1"/>
  <c r="D35" i="1"/>
  <c r="D24" i="1"/>
  <c r="D7" i="1"/>
  <c r="D8" i="1"/>
  <c r="D9" i="1"/>
  <c r="D10" i="1"/>
  <c r="D11" i="1"/>
  <c r="D12" i="1"/>
  <c r="D13" i="1"/>
  <c r="D14" i="1"/>
  <c r="D15" i="1"/>
  <c r="D16" i="1"/>
  <c r="D6" i="1"/>
  <c r="N83" i="1" l="1"/>
  <c r="P72" i="1"/>
  <c r="P84" i="1"/>
  <c r="O80" i="1"/>
  <c r="P73" i="1"/>
  <c r="P78" i="1"/>
  <c r="P75" i="1"/>
  <c r="O82" i="1"/>
  <c r="N96" i="1"/>
  <c r="N95" i="1"/>
  <c r="P95" i="1"/>
  <c r="O85" i="1"/>
  <c r="N85" i="1"/>
  <c r="N80" i="1"/>
  <c r="O69" i="1"/>
  <c r="P86" i="1"/>
  <c r="P70" i="1"/>
  <c r="O83" i="1"/>
  <c r="P77" i="1"/>
  <c r="N72" i="1"/>
  <c r="N84" i="1"/>
  <c r="P71" i="1"/>
  <c r="P85" i="1"/>
  <c r="O73" i="1"/>
  <c r="N73" i="1"/>
  <c r="P76" i="1"/>
  <c r="P83" i="1" l="1"/>
  <c r="P82" i="1"/>
  <c r="O84" i="1"/>
  <c r="N82" i="1"/>
  <c r="P80" i="1"/>
  <c r="N75" i="1"/>
  <c r="O75" i="1"/>
  <c r="N78" i="1"/>
  <c r="O78" i="1"/>
  <c r="O74" i="1"/>
  <c r="N74" i="1"/>
  <c r="O87" i="1"/>
  <c r="N87" i="1"/>
  <c r="N70" i="1"/>
  <c r="O70" i="1"/>
  <c r="O81" i="1"/>
  <c r="N81" i="1"/>
  <c r="O79" i="1"/>
  <c r="N79" i="1"/>
  <c r="O76" i="1"/>
  <c r="N76" i="1"/>
  <c r="P79" i="1"/>
  <c r="O77" i="1"/>
  <c r="N77" i="1"/>
  <c r="O86" i="1"/>
  <c r="N86" i="1"/>
  <c r="P87" i="1"/>
  <c r="P74" i="1"/>
  <c r="N71" i="1"/>
  <c r="O71" i="1"/>
  <c r="P81" i="1"/>
</calcChain>
</file>

<file path=xl/sharedStrings.xml><?xml version="1.0" encoding="utf-8"?>
<sst xmlns="http://schemas.openxmlformats.org/spreadsheetml/2006/main" count="653" uniqueCount="203">
  <si>
    <t>MODEL</t>
  </si>
  <si>
    <t>KOMPONEN</t>
  </si>
  <si>
    <t>GENDER</t>
  </si>
  <si>
    <t>SHIFT 1</t>
  </si>
  <si>
    <t>SHIFT 2</t>
  </si>
  <si>
    <t>CAPA ACTUAL</t>
  </si>
  <si>
    <t>SHIFT 3</t>
  </si>
  <si>
    <t>DIFFERENT</t>
  </si>
  <si>
    <t>EMBROIDERY</t>
  </si>
  <si>
    <t>U880</t>
  </si>
  <si>
    <t>M/W</t>
  </si>
  <si>
    <t>FOXING</t>
  </si>
  <si>
    <t>TONGUE</t>
  </si>
  <si>
    <t>QUARTER SADDLE N LOGO</t>
  </si>
  <si>
    <t>COLLAR</t>
  </si>
  <si>
    <t>BACKTAB</t>
  </si>
  <si>
    <t>VAMP</t>
  </si>
  <si>
    <t>COLLAR STRAP</t>
  </si>
  <si>
    <t>SADDLE WINDOW</t>
  </si>
  <si>
    <t>KIDS</t>
  </si>
  <si>
    <t>PRINTING</t>
  </si>
  <si>
    <t>EMBOSS</t>
  </si>
  <si>
    <t xml:space="preserve">EYESTAY L / M </t>
  </si>
  <si>
    <t xml:space="preserve">COLLAR STRAP L/M </t>
  </si>
  <si>
    <t xml:space="preserve"> FOXING </t>
  </si>
  <si>
    <t xml:space="preserve">FOXING ACCENT </t>
  </si>
  <si>
    <t>N LOGO</t>
  </si>
  <si>
    <t>HEEL ABZORD</t>
  </si>
  <si>
    <t>LATERAL ABZORD</t>
  </si>
  <si>
    <t>N Logo</t>
  </si>
  <si>
    <t>THROATSTAY</t>
  </si>
  <si>
    <t>MEDIAL SADDLE</t>
  </si>
  <si>
    <t>LATERAL SADDLE</t>
  </si>
  <si>
    <t>Vamp Overlay</t>
  </si>
  <si>
    <t>BACKTAB #1</t>
  </si>
  <si>
    <t>NOSEW</t>
  </si>
  <si>
    <t>LOGO N</t>
  </si>
  <si>
    <t>FOXING ACCENT</t>
  </si>
  <si>
    <t>FOREFOOT SWYBAR</t>
  </si>
  <si>
    <t>FOXING STRAP</t>
  </si>
  <si>
    <t>CT / PASANG STANDAR</t>
  </si>
  <si>
    <t>CT / PASANG ACTUAL</t>
  </si>
  <si>
    <t>FOXING ACTION</t>
  </si>
  <si>
    <t>TONGUE ACTION</t>
  </si>
  <si>
    <t>U480</t>
  </si>
  <si>
    <t>BACKTAB LOGO</t>
  </si>
  <si>
    <t>BACK COUNTER LOGO</t>
  </si>
  <si>
    <t>INFANT</t>
  </si>
  <si>
    <t>EYESTAY</t>
  </si>
  <si>
    <t>FOXING LOGO</t>
  </si>
  <si>
    <t>SADDLE</t>
  </si>
  <si>
    <t>UNDERLAY</t>
  </si>
  <si>
    <t>EYESTAY LOGO</t>
  </si>
  <si>
    <t>TONGUE OLAY</t>
  </si>
  <si>
    <t>SADLE OLAY OUT</t>
  </si>
  <si>
    <t>SADLE OLAY IN</t>
  </si>
  <si>
    <t>VAMP OLAY</t>
  </si>
  <si>
    <t>TONGUE WEBBING</t>
  </si>
  <si>
    <t>FOXING WEBBING</t>
  </si>
  <si>
    <t>TANGGAL</t>
  </si>
  <si>
    <t>M1-578</t>
  </si>
  <si>
    <t>M1-1906</t>
  </si>
  <si>
    <t>M2-578</t>
  </si>
  <si>
    <t>M2-1906</t>
  </si>
  <si>
    <t>M3-578</t>
  </si>
  <si>
    <t>M4-578</t>
  </si>
  <si>
    <t>M4-468</t>
  </si>
  <si>
    <t>ACTUAL PRODUKSI NOSEW BULAN SEPTEMBER</t>
  </si>
  <si>
    <t>M1-468</t>
  </si>
  <si>
    <t>M2-468</t>
  </si>
  <si>
    <t>M3-1906</t>
  </si>
  <si>
    <t>M3-468</t>
  </si>
  <si>
    <t>M4-1906</t>
  </si>
  <si>
    <t>ACTUAL PRODUKSI EMBOSS BULAN SEPTEMBER</t>
  </si>
  <si>
    <t>M 1906</t>
  </si>
  <si>
    <t>CM 878</t>
  </si>
  <si>
    <t>M 880</t>
  </si>
  <si>
    <t>KIDS 878</t>
  </si>
  <si>
    <t>M 878</t>
  </si>
  <si>
    <t>M 373</t>
  </si>
  <si>
    <t>M 468</t>
  </si>
  <si>
    <t>HEEL</t>
  </si>
  <si>
    <t>LATERAL</t>
  </si>
  <si>
    <t>Quarter In</t>
  </si>
  <si>
    <t>Quarter Out</t>
  </si>
  <si>
    <t>Vamp</t>
  </si>
  <si>
    <t>CAPA STANDAR / HOUR</t>
  </si>
  <si>
    <t>CAPA STANDAR / DAY (18 H)</t>
  </si>
  <si>
    <t>CAPA STANDAR / DAY (21 H)</t>
  </si>
  <si>
    <t>CAPA STANDAR / DAY (14 H)</t>
  </si>
  <si>
    <t>ACTUAL PRODUKSI CUTTING PRES BULAN SEPTEMBER</t>
  </si>
  <si>
    <t>CUTTING PRESS</t>
  </si>
  <si>
    <t>TIP</t>
  </si>
  <si>
    <t>SUMMARY CAPACITY TREATMENT STANDAR VS ACTUAL</t>
  </si>
  <si>
    <t>SET (FOXING, COLLAR STRAP, EYESTAY)</t>
  </si>
  <si>
    <t>CAPA ACTUAL 
/ DAY (14 H)</t>
  </si>
  <si>
    <t>CAPA ACTUAL 
/ DAY (21 H)</t>
  </si>
  <si>
    <t>CAPA ACTUAL 
/ DAY (18 H)</t>
  </si>
  <si>
    <t>H1 -880</t>
  </si>
  <si>
    <t>H2 - 880</t>
  </si>
  <si>
    <t>H3 - 880</t>
  </si>
  <si>
    <t>H4 - 880</t>
  </si>
  <si>
    <t>H5 - 880</t>
  </si>
  <si>
    <t>H6 - 880</t>
  </si>
  <si>
    <t>H7 - 880</t>
  </si>
  <si>
    <t>H8 - 880</t>
  </si>
  <si>
    <t>H9 - 880</t>
  </si>
  <si>
    <t>H10 - 880</t>
  </si>
  <si>
    <t>H11 - 880</t>
  </si>
  <si>
    <t>H12 - 880</t>
  </si>
  <si>
    <t>H13 - 1906</t>
  </si>
  <si>
    <t>H13 - 880</t>
  </si>
  <si>
    <t>H14 -1906</t>
  </si>
  <si>
    <t>H14 - 880</t>
  </si>
  <si>
    <t>H15 - 1906</t>
  </si>
  <si>
    <t>H15 - 880</t>
  </si>
  <si>
    <t>H16 - 880</t>
  </si>
  <si>
    <t xml:space="preserve"> </t>
  </si>
  <si>
    <t>ACTUAL PRODUKSI BORDIR BULAN SEPTEMBER</t>
  </si>
  <si>
    <t>880-TONGUE</t>
  </si>
  <si>
    <t>880-FOXING STRAP</t>
  </si>
  <si>
    <t>608- QUARTER</t>
  </si>
  <si>
    <t>608 SPLIT</t>
  </si>
  <si>
    <t>480 COLLAR BACKTAB</t>
  </si>
  <si>
    <t>373-BACKTAB</t>
  </si>
  <si>
    <t>878-T.TOP</t>
  </si>
  <si>
    <t>878-VAMP</t>
  </si>
  <si>
    <t>878-FOXING</t>
  </si>
  <si>
    <t>878-COLLAR</t>
  </si>
  <si>
    <t>1906-S.WINDOW</t>
  </si>
  <si>
    <t>468-QUARTER SADDLE N LOGO</t>
  </si>
  <si>
    <t>AVERAGE PER MODEL</t>
  </si>
  <si>
    <t>878 IV</t>
  </si>
  <si>
    <t>878 PV</t>
  </si>
  <si>
    <t>CM878</t>
  </si>
  <si>
    <t>FOXING 608 ACTION</t>
  </si>
  <si>
    <t>TONGUE 608 ACTION</t>
  </si>
  <si>
    <t>FOXING 608 SPLIT</t>
  </si>
  <si>
    <t>TONGUE 608 SPLIT</t>
  </si>
  <si>
    <t>N LOGO 608</t>
  </si>
  <si>
    <t>SWAYBAR 880</t>
  </si>
  <si>
    <t>FOXING STRAP 880</t>
  </si>
  <si>
    <t>N LOGO 880</t>
  </si>
  <si>
    <t>FOXING ACCENT 880</t>
  </si>
  <si>
    <t>FOXING 373 YV</t>
  </si>
  <si>
    <t>BACKTAB 373 YV</t>
  </si>
  <si>
    <t>N LOGO 373 YV</t>
  </si>
  <si>
    <t>FOXING 373 IZ</t>
  </si>
  <si>
    <t>BACKTAB 373 IZ</t>
  </si>
  <si>
    <t>N LOGO 373 IZ</t>
  </si>
  <si>
    <t>BACKTAB 373</t>
  </si>
  <si>
    <t>FOXING 578</t>
  </si>
  <si>
    <t>Eyestay</t>
  </si>
  <si>
    <t>Foxing Logo</t>
  </si>
  <si>
    <t>Saddle</t>
  </si>
  <si>
    <t>Underlay</t>
  </si>
  <si>
    <t>Logo N</t>
  </si>
  <si>
    <t>Foxing logo</t>
  </si>
  <si>
    <t>Eyestay logo</t>
  </si>
  <si>
    <t>Collar strap logo</t>
  </si>
  <si>
    <t>411 FOXING</t>
  </si>
  <si>
    <t>480 COLLAR</t>
  </si>
  <si>
    <t>CM 878 N LOGO</t>
  </si>
  <si>
    <t>1906 QUARTER IN</t>
  </si>
  <si>
    <t>1906 QUARTER OUT</t>
  </si>
  <si>
    <t>VAMP 1906</t>
  </si>
  <si>
    <t>N LOCK 1906</t>
  </si>
  <si>
    <t>TRHOAT STAY 1906</t>
  </si>
  <si>
    <t>TONGUE OLEY 1906</t>
  </si>
  <si>
    <t>ACTUAL PRODUKSI PRINTING BULAN SEPTEMBER</t>
  </si>
  <si>
    <t>AVERAGE PER KOMPONEN</t>
  </si>
  <si>
    <t>AVERAGE PER COMPONENT</t>
  </si>
  <si>
    <t>AVERAGE PER KOMPONEN (SET)</t>
  </si>
  <si>
    <t>MANPOWER ACTUAL</t>
  </si>
  <si>
    <t>TOTAL PRODUKSI</t>
  </si>
  <si>
    <t>TOTAL PRODUKSI / DAY</t>
  </si>
  <si>
    <t>MANPOWER</t>
  </si>
  <si>
    <t>SUMMARY</t>
  </si>
  <si>
    <t>Remaks</t>
  </si>
  <si>
    <t xml:space="preserve">MP actual </t>
  </si>
  <si>
    <t>Persantge</t>
  </si>
  <si>
    <t>Absensi</t>
  </si>
  <si>
    <t>Presentase</t>
  </si>
  <si>
    <t>Pasang</t>
  </si>
  <si>
    <t>ABSENSI</t>
  </si>
  <si>
    <t>Presentase Masuk</t>
  </si>
  <si>
    <t>Absensi Rata - rata</t>
  </si>
  <si>
    <t>Input banyak</t>
  </si>
  <si>
    <t>Jalan lebih dari 1 meja</t>
  </si>
  <si>
    <t>TOTAL MANPOWER</t>
  </si>
  <si>
    <t>MANPOWER MASUK</t>
  </si>
  <si>
    <t>MANPOWR MASUK</t>
  </si>
  <si>
    <t>Rata" jalan 7 mesin</t>
  </si>
  <si>
    <t>Rata" jalan 6 mesin</t>
  </si>
  <si>
    <t>NO</t>
  </si>
  <si>
    <t>PROBLEM</t>
  </si>
  <si>
    <t>PICTURE</t>
  </si>
  <si>
    <t>Input dari sewing 596 Prs, Week 39 Total 299 Pasang dan week 41 Total 297 Pasang</t>
  </si>
  <si>
    <t xml:space="preserve">Size Running untuk week 39 yaitu 4T - 7 sisanya untuk size besar di week 41 sehingga palet sementara yang ada untuk size kecil di week 39 </t>
  </si>
  <si>
    <t>ACTION</t>
  </si>
  <si>
    <t>Sudah dilakukan meeting antara produksi, PTT, Lean /IE untuk input semua komponen yang ada agar produksi punya WIP</t>
  </si>
  <si>
    <t>Sudah dilakukan diskusi dengan Development (Orimil), produksi, PTT dan Lean/IE untuk memperbanyak pallet sesuai kebutuhan secara berkala</t>
  </si>
  <si>
    <t>PROBLEM SOLVING OUTPUT BORDIR N LOGO MODEL U880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</si>
</sst>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 &quot;Sec&quot;"/>
    <numFmt numFmtId="165" formatCode="0\ &quot;Prs&quot;"/>
    <numFmt numFmtId="166" formatCode="0.0"/>
    <numFmt numFmtId="167" formatCode="_(* #,##0.00_);_(* \(#,##0.0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/>
    <xf numFmtId="0" fontId="7" fillId="0" borderId="0"/>
    <xf numFmtId="0" fontId="1" fillId="0" borderId="0"/>
    <xf numFmtId="0" fontId="9" fillId="0" borderId="0">
      <alignment vertical="center"/>
    </xf>
    <xf numFmtId="0" fontId="10" fillId="0" borderId="0"/>
    <xf numFmtId="0" fontId="13" fillId="0" borderId="0">
      <alignment vertical="center"/>
    </xf>
    <xf numFmtId="167" fontId="14" fillId="0" borderId="0">
      <protection locked="0"/>
    </xf>
    <xf numFmtId="9" fontId="13" fillId="0" borderId="0" applyFont="0" applyFill="0" applyBorder="0" applyAlignment="0" applyProtection="0"/>
  </cellStyleXfs>
  <cellXfs count="34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" xfId="0" applyFont="1" applyBorder="1"/>
    <xf numFmtId="165" fontId="3" fillId="0" borderId="12" xfId="0" applyNumberFormat="1" applyFont="1" applyBorder="1" applyAlignment="1">
      <alignment horizontal="center" vertical="center" wrapText="1"/>
    </xf>
    <xf numFmtId="165" fontId="3" fillId="0" borderId="26" xfId="0" applyNumberFormat="1" applyFont="1" applyBorder="1" applyAlignment="1">
      <alignment horizontal="center" vertical="center" wrapText="1"/>
    </xf>
    <xf numFmtId="165" fontId="3" fillId="0" borderId="27" xfId="0" applyNumberFormat="1" applyFont="1" applyBorder="1" applyAlignment="1">
      <alignment horizontal="center" vertical="center" wrapText="1"/>
    </xf>
    <xf numFmtId="9" fontId="3" fillId="0" borderId="35" xfId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6" xfId="0" applyFont="1" applyBorder="1"/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8" xfId="0" applyFont="1" applyBorder="1"/>
    <xf numFmtId="0" fontId="3" fillId="0" borderId="0" xfId="0" applyFont="1"/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1" fontId="2" fillId="5" borderId="30" xfId="0" applyNumberFormat="1" applyFont="1" applyFill="1" applyBorder="1" applyAlignment="1">
      <alignment horizontal="center" vertical="center"/>
    </xf>
    <xf numFmtId="1" fontId="2" fillId="5" borderId="31" xfId="0" applyNumberFormat="1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14" fontId="4" fillId="5" borderId="29" xfId="0" applyNumberFormat="1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" fontId="15" fillId="5" borderId="29" xfId="0" applyNumberFormat="1" applyFont="1" applyFill="1" applyBorder="1" applyAlignment="1">
      <alignment horizontal="center" vertical="center" wrapText="1"/>
    </xf>
    <xf numFmtId="14" fontId="17" fillId="0" borderId="11" xfId="0" applyNumberFormat="1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" fontId="4" fillId="5" borderId="30" xfId="0" applyNumberFormat="1" applyFont="1" applyFill="1" applyBorder="1" applyAlignment="1">
      <alignment horizontal="center" vertical="center"/>
    </xf>
    <xf numFmtId="1" fontId="4" fillId="5" borderId="31" xfId="0" applyNumberFormat="1" applyFont="1" applyFill="1" applyBorder="1" applyAlignment="1">
      <alignment horizontal="center" vertical="center"/>
    </xf>
    <xf numFmtId="14" fontId="3" fillId="4" borderId="13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2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14" fontId="17" fillId="4" borderId="13" xfId="0" applyNumberFormat="1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26" xfId="0" applyFont="1" applyFill="1" applyBorder="1"/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1" fontId="3" fillId="0" borderId="44" xfId="0" applyNumberFormat="1" applyFont="1" applyBorder="1" applyAlignment="1">
      <alignment horizontal="center" vertical="center"/>
    </xf>
    <xf numFmtId="1" fontId="4" fillId="5" borderId="41" xfId="0" applyNumberFormat="1" applyFont="1" applyFill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3" fillId="4" borderId="46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3" fillId="4" borderId="21" xfId="0" applyNumberFormat="1" applyFont="1" applyFill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4" fillId="5" borderId="50" xfId="0" applyNumberFormat="1" applyFont="1" applyFill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4" xfId="0" applyNumberFormat="1" applyFont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/>
    </xf>
    <xf numFmtId="1" fontId="2" fillId="5" borderId="59" xfId="0" applyNumberFormat="1" applyFont="1" applyFill="1" applyBorder="1" applyAlignment="1">
      <alignment horizontal="center" vertical="center"/>
    </xf>
    <xf numFmtId="1" fontId="2" fillId="5" borderId="41" xfId="0" applyNumberFormat="1" applyFont="1" applyFill="1" applyBorder="1" applyAlignment="1">
      <alignment horizontal="center" vertical="center"/>
    </xf>
    <xf numFmtId="1" fontId="3" fillId="0" borderId="60" xfId="0" applyNumberFormat="1" applyFont="1" applyBorder="1" applyAlignment="1">
      <alignment horizontal="center" vertical="center"/>
    </xf>
    <xf numFmtId="1" fontId="3" fillId="0" borderId="56" xfId="0" applyNumberFormat="1" applyFont="1" applyBorder="1" applyAlignment="1">
      <alignment horizontal="center" vertical="center"/>
    </xf>
    <xf numFmtId="0" fontId="3" fillId="4" borderId="60" xfId="0" applyFont="1" applyFill="1" applyBorder="1"/>
    <xf numFmtId="0" fontId="3" fillId="0" borderId="2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4" fontId="3" fillId="0" borderId="6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4" borderId="13" xfId="0" applyNumberFormat="1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6" borderId="0" xfId="0" applyFill="1" applyAlignment="1">
      <alignment wrapText="1"/>
    </xf>
    <xf numFmtId="0" fontId="0" fillId="6" borderId="0" xfId="0" applyFill="1"/>
    <xf numFmtId="14" fontId="4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4" fontId="4" fillId="4" borderId="1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9" fontId="3" fillId="0" borderId="0" xfId="1" applyFont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66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165" fontId="3" fillId="0" borderId="16" xfId="0" applyNumberFormat="1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9" fontId="3" fillId="0" borderId="17" xfId="1" applyFont="1" applyBorder="1" applyAlignment="1">
      <alignment horizontal="center" vertical="center" wrapText="1"/>
    </xf>
    <xf numFmtId="9" fontId="3" fillId="0" borderId="5" xfId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73" xfId="0" applyNumberFormat="1" applyFont="1" applyBorder="1" applyAlignment="1">
      <alignment horizontal="center" vertical="center" wrapText="1"/>
    </xf>
    <xf numFmtId="164" fontId="3" fillId="0" borderId="22" xfId="0" applyNumberFormat="1" applyFont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0" fontId="3" fillId="0" borderId="1" xfId="4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 wrapText="1"/>
    </xf>
    <xf numFmtId="9" fontId="3" fillId="0" borderId="15" xfId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165" fontId="21" fillId="0" borderId="11" xfId="0" applyNumberFormat="1" applyFont="1" applyBorder="1" applyAlignment="1">
      <alignment horizontal="center" vertical="center" wrapText="1"/>
    </xf>
    <xf numFmtId="9" fontId="3" fillId="0" borderId="12" xfId="1" applyFont="1" applyBorder="1" applyAlignment="1">
      <alignment horizontal="center" vertical="center" wrapText="1"/>
    </xf>
    <xf numFmtId="165" fontId="21" fillId="0" borderId="13" xfId="0" applyNumberFormat="1" applyFont="1" applyBorder="1" applyAlignment="1">
      <alignment horizontal="center" vertical="center" wrapText="1"/>
    </xf>
    <xf numFmtId="9" fontId="3" fillId="0" borderId="26" xfId="1" applyFont="1" applyBorder="1" applyAlignment="1">
      <alignment horizontal="center" vertical="center" wrapText="1"/>
    </xf>
    <xf numFmtId="165" fontId="21" fillId="0" borderId="19" xfId="0" applyNumberFormat="1" applyFont="1" applyBorder="1" applyAlignment="1">
      <alignment horizontal="center" vertical="center" wrapText="1"/>
    </xf>
    <xf numFmtId="9" fontId="3" fillId="0" borderId="27" xfId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 wrapText="1"/>
    </xf>
    <xf numFmtId="166" fontId="3" fillId="0" borderId="21" xfId="0" applyNumberFormat="1" applyFont="1" applyBorder="1" applyAlignment="1">
      <alignment horizontal="center" vertical="center" wrapText="1"/>
    </xf>
    <xf numFmtId="166" fontId="3" fillId="0" borderId="33" xfId="0" applyNumberFormat="1" applyFont="1" applyBorder="1" applyAlignment="1">
      <alignment horizontal="center" vertical="center" wrapText="1"/>
    </xf>
    <xf numFmtId="9" fontId="21" fillId="0" borderId="26" xfId="1" applyFont="1" applyBorder="1" applyAlignment="1">
      <alignment horizontal="center" vertical="center" wrapText="1"/>
    </xf>
    <xf numFmtId="165" fontId="21" fillId="0" borderId="20" xfId="0" applyNumberFormat="1" applyFont="1" applyBorder="1" applyAlignment="1">
      <alignment horizontal="center" vertical="center" wrapText="1"/>
    </xf>
    <xf numFmtId="2" fontId="3" fillId="0" borderId="77" xfId="0" applyNumberFormat="1" applyFont="1" applyBorder="1" applyAlignment="1">
      <alignment horizontal="center" vertical="center" wrapText="1"/>
    </xf>
    <xf numFmtId="2" fontId="3" fillId="0" borderId="78" xfId="0" applyNumberFormat="1" applyFont="1" applyBorder="1" applyAlignment="1">
      <alignment horizontal="center" vertical="center" wrapText="1"/>
    </xf>
    <xf numFmtId="2" fontId="3" fillId="0" borderId="79" xfId="0" applyNumberFormat="1" applyFont="1" applyBorder="1" applyAlignment="1">
      <alignment horizontal="center" vertical="center" wrapText="1"/>
    </xf>
    <xf numFmtId="1" fontId="3" fillId="0" borderId="77" xfId="0" applyNumberFormat="1" applyFont="1" applyBorder="1" applyAlignment="1">
      <alignment horizontal="center" vertical="center"/>
    </xf>
    <xf numFmtId="1" fontId="3" fillId="0" borderId="78" xfId="0" applyNumberFormat="1" applyFont="1" applyBorder="1" applyAlignment="1">
      <alignment horizontal="center" vertical="center"/>
    </xf>
    <xf numFmtId="1" fontId="3" fillId="4" borderId="78" xfId="0" applyNumberFormat="1" applyFont="1" applyFill="1" applyBorder="1" applyAlignment="1">
      <alignment horizontal="center" vertical="center"/>
    </xf>
    <xf numFmtId="1" fontId="3" fillId="0" borderId="80" xfId="0" applyNumberFormat="1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1" fontId="3" fillId="0" borderId="68" xfId="0" applyNumberFormat="1" applyFont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1" fontId="2" fillId="5" borderId="58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1" fontId="4" fillId="5" borderId="86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5" fillId="0" borderId="87" xfId="0" applyFont="1" applyBorder="1" applyAlignment="1">
      <alignment horizontal="left" vertical="center" wrapText="1"/>
    </xf>
    <xf numFmtId="0" fontId="5" fillId="0" borderId="87" xfId="0" applyFont="1" applyBorder="1" applyAlignment="1">
      <alignment horizontal="left" vertical="center"/>
    </xf>
    <xf numFmtId="165" fontId="4" fillId="5" borderId="13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165" fontId="4" fillId="5" borderId="19" xfId="0" applyNumberFormat="1" applyFont="1" applyFill="1" applyBorder="1" applyAlignment="1">
      <alignment horizontal="center" vertical="center" wrapText="1"/>
    </xf>
    <xf numFmtId="165" fontId="4" fillId="5" borderId="17" xfId="0" applyNumberFormat="1" applyFont="1" applyFill="1" applyBorder="1" applyAlignment="1">
      <alignment horizontal="center" vertical="center" wrapText="1"/>
    </xf>
    <xf numFmtId="9" fontId="4" fillId="5" borderId="33" xfId="1" applyFont="1" applyFill="1" applyBorder="1" applyAlignment="1">
      <alignment horizontal="center" vertical="center" wrapText="1"/>
    </xf>
    <xf numFmtId="9" fontId="4" fillId="5" borderId="69" xfId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64" xfId="0" applyFont="1" applyFill="1" applyBorder="1" applyAlignment="1">
      <alignment horizontal="center" vertical="center" wrapText="1"/>
    </xf>
    <xf numFmtId="0" fontId="4" fillId="6" borderId="74" xfId="0" applyFont="1" applyFill="1" applyBorder="1" applyAlignment="1">
      <alignment horizontal="center" vertical="center" wrapText="1"/>
    </xf>
    <xf numFmtId="165" fontId="4" fillId="5" borderId="11" xfId="0" applyNumberFormat="1" applyFont="1" applyFill="1" applyBorder="1" applyAlignment="1">
      <alignment horizontal="center" vertical="center" wrapText="1"/>
    </xf>
    <xf numFmtId="165" fontId="4" fillId="5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9" fontId="4" fillId="5" borderId="75" xfId="1" applyFont="1" applyFill="1" applyBorder="1" applyAlignment="1">
      <alignment horizontal="center" vertical="center" wrapText="1"/>
    </xf>
    <xf numFmtId="0" fontId="4" fillId="7" borderId="65" xfId="0" applyFont="1" applyFill="1" applyBorder="1" applyAlignment="1">
      <alignment horizontal="center" vertical="center" wrapText="1"/>
    </xf>
    <xf numFmtId="165" fontId="4" fillId="5" borderId="6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7" borderId="63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6" borderId="7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6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4" fillId="3" borderId="84" xfId="0" applyFont="1" applyFill="1" applyBorder="1" applyAlignment="1">
      <alignment horizontal="center" vertical="center" wrapText="1"/>
    </xf>
    <xf numFmtId="0" fontId="4" fillId="3" borderId="8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</cellXfs>
  <cellStyles count="14">
    <cellStyle name="Comma 2" xfId="12" xr:uid="{36DBFC0E-EDC6-4645-987D-E73CE57BDBD8}"/>
    <cellStyle name="Normal" xfId="0" builtinId="0"/>
    <cellStyle name="Normal 138" xfId="7" xr:uid="{A56EB176-B6B2-4A06-8E5F-38B69BD4D2E0}"/>
    <cellStyle name="Normal 138 2" xfId="2" xr:uid="{CA63A806-C141-4F0A-8047-623FAFA8A841}"/>
    <cellStyle name="Normal 2" xfId="4" xr:uid="{C2B75660-A86F-44C8-8855-C400E130B0E4}"/>
    <cellStyle name="Normal 2 2" xfId="6" xr:uid="{A5D4B9FA-96AC-4F63-A549-4C62C7F64270}"/>
    <cellStyle name="Normal 2 3" xfId="8" xr:uid="{53467C98-DB9C-4510-94D3-FAD9047F060A}"/>
    <cellStyle name="Normal 2 3 2" xfId="10" xr:uid="{A633AFE5-D999-49D3-A48C-47234580D8F2}"/>
    <cellStyle name="Normal 3 10 2" xfId="9" xr:uid="{7F19EBB7-1D37-4F3E-84CC-2D9023595021}"/>
    <cellStyle name="Normal 5" xfId="11" xr:uid="{4685673B-7C86-4643-B171-698957710FC8}"/>
    <cellStyle name="Normal 6" xfId="3" xr:uid="{8A2E0150-2E84-41CF-AE67-303976980A26}"/>
    <cellStyle name="Percent" xfId="1" builtinId="5"/>
    <cellStyle name="Percent 2" xfId="5" xr:uid="{36AEFA1A-9239-4DDA-A766-833F7274892C}"/>
    <cellStyle name="Percent 3" xfId="13" xr:uid="{E90FCEAE-D710-42FE-943F-6D224667E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</a:t>
            </a:r>
            <a:r>
              <a:rPr lang="en-ID" baseline="0"/>
              <a:t> TOTAL ACTUAL PRODUKSI BORDIR PER SHIFT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BORDIR'!$B$46:$B$47</c:f>
              <c:strCache>
                <c:ptCount val="2"/>
                <c:pt idx="0">
                  <c:v>TOTAL PRODUKSI</c:v>
                </c:pt>
                <c:pt idx="1">
                  <c:v>SHIFT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BORDIR'!$A$48:$A$63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BORDIR'!$B$48:$B$63</c:f>
              <c:numCache>
                <c:formatCode>General</c:formatCode>
                <c:ptCount val="16"/>
                <c:pt idx="0">
                  <c:v>4743</c:v>
                </c:pt>
                <c:pt idx="1">
                  <c:v>5859</c:v>
                </c:pt>
                <c:pt idx="2">
                  <c:v>7761</c:v>
                </c:pt>
                <c:pt idx="3">
                  <c:v>7996</c:v>
                </c:pt>
                <c:pt idx="4">
                  <c:v>4240</c:v>
                </c:pt>
                <c:pt idx="6">
                  <c:v>7236</c:v>
                </c:pt>
                <c:pt idx="7">
                  <c:v>5520</c:v>
                </c:pt>
                <c:pt idx="8">
                  <c:v>4914</c:v>
                </c:pt>
                <c:pt idx="9">
                  <c:v>5337</c:v>
                </c:pt>
                <c:pt idx="10">
                  <c:v>6298</c:v>
                </c:pt>
                <c:pt idx="11">
                  <c:v>4370</c:v>
                </c:pt>
                <c:pt idx="13">
                  <c:v>5908</c:v>
                </c:pt>
                <c:pt idx="14">
                  <c:v>6546</c:v>
                </c:pt>
                <c:pt idx="15">
                  <c:v>6089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E-4158-A6CA-10CEE99D9031}"/>
            </c:ext>
          </c:extLst>
        </c:ser>
        <c:ser>
          <c:idx val="1"/>
          <c:order val="1"/>
          <c:tx>
            <c:strRef>
              <c:f>'GRAFIK BORDIR'!$C$46:$C$47</c:f>
              <c:strCache>
                <c:ptCount val="2"/>
                <c:pt idx="0">
                  <c:v>TOTAL PRODUKSI</c:v>
                </c:pt>
                <c:pt idx="1">
                  <c:v>SHIFT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BORDIR'!$A$48:$A$63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BORDIR'!$C$48:$C$63</c:f>
              <c:numCache>
                <c:formatCode>General</c:formatCode>
                <c:ptCount val="16"/>
                <c:pt idx="0">
                  <c:v>5693</c:v>
                </c:pt>
                <c:pt idx="1">
                  <c:v>6011</c:v>
                </c:pt>
                <c:pt idx="2">
                  <c:v>8158</c:v>
                </c:pt>
                <c:pt idx="3">
                  <c:v>9479</c:v>
                </c:pt>
                <c:pt idx="4">
                  <c:v>3668</c:v>
                </c:pt>
                <c:pt idx="6">
                  <c:v>6380</c:v>
                </c:pt>
                <c:pt idx="7">
                  <c:v>5210</c:v>
                </c:pt>
                <c:pt idx="8">
                  <c:v>5915</c:v>
                </c:pt>
                <c:pt idx="9">
                  <c:v>7266</c:v>
                </c:pt>
                <c:pt idx="10">
                  <c:v>5604</c:v>
                </c:pt>
                <c:pt idx="11">
                  <c:v>4965</c:v>
                </c:pt>
                <c:pt idx="13">
                  <c:v>6499</c:v>
                </c:pt>
                <c:pt idx="14">
                  <c:v>7244</c:v>
                </c:pt>
                <c:pt idx="15">
                  <c:v>6924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E-4158-A6CA-10CEE99D90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99407984"/>
        <c:axId val="1199405104"/>
      </c:barChart>
      <c:dateAx>
        <c:axId val="1199407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05104"/>
        <c:crosses val="autoZero"/>
        <c:auto val="1"/>
        <c:lblOffset val="100"/>
        <c:baseTimeUnit val="days"/>
      </c:dateAx>
      <c:valAx>
        <c:axId val="11994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40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DATA TOTAL ACTUAL PRODUKSI PRINTING PER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PRINTING'!$B$67:$B$68</c:f>
              <c:strCache>
                <c:ptCount val="2"/>
                <c:pt idx="0">
                  <c:v>TOTAL PRODUKSI</c:v>
                </c:pt>
                <c:pt idx="1">
                  <c:v>SHIFT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PRINTING'!$A$69:$A$84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PRINTING'!$B$69:$B$84</c:f>
              <c:numCache>
                <c:formatCode>General</c:formatCode>
                <c:ptCount val="16"/>
                <c:pt idx="0">
                  <c:v>11936</c:v>
                </c:pt>
                <c:pt idx="1">
                  <c:v>12915</c:v>
                </c:pt>
                <c:pt idx="2">
                  <c:v>12672</c:v>
                </c:pt>
                <c:pt idx="3">
                  <c:v>12887</c:v>
                </c:pt>
                <c:pt idx="4">
                  <c:v>15076</c:v>
                </c:pt>
                <c:pt idx="6">
                  <c:v>9523</c:v>
                </c:pt>
                <c:pt idx="7">
                  <c:v>9689</c:v>
                </c:pt>
                <c:pt idx="8">
                  <c:v>8724</c:v>
                </c:pt>
                <c:pt idx="9">
                  <c:v>9514</c:v>
                </c:pt>
                <c:pt idx="10">
                  <c:v>9341</c:v>
                </c:pt>
                <c:pt idx="11">
                  <c:v>6534</c:v>
                </c:pt>
                <c:pt idx="13">
                  <c:v>7408</c:v>
                </c:pt>
                <c:pt idx="14">
                  <c:v>8268</c:v>
                </c:pt>
                <c:pt idx="15">
                  <c:v>8488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0-412C-9DB1-BD323ABD783B}"/>
            </c:ext>
          </c:extLst>
        </c:ser>
        <c:ser>
          <c:idx val="1"/>
          <c:order val="1"/>
          <c:tx>
            <c:strRef>
              <c:f>'GRAFIK PRINTING'!$C$67:$C$68</c:f>
              <c:strCache>
                <c:ptCount val="2"/>
                <c:pt idx="0">
                  <c:v>TOTAL PRODUKSI</c:v>
                </c:pt>
                <c:pt idx="1">
                  <c:v>SHIFT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PRINTING'!$A$69:$A$84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PRINTING'!$C$69:$C$84</c:f>
              <c:numCache>
                <c:formatCode>General</c:formatCode>
                <c:ptCount val="16"/>
                <c:pt idx="0">
                  <c:v>12445</c:v>
                </c:pt>
                <c:pt idx="1">
                  <c:v>13965</c:v>
                </c:pt>
                <c:pt idx="2">
                  <c:v>13820</c:v>
                </c:pt>
                <c:pt idx="3">
                  <c:v>15803</c:v>
                </c:pt>
                <c:pt idx="4">
                  <c:v>10836</c:v>
                </c:pt>
                <c:pt idx="6">
                  <c:v>13625</c:v>
                </c:pt>
                <c:pt idx="7">
                  <c:v>12755</c:v>
                </c:pt>
                <c:pt idx="8">
                  <c:v>10004</c:v>
                </c:pt>
                <c:pt idx="9">
                  <c:v>9255</c:v>
                </c:pt>
                <c:pt idx="10">
                  <c:v>8641</c:v>
                </c:pt>
                <c:pt idx="11">
                  <c:v>8329</c:v>
                </c:pt>
                <c:pt idx="13">
                  <c:v>11115</c:v>
                </c:pt>
                <c:pt idx="14">
                  <c:v>9774</c:v>
                </c:pt>
                <c:pt idx="15">
                  <c:v>10126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0-412C-9DB1-BD323ABD783B}"/>
            </c:ext>
          </c:extLst>
        </c:ser>
        <c:ser>
          <c:idx val="2"/>
          <c:order val="2"/>
          <c:tx>
            <c:strRef>
              <c:f>'GRAFIK PRINTING'!$D$67:$D$68</c:f>
              <c:strCache>
                <c:ptCount val="2"/>
                <c:pt idx="0">
                  <c:v>TOTAL PRODUKSI</c:v>
                </c:pt>
                <c:pt idx="1">
                  <c:v>SHIFT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PRINTING'!$A$69:$A$84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PRINTING'!$D$69:$D$84</c:f>
              <c:numCache>
                <c:formatCode>General</c:formatCode>
                <c:ptCount val="16"/>
                <c:pt idx="0">
                  <c:v>12533</c:v>
                </c:pt>
                <c:pt idx="1">
                  <c:v>11783</c:v>
                </c:pt>
                <c:pt idx="2">
                  <c:v>14452</c:v>
                </c:pt>
                <c:pt idx="3">
                  <c:v>15725</c:v>
                </c:pt>
                <c:pt idx="4">
                  <c:v>10900</c:v>
                </c:pt>
                <c:pt idx="6">
                  <c:v>11925</c:v>
                </c:pt>
                <c:pt idx="7">
                  <c:v>11091</c:v>
                </c:pt>
                <c:pt idx="8">
                  <c:v>10793</c:v>
                </c:pt>
                <c:pt idx="9">
                  <c:v>10683</c:v>
                </c:pt>
                <c:pt idx="10">
                  <c:v>11724</c:v>
                </c:pt>
                <c:pt idx="11">
                  <c:v>9316</c:v>
                </c:pt>
                <c:pt idx="13">
                  <c:v>9863</c:v>
                </c:pt>
                <c:pt idx="14">
                  <c:v>9656</c:v>
                </c:pt>
                <c:pt idx="15">
                  <c:v>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40-412C-9DB1-BD323ABD7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615856"/>
        <c:axId val="1453609616"/>
      </c:barChart>
      <c:dateAx>
        <c:axId val="1453615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09616"/>
        <c:crosses val="autoZero"/>
        <c:auto val="1"/>
        <c:lblOffset val="100"/>
        <c:baseTimeUnit val="days"/>
      </c:dateAx>
      <c:valAx>
        <c:axId val="14536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1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DATA TOTAL ACTUAL PRODUKSI EMBOSS PER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EMBOSS'!$B$48:$B$49</c:f>
              <c:strCache>
                <c:ptCount val="2"/>
                <c:pt idx="0">
                  <c:v>TOTAL PRODUKSI</c:v>
                </c:pt>
                <c:pt idx="1">
                  <c:v>SHIFT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EMBOSS'!$A$50:$A$65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EMBOSS'!$B$50:$B$65</c:f>
              <c:numCache>
                <c:formatCode>General</c:formatCode>
                <c:ptCount val="16"/>
                <c:pt idx="0">
                  <c:v>8091</c:v>
                </c:pt>
                <c:pt idx="1">
                  <c:v>6811</c:v>
                </c:pt>
                <c:pt idx="2">
                  <c:v>11566</c:v>
                </c:pt>
                <c:pt idx="3">
                  <c:v>9605</c:v>
                </c:pt>
                <c:pt idx="4">
                  <c:v>12046</c:v>
                </c:pt>
                <c:pt idx="6">
                  <c:v>3839</c:v>
                </c:pt>
                <c:pt idx="7">
                  <c:v>7572</c:v>
                </c:pt>
                <c:pt idx="8">
                  <c:v>6650</c:v>
                </c:pt>
                <c:pt idx="9">
                  <c:v>9143</c:v>
                </c:pt>
                <c:pt idx="10">
                  <c:v>12485</c:v>
                </c:pt>
                <c:pt idx="11">
                  <c:v>6175</c:v>
                </c:pt>
                <c:pt idx="13">
                  <c:v>10972</c:v>
                </c:pt>
                <c:pt idx="14">
                  <c:v>9481</c:v>
                </c:pt>
                <c:pt idx="15">
                  <c:v>11904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8-4769-84D6-BDA380A3B7F1}"/>
            </c:ext>
          </c:extLst>
        </c:ser>
        <c:ser>
          <c:idx val="1"/>
          <c:order val="1"/>
          <c:tx>
            <c:strRef>
              <c:f>'GRAFIK EMBOSS'!$C$48:$C$49</c:f>
              <c:strCache>
                <c:ptCount val="2"/>
                <c:pt idx="0">
                  <c:v>TOTAL PRODUKSI</c:v>
                </c:pt>
                <c:pt idx="1">
                  <c:v>SHIFT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EMBOSS'!$A$50:$A$65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EMBOSS'!$C$50:$C$65</c:f>
              <c:numCache>
                <c:formatCode>General</c:formatCode>
                <c:ptCount val="16"/>
                <c:pt idx="0">
                  <c:v>7163</c:v>
                </c:pt>
                <c:pt idx="1">
                  <c:v>6679</c:v>
                </c:pt>
                <c:pt idx="2">
                  <c:v>5363</c:v>
                </c:pt>
                <c:pt idx="3">
                  <c:v>5993</c:v>
                </c:pt>
                <c:pt idx="4">
                  <c:v>3133</c:v>
                </c:pt>
                <c:pt idx="6">
                  <c:v>5735</c:v>
                </c:pt>
                <c:pt idx="7">
                  <c:v>7499</c:v>
                </c:pt>
                <c:pt idx="8">
                  <c:v>8113</c:v>
                </c:pt>
                <c:pt idx="9">
                  <c:v>14927</c:v>
                </c:pt>
                <c:pt idx="10">
                  <c:v>15594</c:v>
                </c:pt>
                <c:pt idx="11">
                  <c:v>4641</c:v>
                </c:pt>
                <c:pt idx="13">
                  <c:v>5942</c:v>
                </c:pt>
                <c:pt idx="14">
                  <c:v>6506</c:v>
                </c:pt>
                <c:pt idx="15">
                  <c:v>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8-4769-84D6-BDA380A3B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685936"/>
        <c:axId val="1453678736"/>
      </c:barChart>
      <c:dateAx>
        <c:axId val="1453685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78736"/>
        <c:crosses val="autoZero"/>
        <c:auto val="1"/>
        <c:lblOffset val="100"/>
        <c:baseTimeUnit val="days"/>
      </c:dateAx>
      <c:valAx>
        <c:axId val="14536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8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DATA TOTAL ACTUAL PRODUKSI NOSEW PER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NOSEW'!$B$44:$B$45</c:f>
              <c:strCache>
                <c:ptCount val="2"/>
                <c:pt idx="0">
                  <c:v>TOTAL PRODUKSI</c:v>
                </c:pt>
                <c:pt idx="1">
                  <c:v>SHIFT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NOSEW'!$A$46:$A$61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NOSEW'!$B$46:$B$61</c:f>
              <c:numCache>
                <c:formatCode>General</c:formatCode>
                <c:ptCount val="16"/>
                <c:pt idx="0">
                  <c:v>2769</c:v>
                </c:pt>
                <c:pt idx="1">
                  <c:v>2850</c:v>
                </c:pt>
                <c:pt idx="2">
                  <c:v>2630</c:v>
                </c:pt>
                <c:pt idx="3">
                  <c:v>2833</c:v>
                </c:pt>
                <c:pt idx="4">
                  <c:v>2554</c:v>
                </c:pt>
                <c:pt idx="6">
                  <c:v>3354</c:v>
                </c:pt>
                <c:pt idx="7">
                  <c:v>3268</c:v>
                </c:pt>
                <c:pt idx="8">
                  <c:v>2875</c:v>
                </c:pt>
                <c:pt idx="9">
                  <c:v>3249</c:v>
                </c:pt>
                <c:pt idx="10">
                  <c:v>3424</c:v>
                </c:pt>
                <c:pt idx="11">
                  <c:v>2635</c:v>
                </c:pt>
                <c:pt idx="13">
                  <c:v>2592</c:v>
                </c:pt>
                <c:pt idx="14">
                  <c:v>2617</c:v>
                </c:pt>
                <c:pt idx="15">
                  <c:v>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9-4A6C-B5CC-BB9E8D03AF66}"/>
            </c:ext>
          </c:extLst>
        </c:ser>
        <c:ser>
          <c:idx val="1"/>
          <c:order val="1"/>
          <c:tx>
            <c:strRef>
              <c:f>'GRAFIK NOSEW'!$C$44:$C$45</c:f>
              <c:strCache>
                <c:ptCount val="2"/>
                <c:pt idx="0">
                  <c:v>TOTAL PRODUKSI</c:v>
                </c:pt>
                <c:pt idx="1">
                  <c:v>SHIFT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NOSEW'!$A$46:$A$61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NOSEW'!$C$46:$C$61</c:f>
              <c:numCache>
                <c:formatCode>General</c:formatCode>
                <c:ptCount val="16"/>
                <c:pt idx="0">
                  <c:v>3273</c:v>
                </c:pt>
                <c:pt idx="1">
                  <c:v>3232</c:v>
                </c:pt>
                <c:pt idx="2">
                  <c:v>3352</c:v>
                </c:pt>
                <c:pt idx="3">
                  <c:v>3230</c:v>
                </c:pt>
                <c:pt idx="4">
                  <c:v>2646</c:v>
                </c:pt>
                <c:pt idx="6">
                  <c:v>3044</c:v>
                </c:pt>
                <c:pt idx="7">
                  <c:v>3442</c:v>
                </c:pt>
                <c:pt idx="8">
                  <c:v>3553</c:v>
                </c:pt>
                <c:pt idx="9">
                  <c:v>3506</c:v>
                </c:pt>
                <c:pt idx="10">
                  <c:v>3020</c:v>
                </c:pt>
                <c:pt idx="11">
                  <c:v>2800</c:v>
                </c:pt>
                <c:pt idx="13">
                  <c:v>2030</c:v>
                </c:pt>
                <c:pt idx="14">
                  <c:v>1984</c:v>
                </c:pt>
                <c:pt idx="15">
                  <c:v>2820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9-4A6C-B5CC-BB9E8D03A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561136"/>
        <c:axId val="1453562576"/>
      </c:barChart>
      <c:dateAx>
        <c:axId val="1453561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62576"/>
        <c:crosses val="autoZero"/>
        <c:auto val="1"/>
        <c:lblOffset val="100"/>
        <c:baseTimeUnit val="days"/>
      </c:dateAx>
      <c:valAx>
        <c:axId val="14535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5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DATA TOTAL ACTUAL PRODUKSI CUTTING PRESS PER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'GRAFIK CUTTING PRESS'!$B$43:$B$44</c:f>
              <c:strCache>
                <c:ptCount val="2"/>
                <c:pt idx="0">
                  <c:v>TOTAL PRODUKSI</c:v>
                </c:pt>
                <c:pt idx="1">
                  <c:v>SHIFT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CUTTING PRESS'!$A$45:$A$60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CUTTING PRESS'!$B$45:$B$60</c:f>
              <c:numCache>
                <c:formatCode>General</c:formatCode>
                <c:ptCount val="16"/>
                <c:pt idx="0">
                  <c:v>2844</c:v>
                </c:pt>
                <c:pt idx="1">
                  <c:v>3078</c:v>
                </c:pt>
                <c:pt idx="2">
                  <c:v>3232</c:v>
                </c:pt>
                <c:pt idx="3">
                  <c:v>2826</c:v>
                </c:pt>
                <c:pt idx="4">
                  <c:v>2193</c:v>
                </c:pt>
                <c:pt idx="6">
                  <c:v>2874</c:v>
                </c:pt>
                <c:pt idx="7">
                  <c:v>2530</c:v>
                </c:pt>
                <c:pt idx="8">
                  <c:v>2547</c:v>
                </c:pt>
                <c:pt idx="9">
                  <c:v>2217</c:v>
                </c:pt>
                <c:pt idx="10">
                  <c:v>2138</c:v>
                </c:pt>
                <c:pt idx="11">
                  <c:v>1214</c:v>
                </c:pt>
                <c:pt idx="13">
                  <c:v>1885</c:v>
                </c:pt>
                <c:pt idx="14">
                  <c:v>1361</c:v>
                </c:pt>
                <c:pt idx="15">
                  <c:v>1551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E-4EEA-BBB7-38C775AC1F35}"/>
            </c:ext>
          </c:extLst>
        </c:ser>
        <c:ser>
          <c:idx val="1"/>
          <c:order val="1"/>
          <c:tx>
            <c:strRef>
              <c:f>'GRAFIK CUTTING PRESS'!$C$43:$C$44</c:f>
              <c:strCache>
                <c:ptCount val="2"/>
                <c:pt idx="0">
                  <c:v>TOTAL PRODUKSI</c:v>
                </c:pt>
                <c:pt idx="1">
                  <c:v>SHIFT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'GRAFIK CUTTING PRESS'!$A$45:$A$60</c:f>
              <c:numCache>
                <c:formatCode>m/d/yyyy</c:formatCode>
                <c:ptCount val="16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</c:numCache>
            </c:numRef>
          </c:cat>
          <c:val>
            <c:numRef>
              <c:f>'GRAFIK CUTTING PRESS'!$C$45:$C$60</c:f>
              <c:numCache>
                <c:formatCode>General</c:formatCode>
                <c:ptCount val="16"/>
                <c:pt idx="1">
                  <c:v>1834</c:v>
                </c:pt>
                <c:pt idx="2">
                  <c:v>1902</c:v>
                </c:pt>
                <c:pt idx="3">
                  <c:v>1691</c:v>
                </c:pt>
                <c:pt idx="4">
                  <c:v>1102</c:v>
                </c:pt>
                <c:pt idx="6">
                  <c:v>1537</c:v>
                </c:pt>
                <c:pt idx="7">
                  <c:v>994</c:v>
                </c:pt>
                <c:pt idx="8">
                  <c:v>994</c:v>
                </c:pt>
                <c:pt idx="9">
                  <c:v>1184</c:v>
                </c:pt>
                <c:pt idx="10">
                  <c:v>1098</c:v>
                </c:pt>
                <c:pt idx="11">
                  <c:v>707</c:v>
                </c:pt>
                <c:pt idx="13">
                  <c:v>1976</c:v>
                </c:pt>
                <c:pt idx="14">
                  <c:v>1270</c:v>
                </c:pt>
                <c:pt idx="15">
                  <c:v>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E-4EEA-BBB7-38C775AC1F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653776"/>
        <c:axId val="1453675376"/>
      </c:barChart>
      <c:dateAx>
        <c:axId val="145365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75376"/>
        <c:crosses val="autoZero"/>
        <c:auto val="1"/>
        <c:lblOffset val="100"/>
        <c:baseTimeUnit val="days"/>
      </c:dateAx>
      <c:valAx>
        <c:axId val="145367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168094</xdr:colOff>
      <xdr:row>45</xdr:row>
      <xdr:rowOff>29135</xdr:rowOff>
    </xdr:from>
    <xdr:to>
      <xdr:col>12</xdr:col>
      <xdr:colOff>0</xdr:colOff>
      <xdr:row>62</xdr:row>
      <xdr:rowOff>224117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1559C-4833-E461-8F31-137EB4801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102053</xdr:colOff>
      <xdr:row>65</xdr:row>
      <xdr:rowOff>234043</xdr:rowOff>
    </xdr:from>
    <xdr:to>
      <xdr:col>18</xdr:col>
      <xdr:colOff>1129393</xdr:colOff>
      <xdr:row>84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1AC94-7EA8-8F33-1679-DEBF9599B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142874</xdr:colOff>
      <xdr:row>47</xdr:row>
      <xdr:rowOff>23812</xdr:rowOff>
    </xdr:from>
    <xdr:to>
      <xdr:col>14</xdr:col>
      <xdr:colOff>1035843</xdr:colOff>
      <xdr:row>64</xdr:row>
      <xdr:rowOff>238125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D2797E-AC4F-E98E-1147-30D250832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174634</xdr:colOff>
      <xdr:row>43</xdr:row>
      <xdr:rowOff>49212</xdr:rowOff>
    </xdr:from>
    <xdr:to>
      <xdr:col>12</xdr:col>
      <xdr:colOff>1317624</xdr:colOff>
      <xdr:row>61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7713B6-01C3-47F2-6F76-C4A30AEE4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179299</xdr:colOff>
      <xdr:row>42</xdr:row>
      <xdr:rowOff>23531</xdr:rowOff>
    </xdr:from>
    <xdr:to>
      <xdr:col>14</xdr:col>
      <xdr:colOff>1053352</xdr:colOff>
      <xdr:row>59</xdr:row>
      <xdr:rowOff>235322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66D2A8-F49F-A163-B0C3-A2AE2BF06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5</xdr:row>
      <xdr:rowOff>147043</xdr:rowOff>
    </xdr:from>
    <xdr:to>
      <xdr:col>2</xdr:col>
      <xdr:colOff>1367384</xdr:colOff>
      <xdr:row>5</xdr:row>
      <xdr:rowOff>1085850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37113A-8B31-3F8E-ED02-F39F3779D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2242543"/>
          <a:ext cx="1329284" cy="938807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</xdr:row>
      <xdr:rowOff>38101</xdr:rowOff>
    </xdr:from>
    <xdr:to>
      <xdr:col>2</xdr:col>
      <xdr:colOff>1085850</xdr:colOff>
      <xdr:row>4</xdr:row>
      <xdr:rowOff>1318755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4A101B-C118-2813-43FF-28A0A811B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0" y="800101"/>
          <a:ext cx="933450" cy="12806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90.81\&#48148;&#53461;%20&#54868;&#47732;\08&#50900;%20%20&#49373;&#49328;&#44228;&#54925;&#49436;%20(2012072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IDAS\ADIDAS\LOB%20Fai2Go%20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%20PFC\Pre%20Trainer\My%20Documents\new%20CSS%20PU%20form(9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301;&#49457;\A%20ALTHEA%203\P.F.C\a.int'l%20trx%203%20+\302315-161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%20PFC\Pre%20Trainer\My%20Documents\new%20CSS%20PU%20form(95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My%20Documents\%20PFC\Pre%20Trainer\My%20Documents\new%20CSS%20PU%20form(9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gw.t2group.co.kr/Documents%20and%20Settings/Administrator/Local%20Settings/Temporary%20Internet%20Files/Content.IE5/16V81FF4/TECH/MERRY/178049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CH\MERRY\178049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Documents%20and%20Settings\hyejin.anh\Local%20Settings\Temporary%20Internet%20Files\Content.Outlook\JK7SG7BU\BPFC%20send%20to%20%20nike%20cf\pfc%20sign\P.F.C\a.turbulence%205\302323-001%2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PFC%20send%20to%20%20nike%20cf\pfc%20sign\P.F.C\a.turbulence%205\302323-001%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0.7/ALF/&#38283;&#30332;&#25216;&#34899;&#37096;&#19971;&#35506;ALF/Ose-Jan.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soe01\d\Nh22-23\HEQUANLY\TOTNGIEP\danhsachhslop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jakash.dskorea.com/My%20Documents/%20PFC/Pre%20Trainer/My%20Documents/new%20CSS%20PU%20form(95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q_anh\TTOAN\THTOAN\T.ANH\TONNL\2002\ANLCTY01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_rd_02\fa\&#26032;&#36039;&#26009;&#22846;\Wen2\LOW%20POST%20MS&#30382;14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lter\upper\TECH\MERRY\178049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kti\hermin\My%20Documents\hermin\My%20Documents\new%20CSS%20PU%20form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u\MY%20DOCUMENTS\My%20Documents\new%20CSS%20PU%20form(95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-m\Data%20(D)\TECH\MERRY\178049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cal\Microsoft\Windows\Temporary%20Internet%20Files\Content.Outlook\XOEQL2BE\FW15%20ME%20report%20-%20xxx-Version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ocal\Microsoft\Windows\Temporary%2520Internet%2520Files\Content.Outlook\XOEQL2BE\FW15%2520ME%2520report%2520-%2520xxx-Version2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Sales\MyData\DHIAN\PO%23Jan%20-%20Dec'07%20(new)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1spec\kids\templates\templates\KidsWklyProdTempR1.xl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AppData\Local\Microsoft\Windows\Temporary%20Internet%20Files\Content.Outlook\HE4XU0GV\adidas%20Efficiency%20Tracking%20Template%20-%20FW1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AppData\Local\Microsoft\Windows\Temporary%2520Internet%2520Files\Content.Outlook\HE4XU0GV\adidas%2520Efficiency%2520Tracking%2520Template%2520-%2520FW17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Documents%20and%20Settings\Cordes%20Christoph\Local%20Settings\Temporary%20Internet%20Files\OLK25\SS07%20LOP%20Preliminary%20tool%20-%2031Oct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deCo\Global%20Supply%20Planning\Footwear\04%20Product%20Transfer\Transfer%20Reque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X://TradeCo/Global%20Supply%20Planning/Footwear/04%20Product%20Transfer/Transfer%20Reque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2011\LP%20Category%20Templates\Sportswear\Solar\Line%20Planning%20Reports%20-%20FA11%20Solar%20-%20Wmn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U://FA2011/LP%20Category%20Templates/Sportswear/Solar/Line%20Planning%20Reports%20-%20FA11%20Solar%20-%20Wmn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10\Line%20Planning%20Reports%20-%20HO10%20Boys%20PS-G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://HO10/Line%20Planning%20Reports%20-%20HO10%20Boys%20PS-G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Documents\bakarand%20Files\3.%20ME%20SR%20MGR%20OPEX\Report%20PPH%20All%20LO\2016Oct\SS17%20Factory%20PPH%20Master%20File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karand\Documents\bakarand%2520Files\3.%2520ME%2520SR%2520MGR%2520OPEX\Report%2520PPH%2520All%2520LO\2016Oct\SS17%2520Factory%2520PPH%2520Master%2520File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D://CI/aLF/6D&#36039;&#26009;/09/09%206D&#22577;&#21578;&#36039;&#26009;/AF8301%208.26/ALF/&#38283;&#30332;&#25216;&#34899;&#37096;&#19971;&#35506;ALF/Ose-Jan.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ho_korea\pfc\&#51217;&#52265;&#44277;&#51221;&#46020;\2001&#45380;%205&#50900;\302315-161%2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ho_korea\pfc\&#51217;&#52265;&#44277;&#51221;&#46020;\2001&#45380;%25205&#50900;\302315-161%2520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51088;&#47308;\IE\SEASON\HO'11\model\swift\GTM\IE%20DATA\&#51088;&#47308;\IE\SEASON\FA'11\FA'11%20RFC\nike%20&#51228;&#52636;\My%20Documents\%20PFC\Pre%20Trainer\My%20Documents\new%20CSS%20PU%20form(95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ngha\QD\DEL.%20DOC\MAY\Copy%20of%20plan%2005-13%20by%20sea.xls-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9.119.119.19\qd_ie\2013\IE\IE&#27963;&#21160;\MC%20&#21608;&#21035;&#35745;&#21010;&#20998;&#26512;\MC%20NEEDED\10&#26376;\MC%20NEEDED%2010&#26376;&#26531;&#24196;%209.11%20%20Stitch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_anh\TTOAN\THTOAN\T.ANH\TONNL\2002\ANLCTY01-0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D://Alf%20Evi%201C,%202B,%202C,%206A,%206D,%206E/WINDOWS/Temporary%20Internet%20Files/Content.IE5/TF48EIHF/WINDOWS/Temporary%20Internet%20Files/Content.IE5/TF48EIHF/ALF/&#38283;&#30332;&#25216;&#34899;&#37096;&#19971;&#35506;ALF/Ose-Jan.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Content.IE5\16V81FF4\TECH\MERRY\178049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in\pfc%20nasa\PFC\SP04\OVERT4\overt4%20&#54620;&#44544;&#48156;&#5480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4DFEFF1\FtyLO%2520Development%2520KPI_SS10CR2_FTY_CATEGORY%2520(2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Footwear%20Templates/HO11_Jordan_Kids_FW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Seasonal_Planning_Process\SU12\SU12_Line_Plan_review_01031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Mater%20Data%20Template%20-%20for%20review%20and%20export%20only/Consolidated_View_FW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XTPFC\man%20soo\newpfc\new%20model%20trial\spark%20mid\MATERIAL%20SPEC.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G://CXTPFC/man%20soo/newpfc/new%20model%20trial/spark%20mid/MATERIAL%20SPEC.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nga\share\HUONGMOI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STINSONB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Documents%20and%20Settings\bonggu.baek\&#48148;&#53461;%20&#54868;&#47732;\IMPAX%20TR3%20PS\fxw028-M22-C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520IE%2520&#54016;&#9733;\IE%2520&#48516;&#49437;%2520&#45936;&#51060;&#53440;\Documents%2520and%2520Settings\bonggu.baek\&#48148;&#53461;%2520&#54868;&#47732;\IMPAX%2520TR3%2520PS\fxw028-M22-C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i-santoso\Spec\WINDOWS\TEMP\JetStreamGS(KDR227-M2-C2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1452;\PFC\WINDOWS\&#48148;&#53461;%20&#54868;&#47732;\&#51089;&#50629;&#44277;&#44036;\Turbulence%203\Turbulence%203%20M's\PRODUCTION%20TRIAL%20MODIFY\&#44508;&#44201;&#49436;\A%20CVG%203%20Lea\MATERIAL%20SPEC.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749;&#51452;\PFC\WINDOWS\&#48148;&#53461;%2520&#54868;&#47732;\&#51089;&#50629;&#44277;&#44036;\Turbulence%25203\Turbulence%25203%2520M's\PRODUCTION%2520TRIAL%2520MODIFY\&#44508;&#44201;&#49436;\A%2520CVG%25203%2520Lea\MATERIAL%2520SPEC.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ingman\Local%20Settings\Temporary%20Internet%20Files\Content.IE5\GKPOFI43\2016-10&#26032;&#20013;&#33521;&#25991;8D------%20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520and%2520Settings\pingman\Local%2520Settings\Temporary%2520Internet%2520Files\Content.IE5\GKPOFI43\2016-10&#26032;&#20013;&#33521;&#25991;8D------%2520(1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hermin\PFC%20Production\Delta%20Force%20Mid%20Men's\BMB319.Z.PF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520Documents\hermin\PFC%2520Production\Delta%2520Force%2520Mid%2520Men's\BMB319.Z.PF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mad\Documents\Kerjaan\OPC%20FIX\IE%20Standard%20Table%20&amp;%20master%20Supernova%20Plus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mad\Documents\Kerjaan\OPC%2520FIX\IE%2520Standard%2520Table%2520&amp;%2520master%2520Supernova%2520Plus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13\hvapjm\1.%20PJM\4.%20FW'15\1.%20Inline\2.%20CR2\6.%20Others\3.%20CR2%20Master%20file%20list\SA-MASTER%20FIL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13\hvapjm\1.%2520PJM\4.%2520FW'15\1.%2520Inline\2.%2520CR2\6.%2520Others\3.%2520CR2%2520Master%2520file%2520list\SA-MASTER%2520FIL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DI\1spec\My%20Documents\%20PFC\A.%20Tr%20Sebec%206\My%20Documents\new%20CSS%20PU%20form(95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ACE%2083%20GS%20I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B707CE1\Line%20Planning%20Reports%20-%20HO10%20Basketbal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mst\My%20Documents\new%20CSS%20PU%20form(95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B%20Prefit\YOGI\data%20ALL%20NB\data%20NB\DATA\Spechsheet%20NEW%20BALANCE\506\stitch%20506%20a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Trapoline(AD-530)\pfr\ADISTAR%20TRAMPOLINE-M-SS07-PFR-011985-TN-5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520CBD\Adistar%2520Trapoline(AD-530)\pfr\ADISTAR%2520TRAMPOLINE-M-SS07-PFR-011985-TN-5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Fencing%20L(AD-515)\pfr\ADISTAR%20FENCING%20%20L-M-SS07-PFR-561148-T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GlblFtwrPln\Transfers\CTTR\Confirmed_Transfer_Tracking_Rp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I.E%20Part\&#47784;&#45944;&#48324;%20&#48516;&#49437;&#50629;&#47924;\1.%20SP\SP'11\Lunar%20Elite+2\hotknife%20proces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qtgw.t2group.co.kr/My%20Documents/&#48155;&#51008;%20&#54028;&#51068;/PO&#48324;%20&#47700;&#51060;&#53356;&#50629;&#48516;&#49437;(2004.10.27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&#54532;&#46972;&#51060;&#49905;\CBD\FA'07\Tomahawk%20KIds\Feb,%2007-06%20final%20quote(nk%20impax%20tomahawk%20td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K://work/&#54532;&#46972;&#51060;&#49905;/CBD/FA'07/Tomahawk%20KIds/Feb,%2007-06%20final%20quote(nk%20impax%20tomahawk%20td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79\6&#38283;&#38957;&#36039;&#26009;\ALF\&#38283;&#30332;&#25216;&#34899;&#37096;&#19971;&#35506;ALF\Ose-Jan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생산.출고"/>
      <sheetName val="제조"/>
      <sheetName val="재단.재봉"/>
      <sheetName val="준비.파이론"/>
      <sheetName val="피유.프레스"/>
      <sheetName val="중점추진"/>
      <sheetName val="제조라인별"/>
      <sheetName val="준비라인별 "/>
      <sheetName val="재봉라인별"/>
      <sheetName val="08월스타일별"/>
      <sheetName val="외주"/>
      <sheetName val="09월스타일별"/>
      <sheetName val="Sheet1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tching"/>
      <sheetName val="Sheet1"/>
      <sheetName val="LOB Fai2Go K"/>
      <sheetName val="Cutting"/>
    </sheetNames>
    <definedNames>
      <definedName name="__" refersTo="#REF!"/>
      <definedName name="AS" refersTo="#REF!"/>
      <definedName name="asasdasd" refersTo="#REF!"/>
      <definedName name="diane" refersTo="#REF!"/>
      <definedName name="fdfdf" refersTo="#REF!"/>
      <definedName name="ISO" refersTo="#REF!"/>
      <definedName name="Outsole" refersTo="#REF!"/>
      <definedName name="slkjfsjh" refersTo="#REF!"/>
      <definedName name="thanh" refersTo="#REF!"/>
      <definedName name="werw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Sub"/>
    </sheetNames>
    <definedNames>
      <definedName name="PAGE_WIDTH"/>
      <definedName name="直線55_Click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Back Part Molding Spec."/>
      <sheetName val="Back Count Process Spec"/>
      <sheetName val="Sockliner"/>
      <sheetName val="Production Checklist"/>
      <sheetName val="Upper Measurement Spec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"/>
      <sheetName val="Assembly Bonding PFC (2)"/>
      <sheetName val="Assembling Process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302315-161 2"/>
      <sheetName val="K2"/>
      <sheetName val="Outsole Degreaࡳing Process"/>
      <sheetName val="#REF"/>
      <sheetName val="Qtitching Instructions (4)"/>
      <sheetName val="HF uelded Specification"/>
      <sheetName val="Raw Data Sheet"/>
      <sheetName val="assmb 1"/>
      <sheetName val="내수1.8GL"/>
      <sheetName val="비교원RD-S"/>
      <sheetName val="obs1"/>
      <sheetName val="IBASE"/>
      <sheetName val="#REF!"/>
      <sheetName val="Sheet1"/>
      <sheetName val="A.TERRA"/>
      <sheetName val="Air Bag &amp; Prefit Bonding PFC"/>
      <sheetName val="Stockfit Bonding"/>
      <sheetName val="Cutting Dies "/>
      <sheetName val="Sum"/>
      <sheetName val="Sheet1 (2)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heso"/>
      <sheetName val="Cutting"/>
      <sheetName val="Cutting (2)"/>
      <sheetName val="Cutting (3)"/>
      <sheetName val="Skiving Instruction (2)"/>
      <sheetName val="Stitching Instruction 1"/>
      <sheetName val="Stitching Instruction 2"/>
      <sheetName val="Stitching Instruction 3"/>
      <sheetName val="Stitching Instruction 4"/>
      <sheetName val="Stitching Instruction 5"/>
      <sheetName val="Stitching Instruction 6"/>
      <sheetName val="Stitching Intructions 7"/>
      <sheetName val="Pre-Stockfit Bonding"/>
      <sheetName val="Assembly Bonding"/>
      <sheetName val="Assembly Process"/>
      <sheetName val="Assembly Process 2"/>
      <sheetName val="Back Part Molding "/>
      <sheetName val="AIR ZOOMSTEENS ACG"/>
      <sheetName val="court gs"/>
      <sheetName val="COASTRUNNER"/>
      <sheetName val="BRYCE II"/>
      <sheetName val="ALVORD"/>
      <sheetName val="DIVIDE"/>
      <sheetName val="MAX LISA MID"/>
      <sheetName val="ZOOM MID XCR"/>
      <sheetName val="CONDITIONER MID II"/>
      <sheetName val="AIR MADA LOW"/>
      <sheetName val="AIR MADA MID"/>
      <sheetName val="PITCHSTONE"/>
      <sheetName val="FOREST HILLS AP"/>
      <sheetName val="W'S FOREST HILLS Q.K."/>
      <sheetName val="NIKE DUNK LOW ND (TD) "/>
      <sheetName val="NIKE DUNK LOW ND (PS)"/>
      <sheetName val="NIKE BABY DUNK LOW AP "/>
      <sheetName val="TENNIS (TD)"/>
      <sheetName val="TENNIS (PS) "/>
      <sheetName val="TENNIS (GS) "/>
      <sheetName val="TAKAO"/>
      <sheetName val="AIR ZOOMSTEENS ACG (2)"/>
      <sheetName val="AIR SCREE"/>
      <sheetName val="Skiving Instruction (1)"/>
      <sheetName val="Tapering Instructions (1)"/>
      <sheetName val="Tapering Instructions (2)"/>
      <sheetName val="Outsole Color"/>
      <sheetName val="Outsole Preform"/>
      <sheetName val="Outsole Pressing"/>
      <sheetName val="Eva Component"/>
      <sheetName val="Eva Manufacturing"/>
      <sheetName val="Stockfit Process(1)"/>
      <sheetName val="Stockfit Process(2)"/>
      <sheetName val="Assembly Process (1)"/>
      <sheetName val="Assembly Process (2)"/>
      <sheetName val="Back Part Molding"/>
      <sheetName val="Index "/>
      <sheetName val="Perf Specification (2)"/>
      <sheetName val="Upper HF Welding Process(1)"/>
      <sheetName val="Upper HF Welding Process(2)"/>
      <sheetName val="Skiving Instruction(1)"/>
      <sheetName val="Skiving Instruction(2)"/>
      <sheetName val="Skiving Instruction(3)"/>
      <sheetName val="Pre-Buffing Specification(1)"/>
      <sheetName val="Pre-Buffing Specification(2)"/>
      <sheetName val="Stitching Instructions(1)"/>
      <sheetName val="Stockfit PFC"/>
      <sheetName val="Assembly( 1 )"/>
      <sheetName val="Assembly( 2)"/>
      <sheetName val="Production Check List"/>
      <sheetName val="Pr⁥-Buffin⁧ Specif⁩cation(1)"/>
      <sheetName val="Tables"/>
      <sheetName val="SPRAY (A MX PLUS)"/>
      <sheetName val="PL(UV EVA Shank)"/>
      <sheetName val="Mold Efficiency Form"/>
      <sheetName val="PU Midqole Spec. III"/>
      <sheetName val="Score%"/>
      <sheetName val="drawdownlist"/>
      <sheetName val="Sheet2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Back_Part_Molding_Spec_"/>
      <sheetName val="Back_Count_Process_Spec"/>
      <sheetName val="Production_Checklist"/>
      <sheetName val="Upper_Measurement_Spec"/>
      <sheetName val="Index_(1)"/>
      <sheetName val="Index_(2)"/>
      <sheetName val="Index_(3)"/>
      <sheetName val="Molding_Piece_Schedule"/>
      <sheetName val="Perf_Specification"/>
      <sheetName val="Logo_Specification"/>
      <sheetName val="Strap_Specification"/>
      <sheetName val="Preparation_Process"/>
      <sheetName val="Edge-Painting_Specifications"/>
      <sheetName val="Skiving_Instruction"/>
      <sheetName val="Spliting_Instructions"/>
      <sheetName val="Tapering_Instructions"/>
      <sheetName val="Marking_Location"/>
      <sheetName val="Reinforcement_Placement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Upper_Injected_Component_Pro_"/>
      <sheetName val="Upper_Molded_Component_Pro_"/>
      <sheetName val="Upper_Sublimation_Process"/>
      <sheetName val="Upper_HF_Welding_Process"/>
      <sheetName val="Sockliner_Sublimation_Process"/>
      <sheetName val="CMP_PHYLON_CSS_CONFIRMATION"/>
      <sheetName val="Phylon_Midsole_Spec_"/>
      <sheetName val="PU_CSS_CONFIRMATION"/>
      <sheetName val="PU_CSS_Schedules"/>
      <sheetName val="PU_Midsole_Spec_I"/>
      <sheetName val="Airbag_&amp;Prefit_bonding_PFC"/>
      <sheetName val="Airbag_&amp;_Prefit_Bonding_PFC"/>
      <sheetName val="Airbag_&amp;_Prefit_Bonding_PFC_(2)"/>
      <sheetName val="Airbag_&amp;_Prefit_Bonding_PFC_(3)"/>
      <sheetName val="Stockfit_Bonding_PFC"/>
      <sheetName val="Assembly_Bonding_PFC"/>
      <sheetName val="Assembly_Bonding_PFC_(2)"/>
      <sheetName val="Assembling_Process"/>
      <sheetName val="Assembling_Process_(2)"/>
      <sheetName val="Sockliner_Specification"/>
      <sheetName val="Upper_Measurement_Spec_"/>
      <sheetName val="Upper_Weight_Control"/>
      <sheetName val="Blank_Form"/>
      <sheetName val="Bottom_Shank_Spray_Painting"/>
      <sheetName val="Outsole_Molded_Component_Pro_"/>
      <sheetName val="TPU_Degreasing_Process"/>
      <sheetName val="Phylon_Degreasing_&amp;_UV-Light_"/>
      <sheetName val="Stock_Fitting_Process"/>
      <sheetName val="Stock_Fitting_Process_(2)"/>
      <sheetName val="Stock_Fitting_Process_(4)"/>
      <sheetName val="Assembly_BPFC"/>
      <sheetName val="Assembly_BPFC_(2)"/>
      <sheetName val="Assembly_BPFC_(3)-射出底"/>
      <sheetName val="Assembly_BPFC_(4)-射出底"/>
      <sheetName val="Assembly_BPFC_(3)SU08-射出"/>
      <sheetName val="QH_업무보고"/>
      <sheetName val="VS_업무보고"/>
      <sheetName val="302315-161_2"/>
      <sheetName val="Outsole_Degreaࡳing_Process"/>
      <sheetName val="Qtitching_Instructions_(4)"/>
      <sheetName val="HF_uelded_Specification"/>
      <sheetName val="Raw_Data_Sheet"/>
      <sheetName val="assmb_1"/>
      <sheetName val="PU_Midqole_Spec__III"/>
      <sheetName val="XL4Poppy"/>
      <sheetName val="Cover (2)"/>
      <sheetName val="Production Checkìist"/>
      <sheetName val="orderstatus"/>
      <sheetName val="summary"/>
      <sheetName val="Material"/>
      <sheetName val="U per HF Welding _x0000_rocess(2)"/>
      <sheetName val="Str!p Specification"/>
      <sheetName val="_x0005_va Manufacturin%"/>
      <sheetName val="Stockfit Bon$ing PFC"/>
      <sheetName val="Stock$it Process(1)"/>
      <sheetName val="U per HF Welding ?rocess(2)"/>
      <sheetName val="Spliting Instructions_x0000_़ʉ_x0004__x0000_懌ʉƵJ"/>
      <sheetName val="U per HF Welding "/>
      <sheetName val="U per HF Welding _rocess(2)"/>
      <sheetName val="GFP Type"/>
      <sheetName val="CT  PL"/>
      <sheetName val="CT Thang Mo"/>
      <sheetName val="WB 1st TRIAL"/>
      <sheetName val="Oၵtsole Color "/>
      <sheetName val="Back Part MoldingĠSpec."/>
      <sheetName val="LBE PRED J HELP"/>
      <sheetName val="output per jam"/>
      <sheetName val="MLT "/>
      <sheetName val="daily BEP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Back_Part_Molding_Spec_1"/>
      <sheetName val="Back_Count_Process_Spec1"/>
      <sheetName val="Production_Checklist1"/>
      <sheetName val="Upper_Measurement_Spec1"/>
      <sheetName val="Index_(1)1"/>
      <sheetName val="Index_(2)1"/>
      <sheetName val="Index_(3)1"/>
      <sheetName val="Molding_Piece_Schedule1"/>
      <sheetName val="Perf_Specification1"/>
      <sheetName val="Logo_Specification1"/>
      <sheetName val="Strap_Specification1"/>
      <sheetName val="Preparation_Process1"/>
      <sheetName val="Edge-Painting_Specifications1"/>
      <sheetName val="Skiving_Instruction1"/>
      <sheetName val="Spliting_Instructions1"/>
      <sheetName val="Tapering_Instructions1"/>
      <sheetName val="Marking_Location1"/>
      <sheetName val="Reinforcement_Placement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Upper_Injected_Component_Pro_1"/>
      <sheetName val="Upper_Molded_Component_Pro_1"/>
      <sheetName val="Upper_Sublimation_Process1"/>
      <sheetName val="Upper_HF_Welding_Process1"/>
      <sheetName val="Sockliner_Sublimation_Process1"/>
      <sheetName val="CMP_PHYLON_CSS_CONFIRMATION1"/>
      <sheetName val="Phylon_Midsole_Spec_1"/>
      <sheetName val="PU_CSS_CONFIRMATION1"/>
      <sheetName val="PU_CSS_Schedules1"/>
      <sheetName val="PU_Midsole_Spec_I1"/>
      <sheetName val="Airbag_&amp;Prefit_bonding_PFC1"/>
      <sheetName val="Airbag_&amp;_Prefit_Bonding_PFC1"/>
      <sheetName val="Airbag_&amp;_Prefit_Bonding_PFC_(21"/>
      <sheetName val="Airbag_&amp;_Prefit_Bonding_PFC_(31"/>
      <sheetName val="Stockfit_Bonding_PFC1"/>
      <sheetName val="Assembly_Bonding_PFC1"/>
      <sheetName val="Assembly_Bonding_PFC_(2)1"/>
      <sheetName val="Assembling_Process1"/>
      <sheetName val="Assembling_Process_(2)1"/>
      <sheetName val="Sockliner_Specification1"/>
      <sheetName val="Upper_Measurement_Spec_1"/>
      <sheetName val="Upper_Weight_Control1"/>
      <sheetName val="Blank_Form1"/>
      <sheetName val="Bottom_Shank_Spray_Painting1"/>
      <sheetName val="Outsole_Molded_Component_Pro_1"/>
      <sheetName val="TPU_Degreasing_Process1"/>
      <sheetName val="Phylon_Degreasing_&amp;_UV-Light_1"/>
      <sheetName val="Stock_Fitting_Process1"/>
      <sheetName val="Stock_Fitting_Process_(2)1"/>
      <sheetName val="Stock_Fitting_Process_(4)1"/>
      <sheetName val="Assembly_BPFC1"/>
      <sheetName val="Assembly_BPFC_(2)1"/>
      <sheetName val="Assembly_BPFC_(3)-射出底1"/>
      <sheetName val="Assembly_BPFC_(4)-射出底1"/>
      <sheetName val="Assembly_BPFC_(3)SU08-射出1"/>
      <sheetName val="QH_업무보고1"/>
      <sheetName val="VS_업무보고1"/>
      <sheetName val="302315-161_21"/>
      <sheetName val="Outsole_Degreaࡳing_Process1"/>
      <sheetName val="Oၵtsole_Color_1"/>
      <sheetName val="Back_Part_MoldingĠSpec_1"/>
      <sheetName val="Raw_Data_Sheet1"/>
      <sheetName val="LBE_PRED_J_HELP1"/>
      <sheetName val="output_per_jam1"/>
      <sheetName val="MLT_1"/>
      <sheetName val="daily_BEP1"/>
      <sheetName val="Oၵtsole_Color_"/>
      <sheetName val="Back_Part_MoldingĠSpec_"/>
      <sheetName val="LBE_PRED_J_HELP"/>
      <sheetName val="output_per_jam"/>
      <sheetName val="MLT_"/>
      <sheetName val="daily_BEP"/>
      <sheetName val="Upper_Molded_Component_Process3"/>
      <sheetName val="HF_welded_Specification3"/>
      <sheetName val="HF_welded_Specification_(2)3"/>
      <sheetName val="PU_Midsole_Spec__Set_up3"/>
      <sheetName val="PU__Midsole_Spec_I__3"/>
      <sheetName val="PU_Midsole_Spec__III3"/>
      <sheetName val="PU_Midsole_Pouring_Spec_3"/>
      <sheetName val="Outsole_Color_3"/>
      <sheetName val="Outsole_Preform_Specifications3"/>
      <sheetName val="Outsole_Pressing_Process3"/>
      <sheetName val="Outsole_Degreasing_Process3"/>
      <sheetName val="Back_Part_Molding_Spec_3"/>
      <sheetName val="Back_Count_Process_Spec3"/>
      <sheetName val="Production_Checklist3"/>
      <sheetName val="Upper_Measurement_Spec3"/>
      <sheetName val="Index_(1)3"/>
      <sheetName val="Index_(2)3"/>
      <sheetName val="Index_(3)3"/>
      <sheetName val="Molding_Piece_Schedule3"/>
      <sheetName val="Perf_Specification3"/>
      <sheetName val="Logo_Specification3"/>
      <sheetName val="Strap_Specification3"/>
      <sheetName val="Preparation_Process3"/>
      <sheetName val="Edge-Painting_Specifications3"/>
      <sheetName val="Skiving_Instruction3"/>
      <sheetName val="Spliting_Instructions3"/>
      <sheetName val="Tapering_Instructions3"/>
      <sheetName val="Marking_Location3"/>
      <sheetName val="Reinforcement_Placement3"/>
      <sheetName val="Folding_Location3"/>
      <sheetName val="Pre-Buffing_Specification3"/>
      <sheetName val="Computer_Stitching_Schedule3"/>
      <sheetName val="Stitching_Overview_Sketch3"/>
      <sheetName val="Stitching_Instructions_(1)3"/>
      <sheetName val="Stitching_Instructions_(2)3"/>
      <sheetName val="Stitching_Instructions_(3)3"/>
      <sheetName val="Stitching_Instructions_(4)3"/>
      <sheetName val="Upper_Injected_Component_Pro_3"/>
      <sheetName val="Upper_Molded_Component_Pro_3"/>
      <sheetName val="Upper_Sublimation_Process3"/>
      <sheetName val="Upper_HF_Welding_Process3"/>
      <sheetName val="Sockliner_Sublimation_Process3"/>
      <sheetName val="CMP_PHYLON_CSS_CONFIRMATION3"/>
      <sheetName val="Phylon_Midsole_Spec_3"/>
      <sheetName val="PU_CSS_CONFIRMATION3"/>
      <sheetName val="PU_CSS_Schedules3"/>
      <sheetName val="PU_Midsole_Spec_I3"/>
      <sheetName val="Airbag_&amp;Prefit_bonding_PFC3"/>
      <sheetName val="Airbag_&amp;_Prefit_Bonding_PFC3"/>
      <sheetName val="Airbag_&amp;_Prefit_Bonding_PFC_(23"/>
      <sheetName val="Airbag_&amp;_Prefit_Bonding_PFC_(33"/>
      <sheetName val="Stockfit_Bonding_PFC3"/>
      <sheetName val="Assembly_Bonding_PFC3"/>
      <sheetName val="Assembly_Bonding_PFC_(2)3"/>
      <sheetName val="Assembling_Process3"/>
      <sheetName val="Assembling_Process_(2)3"/>
      <sheetName val="Sockliner_Specification3"/>
      <sheetName val="Upper_Measurement_Spec_3"/>
      <sheetName val="Upper_Weight_Control3"/>
      <sheetName val="Blank_Form3"/>
      <sheetName val="Bottom_Shank_Spray_Painting3"/>
      <sheetName val="Outsole_Molded_Component_Pro_3"/>
      <sheetName val="TPU_Degreasing_Process3"/>
      <sheetName val="Phylon_Degreasing_&amp;_UV-Light_3"/>
      <sheetName val="Stock_Fitting_Process3"/>
      <sheetName val="Stock_Fitting_Process_(2)3"/>
      <sheetName val="Stock_Fitting_Process_(4)3"/>
      <sheetName val="Assembly_BPFC3"/>
      <sheetName val="Assembly_BPFC_(2)3"/>
      <sheetName val="Assembly_BPFC_(3)-射出底3"/>
      <sheetName val="Assembly_BPFC_(4)-射出底3"/>
      <sheetName val="Assembly_BPFC_(3)SU08-射出3"/>
      <sheetName val="QH_업무보고3"/>
      <sheetName val="VS_업무보고3"/>
      <sheetName val="302315-161_23"/>
      <sheetName val="Outsole_Degreaࡳing_Process3"/>
      <sheetName val="Oၵtsole_Color_3"/>
      <sheetName val="Back_Part_MoldingĠSpec_3"/>
      <sheetName val="Raw_Data_Sheet3"/>
      <sheetName val="LBE_PRED_J_HELP3"/>
      <sheetName val="output_per_jam3"/>
      <sheetName val="MLT_3"/>
      <sheetName val="daily_BEP3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Back_Part_Molding_Spec_2"/>
      <sheetName val="Back_Count_Process_Spec2"/>
      <sheetName val="Production_Checklist2"/>
      <sheetName val="Upper_Measurement_Spec2"/>
      <sheetName val="Index_(1)2"/>
      <sheetName val="Index_(2)2"/>
      <sheetName val="Index_(3)2"/>
      <sheetName val="Molding_Piece_Schedule2"/>
      <sheetName val="Perf_Specification2"/>
      <sheetName val="Logo_Specification2"/>
      <sheetName val="Strap_Specification2"/>
      <sheetName val="Preparation_Process2"/>
      <sheetName val="Edge-Painting_Specifications2"/>
      <sheetName val="Skiving_Instruction2"/>
      <sheetName val="Spliting_Instructions2"/>
      <sheetName val="Tapering_Instructions2"/>
      <sheetName val="Marking_Location2"/>
      <sheetName val="Reinforcement_Placement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Upper_Injected_Component_Pro_2"/>
      <sheetName val="Upper_Molded_Component_Pro_2"/>
      <sheetName val="Upper_Sublimation_Process2"/>
      <sheetName val="Upper_HF_Welding_Process2"/>
      <sheetName val="Sockliner_Sublimation_Process2"/>
      <sheetName val="CMP_PHYLON_CSS_CONFIRMATION2"/>
      <sheetName val="Phylon_Midsole_Spec_2"/>
      <sheetName val="PU_CSS_CONFIRMATION2"/>
      <sheetName val="PU_CSS_Schedules2"/>
      <sheetName val="PU_Midsole_Spec_I2"/>
      <sheetName val="Airbag_&amp;Prefit_bonding_PFC2"/>
      <sheetName val="Airbag_&amp;_Prefit_Bonding_PFC2"/>
      <sheetName val="Airbag_&amp;_Prefit_Bonding_PFC_(22"/>
      <sheetName val="Airbag_&amp;_Prefit_Bonding_PFC_(32"/>
      <sheetName val="Stockfit_Bonding_PFC2"/>
      <sheetName val="Assembly_Bonding_PFC2"/>
      <sheetName val="Assembly_Bonding_PFC_(2)2"/>
      <sheetName val="Assembling_Process2"/>
      <sheetName val="Assembling_Process_(2)2"/>
      <sheetName val="Sockliner_Specification2"/>
      <sheetName val="Upper_Measurement_Spec_2"/>
      <sheetName val="Upper_Weight_Control2"/>
      <sheetName val="Blank_Form2"/>
      <sheetName val="Bottom_Shank_Spray_Painting2"/>
      <sheetName val="Outsole_Molded_Component_Pro_2"/>
      <sheetName val="TPU_Degreasing_Process2"/>
      <sheetName val="Phylon_Degreasing_&amp;_UV-Light_2"/>
      <sheetName val="Stock_Fitting_Process2"/>
      <sheetName val="Stock_Fitting_Process_(2)2"/>
      <sheetName val="Stock_Fitting_Process_(4)2"/>
      <sheetName val="Assembly_BPFC2"/>
      <sheetName val="Assembly_BPFC_(2)2"/>
      <sheetName val="Assembly_BPFC_(3)-射出底2"/>
      <sheetName val="Assembly_BPFC_(4)-射出底2"/>
      <sheetName val="Assembly_BPFC_(3)SU08-射出2"/>
      <sheetName val="QH_업무보고2"/>
      <sheetName val="VS_업무보고2"/>
      <sheetName val="302315-161_22"/>
      <sheetName val="Outsole_Degreaࡳing_Process2"/>
      <sheetName val="Oၵtsole_Color_2"/>
      <sheetName val="Back_Part_MoldingĠSpec_2"/>
      <sheetName val="Raw_Data_Sheet2"/>
      <sheetName val="LBE_PRED_J_HELP2"/>
      <sheetName val="output_per_jam2"/>
      <sheetName val="MLT_2"/>
      <sheetName val="daily_BEP2"/>
      <sheetName val="Upper_Molded_Component_Process4"/>
      <sheetName val="HF_welded_Specification4"/>
      <sheetName val="HF_welded_Specification_(2)4"/>
      <sheetName val="PU_Midsole_Spec__Set_up4"/>
      <sheetName val="PU__Midsole_Spec_I__4"/>
      <sheetName val="PU_Midsole_Spec__III4"/>
      <sheetName val="PU_Midsole_Pouring_Spec_4"/>
      <sheetName val="Outsole_Color_4"/>
      <sheetName val="Outsole_Preform_Specifications4"/>
      <sheetName val="Outsole_Pressing_Process4"/>
      <sheetName val="Outsole_Degreasing_Process4"/>
      <sheetName val="Back_Part_Molding_Spec_4"/>
      <sheetName val="Back_Count_Process_Spec4"/>
      <sheetName val="Production_Checklist4"/>
      <sheetName val="Upper_Measurement_Spec4"/>
      <sheetName val="Index_(1)4"/>
      <sheetName val="Index_(2)4"/>
      <sheetName val="Index_(3)4"/>
      <sheetName val="Molding_Piece_Schedule4"/>
      <sheetName val="Perf_Specification4"/>
      <sheetName val="Logo_Specification4"/>
      <sheetName val="Strap_Specification4"/>
      <sheetName val="Preparation_Process4"/>
      <sheetName val="Edge-Painting_Specifications4"/>
      <sheetName val="Skiving_Instruction4"/>
      <sheetName val="Spliting_Instructions4"/>
      <sheetName val="Tapering_Instructions4"/>
      <sheetName val="Marking_Location4"/>
      <sheetName val="Reinforcement_Placement4"/>
      <sheetName val="Folding_Location4"/>
      <sheetName val="Pre-Buffing_Specification4"/>
      <sheetName val="Computer_Stitching_Schedule4"/>
      <sheetName val="Stitching_Overview_Sketch4"/>
      <sheetName val="Stitching_Instructions_(1)4"/>
      <sheetName val="Stitching_Instructions_(2)4"/>
      <sheetName val="Stitching_Instructions_(3)4"/>
      <sheetName val="Stitching_Instructions_(4)4"/>
      <sheetName val="Upper_Injected_Component_Pro_4"/>
      <sheetName val="Upper_Molded_Component_Pro_4"/>
      <sheetName val="Upper_Sublimation_Process4"/>
      <sheetName val="Upper_HF_Welding_Process4"/>
      <sheetName val="Sockliner_Sublimation_Process4"/>
      <sheetName val="CMP_PHYLON_CSS_CONFIRMATION4"/>
      <sheetName val="Phylon_Midsole_Spec_4"/>
      <sheetName val="PU_CSS_CONFIRMATION4"/>
      <sheetName val="PU_CSS_Schedules4"/>
      <sheetName val="PU_Midsole_Spec_I4"/>
      <sheetName val="Airbag_&amp;Prefit_bonding_PFC4"/>
      <sheetName val="Airbag_&amp;_Prefit_Bonding_PFC4"/>
      <sheetName val="Airbag_&amp;_Prefit_Bonding_PFC_(24"/>
      <sheetName val="Airbag_&amp;_Prefit_Bonding_PFC_(34"/>
      <sheetName val="Stockfit_Bonding_PFC4"/>
      <sheetName val="Assembly_Bonding_PFC4"/>
      <sheetName val="Assembly_Bonding_PFC_(2)4"/>
      <sheetName val="Assembling_Process4"/>
      <sheetName val="Assembling_Process_(2)4"/>
      <sheetName val="Sockliner_Specification4"/>
      <sheetName val="Upper_Measurement_Spec_4"/>
      <sheetName val="Upper_Weight_Control4"/>
      <sheetName val="Blank_Form4"/>
      <sheetName val="Bottom_Shank_Spray_Painting4"/>
      <sheetName val="Outsole_Molded_Component_Pro_4"/>
      <sheetName val="TPU_Degreasing_Process4"/>
      <sheetName val="Phylon_Degreasing_&amp;_UV-Light_4"/>
      <sheetName val="Stock_Fitting_Process4"/>
      <sheetName val="Stock_Fitting_Process_(2)4"/>
      <sheetName val="Stock_Fitting_Process_(4)4"/>
      <sheetName val="Assembly_BPFC4"/>
      <sheetName val="Assembly_BPFC_(2)4"/>
      <sheetName val="Assembly_BPFC_(3)-射出底4"/>
      <sheetName val="Assembly_BPFC_(4)-射出底4"/>
      <sheetName val="Assembly_BPFC_(3)SU08-射出4"/>
      <sheetName val="QH_업무보고4"/>
      <sheetName val="VS_업무보고4"/>
      <sheetName val="302315-161_24"/>
      <sheetName val="Outsole_Degreaࡳing_Process4"/>
      <sheetName val="Oၵtsole_Color_4"/>
      <sheetName val="Back_Part_MoldingĠSpec_4"/>
      <sheetName val="Raw_Data_Sheet4"/>
      <sheetName val="LBE_PRED_J_HELP4"/>
      <sheetName val="output_per_jam4"/>
      <sheetName val="MLT_4"/>
      <sheetName val="daily_BEP4"/>
      <sheetName val="Upper_Molded_Component_Process5"/>
      <sheetName val="HF_welded_Specification5"/>
      <sheetName val="HF_welded_Specification_(2)5"/>
      <sheetName val="PU_Midsole_Spec__Set_up5"/>
      <sheetName val="PU__Midsole_Spec_I__5"/>
      <sheetName val="PU_Midsole_Spec__III5"/>
      <sheetName val="PU_Midsole_Pouring_Spec_5"/>
      <sheetName val="Outsole_Color_5"/>
      <sheetName val="Outsole_Preform_Specifications5"/>
      <sheetName val="Outsole_Pressing_Process5"/>
      <sheetName val="Outsole_Degreasing_Process5"/>
      <sheetName val="Back_Part_Molding_Spec_5"/>
      <sheetName val="Back_Count_Process_Spec5"/>
      <sheetName val="Production_Checklist5"/>
      <sheetName val="Upper_Measurement_Spec5"/>
      <sheetName val="Index_(1)5"/>
      <sheetName val="Index_(2)5"/>
      <sheetName val="Index_(3)5"/>
      <sheetName val="Molding_Piece_Schedule5"/>
      <sheetName val="Perf_Specification5"/>
      <sheetName val="Logo_Specification5"/>
      <sheetName val="Strap_Specification5"/>
      <sheetName val="Preparation_Process5"/>
      <sheetName val="Edge-Painting_Specifications5"/>
      <sheetName val="Skiving_Instruction5"/>
      <sheetName val="Spliting_Instructions5"/>
      <sheetName val="Tapering_Instructions5"/>
      <sheetName val="Marking_Location5"/>
      <sheetName val="Reinforcement_Placement5"/>
      <sheetName val="Folding_Location5"/>
      <sheetName val="Pre-Buffing_Specification5"/>
      <sheetName val="Computer_Stitching_Schedule5"/>
      <sheetName val="Stitching_Overview_Sketch5"/>
      <sheetName val="Stitching_Instructions_(1)5"/>
      <sheetName val="Stitching_Instructions_(2)5"/>
      <sheetName val="Stitching_Instructions_(3)5"/>
      <sheetName val="Stitching_Instructions_(4)5"/>
      <sheetName val="Upper_Injected_Component_Pro_5"/>
      <sheetName val="Upper_Molded_Component_Pro_5"/>
      <sheetName val="Upper_Sublimation_Process5"/>
      <sheetName val="Upper_HF_Welding_Process5"/>
      <sheetName val="Sockliner_Sublimation_Process5"/>
      <sheetName val="CMP_PHYLON_CSS_CONFIRMATION5"/>
      <sheetName val="Phylon_Midsole_Spec_5"/>
      <sheetName val="PU_CSS_CONFIRMATION5"/>
      <sheetName val="PU_CSS_Schedules5"/>
      <sheetName val="PU_Midsole_Spec_I5"/>
      <sheetName val="Airbag_&amp;Prefit_bonding_PFC5"/>
      <sheetName val="Airbag_&amp;_Prefit_Bonding_PFC5"/>
      <sheetName val="Airbag_&amp;_Prefit_Bonding_PFC_(25"/>
      <sheetName val="Airbag_&amp;_Prefit_Bonding_PFC_(35"/>
      <sheetName val="Stockfit_Bonding_PFC5"/>
      <sheetName val="Assembly_Bonding_PFC5"/>
      <sheetName val="Assembly_Bonding_PFC_(2)5"/>
      <sheetName val="Assembling_Process5"/>
      <sheetName val="Assembling_Process_(2)5"/>
      <sheetName val="Sockliner_Specification5"/>
      <sheetName val="Upper_Measurement_Spec_5"/>
      <sheetName val="Upper_Weight_Control5"/>
      <sheetName val="Blank_Form5"/>
      <sheetName val="Bottom_Shank_Spray_Painting5"/>
      <sheetName val="Outsole_Molded_Component_Pro_5"/>
      <sheetName val="TPU_Degreasing_Process5"/>
      <sheetName val="Phylon_Degreasing_&amp;_UV-Light_5"/>
      <sheetName val="Stock_Fitting_Process5"/>
      <sheetName val="Stock_Fitting_Process_(2)5"/>
      <sheetName val="Stock_Fitting_Process_(4)5"/>
      <sheetName val="Assembly_BPFC5"/>
      <sheetName val="Assembly_BPFC_(2)5"/>
      <sheetName val="Assembly_BPFC_(3)-射出底5"/>
      <sheetName val="Assembly_BPFC_(4)-射出底5"/>
      <sheetName val="Assembly_BPFC_(3)SU08-射出5"/>
      <sheetName val="QH_업무보고5"/>
      <sheetName val="VS_업무보고5"/>
      <sheetName val="302315-161_25"/>
      <sheetName val="Outsole_Degreaࡳing_Process5"/>
      <sheetName val="Oၵtsole_Color_5"/>
      <sheetName val="Back_Part_MoldingĠSpec_5"/>
      <sheetName val="Raw_Data_Sheet5"/>
      <sheetName val="LBE_PRED_J_HELP5"/>
      <sheetName val="output_per_jam5"/>
      <sheetName val="MLT_5"/>
      <sheetName val="daily_BEP5"/>
      <sheetName val="Upper_Molded_Component_Process7"/>
      <sheetName val="HF_welded_Specification7"/>
      <sheetName val="HF_welded_Specification_(2)7"/>
      <sheetName val="PU_Midsole_Spec__Set_up7"/>
      <sheetName val="PU__Midsole_Spec_I__7"/>
      <sheetName val="PU_Midsole_Spec__III7"/>
      <sheetName val="PU_Midsole_Pouring_Spec_7"/>
      <sheetName val="Outsole_Color_7"/>
      <sheetName val="Outsole_Preform_Specifications7"/>
      <sheetName val="Outsole_Pressing_Process7"/>
      <sheetName val="Outsole_Degreasing_Process7"/>
      <sheetName val="Back_Part_Molding_Spec_7"/>
      <sheetName val="Back_Count_Process_Spec7"/>
      <sheetName val="Production_Checklist7"/>
      <sheetName val="Upper_Measurement_Spec7"/>
      <sheetName val="Index_(1)7"/>
      <sheetName val="Index_(2)7"/>
      <sheetName val="Index_(3)7"/>
      <sheetName val="Molding_Piece_Schedule7"/>
      <sheetName val="Perf_Specification7"/>
      <sheetName val="Logo_Specification7"/>
      <sheetName val="Strap_Specification7"/>
      <sheetName val="Preparation_Process7"/>
      <sheetName val="Edge-Painting_Specifications7"/>
      <sheetName val="Skiving_Instruction7"/>
      <sheetName val="Spliting_Instructions7"/>
      <sheetName val="Tapering_Instructions7"/>
      <sheetName val="Marking_Location7"/>
      <sheetName val="Reinforcement_Placement7"/>
      <sheetName val="Folding_Location7"/>
      <sheetName val="Pre-Buffing_Specification7"/>
      <sheetName val="Computer_Stitching_Schedule7"/>
      <sheetName val="Stitching_Overview_Sketch7"/>
      <sheetName val="Stitching_Instructions_(1)7"/>
      <sheetName val="Stitching_Instructions_(2)7"/>
      <sheetName val="Stitching_Instructions_(3)7"/>
      <sheetName val="Stitching_Instructions_(4)7"/>
      <sheetName val="Upper_Injected_Component_Pro_7"/>
      <sheetName val="Upper_Molded_Component_Pro_7"/>
      <sheetName val="Upper_Sublimation_Process7"/>
      <sheetName val="Upper_HF_Welding_Process7"/>
      <sheetName val="Sockliner_Sublimation_Process7"/>
      <sheetName val="CMP_PHYLON_CSS_CONFIRMATION7"/>
      <sheetName val="Phylon_Midsole_Spec_7"/>
      <sheetName val="PU_CSS_CONFIRMATION7"/>
      <sheetName val="PU_CSS_Schedules7"/>
      <sheetName val="PU_Midsole_Spec_I7"/>
      <sheetName val="Airbag_&amp;Prefit_bonding_PFC7"/>
      <sheetName val="Airbag_&amp;_Prefit_Bonding_PFC7"/>
      <sheetName val="Airbag_&amp;_Prefit_Bonding_PFC_(27"/>
      <sheetName val="Airbag_&amp;_Prefit_Bonding_PFC_(37"/>
      <sheetName val="Stockfit_Bonding_PFC7"/>
      <sheetName val="Assembly_Bonding_PFC7"/>
      <sheetName val="Assembly_Bonding_PFC_(2)7"/>
      <sheetName val="Assembling_Process7"/>
      <sheetName val="Assembling_Process_(2)7"/>
      <sheetName val="Sockliner_Specification7"/>
      <sheetName val="Upper_Measurement_Spec_7"/>
      <sheetName val="Upper_Weight_Control7"/>
      <sheetName val="Blank_Form7"/>
      <sheetName val="Bottom_Shank_Spray_Painting7"/>
      <sheetName val="Outsole_Molded_Component_Pro_7"/>
      <sheetName val="TPU_Degreasing_Process7"/>
      <sheetName val="Phylon_Degreasing_&amp;_UV-Light_7"/>
      <sheetName val="Stock_Fitting_Process7"/>
      <sheetName val="Stock_Fitting_Process_(2)7"/>
      <sheetName val="Stock_Fitting_Process_(4)7"/>
      <sheetName val="Assembly_BPFC7"/>
      <sheetName val="Assembly_BPFC_(2)7"/>
      <sheetName val="Assembly_BPFC_(3)-射出底7"/>
      <sheetName val="Assembly_BPFC_(4)-射出底7"/>
      <sheetName val="Assembly_BPFC_(3)SU08-射出7"/>
      <sheetName val="QH_업무보고7"/>
      <sheetName val="VS_업무보고7"/>
      <sheetName val="302315-161_27"/>
      <sheetName val="Outsole_Degreaࡳing_Process7"/>
      <sheetName val="Oၵtsole_Color_7"/>
      <sheetName val="Back_Part_MoldingĠSpec_7"/>
      <sheetName val="Raw_Data_Sheet7"/>
      <sheetName val="LBE_PRED_J_HELP7"/>
      <sheetName val="output_per_jam7"/>
      <sheetName val="MLT_7"/>
      <sheetName val="daily_BEP7"/>
      <sheetName val="Upper_Molded_Component_Process6"/>
      <sheetName val="HF_welded_Specification6"/>
      <sheetName val="HF_welded_Specification_(2)6"/>
      <sheetName val="PU_Midsole_Spec__Set_up6"/>
      <sheetName val="PU__Midsole_Spec_I__6"/>
      <sheetName val="PU_Midsole_Spec__III6"/>
      <sheetName val="PU_Midsole_Pouring_Spec_6"/>
      <sheetName val="Outsole_Color_6"/>
      <sheetName val="Outsole_Preform_Specifications6"/>
      <sheetName val="Outsole_Pressing_Process6"/>
      <sheetName val="Outsole_Degreasing_Process6"/>
      <sheetName val="Back_Part_Molding_Spec_6"/>
      <sheetName val="Back_Count_Process_Spec6"/>
      <sheetName val="Production_Checklist6"/>
      <sheetName val="Upper_Measurement_Spec6"/>
      <sheetName val="Index_(1)6"/>
      <sheetName val="Index_(2)6"/>
      <sheetName val="Index_(3)6"/>
      <sheetName val="Molding_Piece_Schedule6"/>
      <sheetName val="Perf_Specification6"/>
      <sheetName val="Logo_Specification6"/>
      <sheetName val="Strap_Specification6"/>
      <sheetName val="Preparation_Process6"/>
      <sheetName val="Edge-Painting_Specifications6"/>
      <sheetName val="Skiving_Instruction6"/>
      <sheetName val="Spliting_Instructions6"/>
      <sheetName val="Tapering_Instructions6"/>
      <sheetName val="Marking_Location6"/>
      <sheetName val="Reinforcement_Placement6"/>
      <sheetName val="Folding_Location6"/>
      <sheetName val="Pre-Buffing_Specification6"/>
      <sheetName val="Computer_Stitching_Schedule6"/>
      <sheetName val="Stitching_Overview_Sketch6"/>
      <sheetName val="Stitching_Instructions_(1)6"/>
      <sheetName val="Stitching_Instructions_(2)6"/>
      <sheetName val="Stitching_Instructions_(3)6"/>
      <sheetName val="Stitching_Instructions_(4)6"/>
      <sheetName val="Upper_Injected_Component_Pro_6"/>
      <sheetName val="Upper_Molded_Component_Pro_6"/>
      <sheetName val="Upper_Sublimation_Process6"/>
      <sheetName val="Upper_HF_Welding_Process6"/>
      <sheetName val="Sockliner_Sublimation_Process6"/>
      <sheetName val="CMP_PHYLON_CSS_CONFIRMATION6"/>
      <sheetName val="Phylon_Midsole_Spec_6"/>
      <sheetName val="PU_CSS_CONFIRMATION6"/>
      <sheetName val="PU_CSS_Schedules6"/>
      <sheetName val="PU_Midsole_Spec_I6"/>
      <sheetName val="Airbag_&amp;Prefit_bonding_PFC6"/>
      <sheetName val="Airbag_&amp;_Prefit_Bonding_PFC6"/>
      <sheetName val="Airbag_&amp;_Prefit_Bonding_PFC_(26"/>
      <sheetName val="Airbag_&amp;_Prefit_Bonding_PFC_(36"/>
      <sheetName val="Stockfit_Bonding_PFC6"/>
      <sheetName val="Assembly_Bonding_PFC6"/>
      <sheetName val="Assembly_Bonding_PFC_(2)6"/>
      <sheetName val="Assembling_Process6"/>
      <sheetName val="Assembling_Process_(2)6"/>
      <sheetName val="Sockliner_Specification6"/>
      <sheetName val="Upper_Measurement_Spec_6"/>
      <sheetName val="Upper_Weight_Control6"/>
      <sheetName val="Blank_Form6"/>
      <sheetName val="Bottom_Shank_Spray_Painting6"/>
      <sheetName val="Outsole_Molded_Component_Pro_6"/>
      <sheetName val="TPU_Degreasing_Process6"/>
      <sheetName val="Phylon_Degreasing_&amp;_UV-Light_6"/>
      <sheetName val="Stock_Fitting_Process6"/>
      <sheetName val="Stock_Fitting_Process_(2)6"/>
      <sheetName val="Stock_Fitting_Process_(4)6"/>
      <sheetName val="Assembly_BPFC6"/>
      <sheetName val="Assembly_BPFC_(2)6"/>
      <sheetName val="Assembly_BPFC_(3)-射出底6"/>
      <sheetName val="Assembly_BPFC_(4)-射出底6"/>
      <sheetName val="Assembly_BPFC_(3)SU08-射出6"/>
      <sheetName val="QH_업무보고6"/>
      <sheetName val="VS_업무보고6"/>
      <sheetName val="302315-161_26"/>
      <sheetName val="Outsole_Degreaࡳing_Process6"/>
      <sheetName val="Oၵtsole_Color_6"/>
      <sheetName val="Back_Part_MoldingĠSpec_6"/>
      <sheetName val="Raw_Data_Sheet6"/>
      <sheetName val="LBE_PRED_J_HELP6"/>
      <sheetName val="output_per_jam6"/>
      <sheetName val="MLT_6"/>
      <sheetName val="daily_BEP6"/>
      <sheetName val="Upper_Molded_Component_Process8"/>
      <sheetName val="HF_welded_Specification8"/>
      <sheetName val="HF_welded_Specification_(2)8"/>
      <sheetName val="PU_Midsole_Spec__Set_up8"/>
      <sheetName val="PU__Midsole_Spec_I__8"/>
      <sheetName val="PU_Midsole_Spec__III8"/>
      <sheetName val="PU_Midsole_Pouring_Spec_8"/>
      <sheetName val="Outsole_Color_8"/>
      <sheetName val="Outsole_Preform_Specifications8"/>
      <sheetName val="Outsole_Pressing_Process8"/>
      <sheetName val="Outsole_Degreasing_Process8"/>
      <sheetName val="Back_Part_Molding_Spec_8"/>
      <sheetName val="Back_Count_Process_Spec8"/>
      <sheetName val="Production_Checklist8"/>
      <sheetName val="Upper_Measurement_Spec8"/>
      <sheetName val="Index_(1)8"/>
      <sheetName val="Index_(2)8"/>
      <sheetName val="Index_(3)8"/>
      <sheetName val="Molding_Piece_Schedule8"/>
      <sheetName val="Perf_Specification8"/>
      <sheetName val="Logo_Specification8"/>
      <sheetName val="Strap_Specification8"/>
      <sheetName val="Preparation_Process8"/>
      <sheetName val="Edge-Painting_Specifications8"/>
      <sheetName val="Skiving_Instruction8"/>
      <sheetName val="Spliting_Instructions8"/>
      <sheetName val="Tapering_Instructions8"/>
      <sheetName val="Marking_Location8"/>
      <sheetName val="Reinforcement_Placement8"/>
      <sheetName val="Folding_Location8"/>
      <sheetName val="Pre-Buffing_Specification8"/>
      <sheetName val="Computer_Stitching_Schedule8"/>
      <sheetName val="Stitching_Overview_Sketch8"/>
      <sheetName val="Stitching_Instructions_(1)8"/>
      <sheetName val="Stitching_Instructions_(2)8"/>
      <sheetName val="Stitching_Instructions_(3)8"/>
      <sheetName val="Stitching_Instructions_(4)8"/>
      <sheetName val="Upper_Injected_Component_Pro_8"/>
      <sheetName val="Upper_Molded_Component_Pro_8"/>
      <sheetName val="Upper_Sublimation_Process8"/>
      <sheetName val="Upper_HF_Welding_Process8"/>
      <sheetName val="Sockliner_Sublimation_Process8"/>
      <sheetName val="CMP_PHYLON_CSS_CONFIRMATION8"/>
      <sheetName val="Phylon_Midsole_Spec_8"/>
      <sheetName val="PU_CSS_CONFIRMATION8"/>
      <sheetName val="PU_CSS_Schedules8"/>
      <sheetName val="PU_Midsole_Spec_I8"/>
      <sheetName val="Airbag_&amp;Prefit_bonding_PFC8"/>
      <sheetName val="Airbag_&amp;_Prefit_Bonding_PFC8"/>
      <sheetName val="Airbag_&amp;_Prefit_Bonding_PFC_(28"/>
      <sheetName val="Airbag_&amp;_Prefit_Bonding_PFC_(38"/>
      <sheetName val="Stockfit_Bonding_PFC8"/>
      <sheetName val="Assembly_Bonding_PFC8"/>
      <sheetName val="Assembly_Bonding_PFC_(2)8"/>
      <sheetName val="Assembling_Process8"/>
      <sheetName val="Assembling_Process_(2)8"/>
      <sheetName val="Sockliner_Specification8"/>
      <sheetName val="Upper_Measurement_Spec_8"/>
      <sheetName val="Upper_Weight_Control8"/>
      <sheetName val="Blank_Form8"/>
      <sheetName val="Bottom_Shank_Spray_Painting8"/>
      <sheetName val="Outsole_Molded_Component_Pro_8"/>
      <sheetName val="TPU_Degreasing_Process8"/>
      <sheetName val="Phylon_Degreasing_&amp;_UV-Light_8"/>
      <sheetName val="Stock_Fitting_Process8"/>
      <sheetName val="Stock_Fitting_Process_(2)8"/>
      <sheetName val="Stock_Fitting_Process_(4)8"/>
      <sheetName val="Assembly_BPFC8"/>
      <sheetName val="Assembly_BPFC_(2)8"/>
      <sheetName val="Assembly_BPFC_(3)-射出底8"/>
      <sheetName val="Assembly_BPFC_(4)-射出底8"/>
      <sheetName val="Assembly_BPFC_(3)SU08-射出8"/>
      <sheetName val="QH_업무보고8"/>
      <sheetName val="VS_업무보고8"/>
      <sheetName val="302315-161_28"/>
      <sheetName val="Outsole_Degreaࡳing_Process8"/>
      <sheetName val="Oၵtsole_Color_8"/>
      <sheetName val="Back_Part_MoldingĠSpec_8"/>
      <sheetName val="Raw_Data_Sheet8"/>
      <sheetName val="LBE_PRED_J_HELP8"/>
      <sheetName val="output_per_jam8"/>
      <sheetName val="MLT_8"/>
      <sheetName val="daily_BEP8"/>
      <sheetName val="Upper_Molded_Component_Process9"/>
      <sheetName val="HF_welded_Specification9"/>
      <sheetName val="HF_welded_Specification_(2)9"/>
      <sheetName val="PU_Midsole_Spec__Set_up9"/>
      <sheetName val="PU__Midsole_Spec_I__9"/>
      <sheetName val="PU_Midsole_Spec__III9"/>
      <sheetName val="PU_Midsole_Pouring_Spec_9"/>
      <sheetName val="Outsole_Color_9"/>
      <sheetName val="Outsole_Preform_Specifications9"/>
      <sheetName val="Outsole_Pressing_Process9"/>
      <sheetName val="Outsole_Degreasing_Process9"/>
      <sheetName val="Back_Part_Molding_Spec_9"/>
      <sheetName val="Back_Count_Process_Spec9"/>
      <sheetName val="Production_Checklist9"/>
      <sheetName val="Upper_Measurement_Spec9"/>
      <sheetName val="Index_(1)9"/>
      <sheetName val="Index_(2)9"/>
      <sheetName val="Index_(3)9"/>
      <sheetName val="Molding_Piece_Schedule9"/>
      <sheetName val="Perf_Specification9"/>
      <sheetName val="Logo_Specification9"/>
      <sheetName val="Strap_Specification9"/>
      <sheetName val="Preparation_Process9"/>
      <sheetName val="Edge-Painting_Specifications9"/>
      <sheetName val="Skiving_Instruction9"/>
      <sheetName val="Spliting_Instructions9"/>
      <sheetName val="Tapering_Instructions9"/>
      <sheetName val="Marking_Location9"/>
      <sheetName val="Reinforcement_Placement9"/>
      <sheetName val="Folding_Location9"/>
      <sheetName val="Pre-Buffing_Specification9"/>
      <sheetName val="Computer_Stitching_Schedule9"/>
      <sheetName val="Stitching_Overview_Sketch9"/>
      <sheetName val="Stitching_Instructions_(1)9"/>
      <sheetName val="Stitching_Instructions_(2)9"/>
      <sheetName val="Stitching_Instructions_(3)9"/>
      <sheetName val="Stitching_Instructions_(4)9"/>
      <sheetName val="Upper_Injected_Component_Pro_9"/>
      <sheetName val="Upper_Molded_Component_Pro_9"/>
      <sheetName val="Upper_Sublimation_Process9"/>
      <sheetName val="Upper_HF_Welding_Process9"/>
      <sheetName val="Sockliner_Sublimation_Process9"/>
      <sheetName val="CMP_PHYLON_CSS_CONFIRMATION9"/>
      <sheetName val="Phylon_Midsole_Spec_9"/>
      <sheetName val="PU_CSS_CONFIRMATION9"/>
      <sheetName val="PU_CSS_Schedules9"/>
      <sheetName val="PU_Midsole_Spec_I9"/>
      <sheetName val="Airbag_&amp;Prefit_bonding_PFC9"/>
      <sheetName val="Airbag_&amp;_Prefit_Bonding_PFC9"/>
      <sheetName val="Airbag_&amp;_Prefit_Bonding_PFC_(29"/>
      <sheetName val="Airbag_&amp;_Prefit_Bonding_PFC_(39"/>
      <sheetName val="Stockfit_Bonding_PFC9"/>
      <sheetName val="Assembly_Bonding_PFC9"/>
      <sheetName val="Assembly_Bonding_PFC_(2)9"/>
      <sheetName val="Assembling_Process9"/>
      <sheetName val="Assembling_Process_(2)9"/>
      <sheetName val="Sockliner_Specification9"/>
      <sheetName val="Upper_Measurement_Spec_9"/>
      <sheetName val="Upper_Weight_Control9"/>
      <sheetName val="Blank_Form9"/>
      <sheetName val="Bottom_Shank_Spray_Painting9"/>
      <sheetName val="Outsole_Molded_Component_Pro_9"/>
      <sheetName val="TPU_Degreasing_Process9"/>
      <sheetName val="Phylon_Degreasing_&amp;_UV-Light_9"/>
      <sheetName val="Stock_Fitting_Process9"/>
      <sheetName val="Stock_Fitting_Process_(2)9"/>
      <sheetName val="Stock_Fitting_Process_(4)9"/>
      <sheetName val="Assembly_BPFC9"/>
      <sheetName val="Assembly_BPFC_(2)9"/>
      <sheetName val="Assembly_BPFC_(3)-射出底9"/>
      <sheetName val="Assembly_BPFC_(4)-射出底9"/>
      <sheetName val="Assembly_BPFC_(3)SU08-射出9"/>
      <sheetName val="QH_업무보고9"/>
      <sheetName val="VS_업무보고9"/>
      <sheetName val="302315-161_29"/>
      <sheetName val="Outsole_Degreaࡳing_Process9"/>
      <sheetName val="Oၵtsole_Color_9"/>
      <sheetName val="Back_Part_MoldingĠSpec_9"/>
      <sheetName val="Raw_Data_Sheet9"/>
      <sheetName val="LBE_PRED_J_HELP9"/>
      <sheetName val="output_per_jam9"/>
      <sheetName val="MLT_9"/>
      <sheetName val="daily_BEP9"/>
      <sheetName val="Upper_Molded_Component_Proces10"/>
      <sheetName val="HF_welded_Specification10"/>
      <sheetName val="HF_welded_Specification_(2)10"/>
      <sheetName val="PU_Midsole_Spec__Set_up10"/>
      <sheetName val="PU__Midsole_Spec_I__10"/>
      <sheetName val="PU_Midsole_Spec__III10"/>
      <sheetName val="PU_Midsole_Pouring_Spec_10"/>
      <sheetName val="Outsole_Color_10"/>
      <sheetName val="Outsole_Preform_Specification10"/>
      <sheetName val="Outsole_Pressing_Process10"/>
      <sheetName val="Outsole_Degreasing_Process10"/>
      <sheetName val="Back_Part_Molding_Spec_10"/>
      <sheetName val="Back_Count_Process_Spec10"/>
      <sheetName val="Production_Checklist10"/>
      <sheetName val="Upper_Measurement_Spec10"/>
      <sheetName val="Index_(1)10"/>
      <sheetName val="Index_(2)10"/>
      <sheetName val="Index_(3)10"/>
      <sheetName val="Molding_Piece_Schedule10"/>
      <sheetName val="Perf_Specification10"/>
      <sheetName val="Logo_Specification10"/>
      <sheetName val="Strap_Specification10"/>
      <sheetName val="Preparation_Process10"/>
      <sheetName val="Edge-Painting_Specifications10"/>
      <sheetName val="Skiving_Instruction10"/>
      <sheetName val="Spliting_Instructions10"/>
      <sheetName val="Tapering_Instructions10"/>
      <sheetName val="Marking_Location10"/>
      <sheetName val="Reinforcement_Placement10"/>
      <sheetName val="Folding_Location10"/>
      <sheetName val="Pre-Buffing_Specification10"/>
      <sheetName val="Computer_Stitching_Schedule10"/>
      <sheetName val="Stitching_Overview_Sketch10"/>
      <sheetName val="Stitching_Instructions_(1)10"/>
      <sheetName val="Stitching_Instructions_(2)10"/>
      <sheetName val="Stitching_Instructions_(3)10"/>
      <sheetName val="Stitching_Instructions_(4)10"/>
      <sheetName val="Upper_Injected_Component_Pro_10"/>
      <sheetName val="Upper_Molded_Component_Pro_10"/>
      <sheetName val="Upper_Sublimation_Process10"/>
      <sheetName val="Upper_HF_Welding_Process10"/>
      <sheetName val="Sockliner_Sublimation_Process10"/>
      <sheetName val="CMP_PHYLON_CSS_CONFIRMATION10"/>
      <sheetName val="Phylon_Midsole_Spec_10"/>
      <sheetName val="PU_CSS_CONFIRMATION10"/>
      <sheetName val="PU_CSS_Schedules10"/>
      <sheetName val="PU_Midsole_Spec_I10"/>
      <sheetName val="Airbag_&amp;Prefit_bonding_PFC10"/>
      <sheetName val="Airbag_&amp;_Prefit_Bonding_PFC10"/>
      <sheetName val="Airbag_&amp;_Prefit_Bonding_PFC_(10"/>
      <sheetName val="Airbag_&amp;_Prefit_Bonding_PFC_(11"/>
      <sheetName val="Stockfit_Bonding_PFC10"/>
      <sheetName val="Assembly_Bonding_PFC10"/>
      <sheetName val="Assembly_Bonding_PFC_(2)10"/>
      <sheetName val="Assembling_Process10"/>
      <sheetName val="Assembling_Process_(2)10"/>
      <sheetName val="Sockliner_Specification10"/>
      <sheetName val="Upper_Measurement_Spec_10"/>
      <sheetName val="Upper_Weight_Control10"/>
      <sheetName val="Blank_Form10"/>
      <sheetName val="Bottom_Shank_Spray_Painting10"/>
      <sheetName val="Outsole_Molded_Component_Pro_10"/>
      <sheetName val="TPU_Degreasing_Process10"/>
      <sheetName val="Phylon_Degreasing_&amp;_UV-Light_10"/>
      <sheetName val="Stock_Fitting_Process10"/>
      <sheetName val="Stock_Fitting_Process_(2)10"/>
      <sheetName val="Stock_Fitting_Process_(4)10"/>
      <sheetName val="Assembly_BPFC10"/>
      <sheetName val="Assembly_BPFC_(2)10"/>
      <sheetName val="Assembly_BPFC_(3)-射出底10"/>
      <sheetName val="Assembly_BPFC_(4)-射出底10"/>
      <sheetName val="Assembly_BPFC_(3)SU08-射出10"/>
      <sheetName val="QH_업무보고10"/>
      <sheetName val="VS_업무보고10"/>
      <sheetName val="302315-161_210"/>
      <sheetName val="Outsole_Degreaࡳing_Process10"/>
      <sheetName val="Oၵtsole_Color_10"/>
      <sheetName val="Back_Part_MoldingĠSpec_10"/>
      <sheetName val="Raw_Data_Sheet10"/>
      <sheetName val="LBE_PRED_J_HELP10"/>
      <sheetName val="output_per_jam10"/>
      <sheetName val="MLT_10"/>
      <sheetName val="daily_BEP10"/>
      <sheetName val="Upper_Molded_Component_Proces12"/>
      <sheetName val="HF_welded_Specification12"/>
      <sheetName val="HF_welded_Specification_(2)12"/>
      <sheetName val="PU_Midsole_Spec__Set_up12"/>
      <sheetName val="PU__Midsole_Spec_I__12"/>
      <sheetName val="PU_Midsole_Spec__III12"/>
      <sheetName val="PU_Midsole_Pouring_Spec_12"/>
      <sheetName val="Outsole_Color_12"/>
      <sheetName val="Outsole_Preform_Specification12"/>
      <sheetName val="Outsole_Pressing_Process12"/>
      <sheetName val="Outsole_Degreasing_Process12"/>
      <sheetName val="Back_Part_Molding_Spec_12"/>
      <sheetName val="Back_Count_Process_Spec12"/>
      <sheetName val="Production_Checklist12"/>
      <sheetName val="Upper_Measurement_Spec12"/>
      <sheetName val="Index_(1)12"/>
      <sheetName val="Index_(2)12"/>
      <sheetName val="Index_(3)12"/>
      <sheetName val="Molding_Piece_Schedule12"/>
      <sheetName val="Perf_Specification12"/>
      <sheetName val="Logo_Specification12"/>
      <sheetName val="Strap_Specification12"/>
      <sheetName val="Preparation_Process12"/>
      <sheetName val="Edge-Painting_Specifications12"/>
      <sheetName val="Skiving_Instruction12"/>
      <sheetName val="Spliting_Instructions12"/>
      <sheetName val="Tapering_Instructions12"/>
      <sheetName val="Marking_Location12"/>
      <sheetName val="Reinforcement_Placement12"/>
      <sheetName val="Folding_Location12"/>
      <sheetName val="Pre-Buffing_Specification12"/>
      <sheetName val="Computer_Stitching_Schedule12"/>
      <sheetName val="Stitching_Overview_Sketch12"/>
      <sheetName val="Stitching_Instructions_(1)12"/>
      <sheetName val="Stitching_Instructions_(2)12"/>
      <sheetName val="Stitching_Instructions_(3)12"/>
      <sheetName val="Stitching_Instructions_(4)12"/>
      <sheetName val="Upper_Injected_Component_Pro_12"/>
      <sheetName val="Upper_Molded_Component_Pro_12"/>
      <sheetName val="Upper_Sublimation_Process12"/>
      <sheetName val="Upper_HF_Welding_Process12"/>
      <sheetName val="Sockliner_Sublimation_Process12"/>
      <sheetName val="CMP_PHYLON_CSS_CONFIRMATION12"/>
      <sheetName val="Phylon_Midsole_Spec_12"/>
      <sheetName val="PU_CSS_CONFIRMATION12"/>
      <sheetName val="PU_CSS_Schedules12"/>
      <sheetName val="PU_Midsole_Spec_I12"/>
      <sheetName val="Airbag_&amp;Prefit_bonding_PFC12"/>
      <sheetName val="Airbag_&amp;_Prefit_Bonding_PFC12"/>
      <sheetName val="Airbag_&amp;_Prefit_Bonding_PFC_(14"/>
      <sheetName val="Airbag_&amp;_Prefit_Bonding_PFC_(15"/>
      <sheetName val="Stockfit_Bonding_PFC12"/>
      <sheetName val="Assembly_Bonding_PFC12"/>
      <sheetName val="Assembly_Bonding_PFC_(2)12"/>
      <sheetName val="Assembling_Process12"/>
      <sheetName val="Assembling_Process_(2)12"/>
      <sheetName val="Sockliner_Specification12"/>
      <sheetName val="Upper_Measurement_Spec_12"/>
      <sheetName val="Upper_Weight_Control12"/>
      <sheetName val="Blank_Form12"/>
      <sheetName val="Bottom_Shank_Spray_Painting12"/>
      <sheetName val="Outsole_Molded_Component_Pro_12"/>
      <sheetName val="TPU_Degreasing_Process12"/>
      <sheetName val="Phylon_Degreasing_&amp;_UV-Light_12"/>
      <sheetName val="Stock_Fitting_Process12"/>
      <sheetName val="Stock_Fitting_Process_(2)12"/>
      <sheetName val="Stock_Fitting_Process_(4)12"/>
      <sheetName val="Assembly_BPFC12"/>
      <sheetName val="Assembly_BPFC_(2)12"/>
      <sheetName val="Assembly_BPFC_(3)-射出底12"/>
      <sheetName val="Assembly_BPFC_(4)-射出底12"/>
      <sheetName val="Assembly_BPFC_(3)SU08-射出12"/>
      <sheetName val="QH_업무보고12"/>
      <sheetName val="VS_업무보고12"/>
      <sheetName val="302315-161_212"/>
      <sheetName val="Outsole_Degreaࡳing_Process12"/>
      <sheetName val="Oၵtsole_Color_12"/>
      <sheetName val="Back_Part_MoldingĠSpec_12"/>
      <sheetName val="Raw_Data_Sheet12"/>
      <sheetName val="LBE_PRED_J_HELP12"/>
      <sheetName val="output_per_jam12"/>
      <sheetName val="MLT_12"/>
      <sheetName val="daily_BEP12"/>
      <sheetName val="Upper_Molded_Component_Proces11"/>
      <sheetName val="HF_welded_Specification11"/>
      <sheetName val="HF_welded_Specification_(2)11"/>
      <sheetName val="PU_Midsole_Spec__Set_up11"/>
      <sheetName val="PU__Midsole_Spec_I__11"/>
      <sheetName val="PU_Midsole_Spec__III11"/>
      <sheetName val="PU_Midsole_Pouring_Spec_11"/>
      <sheetName val="Outsole_Color_11"/>
      <sheetName val="Outsole_Preform_Specification11"/>
      <sheetName val="Outsole_Pressing_Process11"/>
      <sheetName val="Outsole_Degreasing_Process11"/>
      <sheetName val="Back_Part_Molding_Spec_11"/>
      <sheetName val="Back_Count_Process_Spec11"/>
      <sheetName val="Production_Checklist11"/>
      <sheetName val="Upper_Measurement_Spec11"/>
      <sheetName val="Index_(1)11"/>
      <sheetName val="Index_(2)11"/>
      <sheetName val="Index_(3)11"/>
      <sheetName val="Molding_Piece_Schedule11"/>
      <sheetName val="Perf_Specification11"/>
      <sheetName val="Logo_Specification11"/>
      <sheetName val="Strap_Specification11"/>
      <sheetName val="Preparation_Process11"/>
      <sheetName val="Edge-Painting_Specifications11"/>
      <sheetName val="Skiving_Instruction11"/>
      <sheetName val="Spliting_Instructions11"/>
      <sheetName val="Tapering_Instructions11"/>
      <sheetName val="Marking_Location11"/>
      <sheetName val="Reinforcement_Placement11"/>
      <sheetName val="Folding_Location11"/>
      <sheetName val="Pre-Buffing_Specification11"/>
      <sheetName val="Computer_Stitching_Schedule11"/>
      <sheetName val="Stitching_Overview_Sketch11"/>
      <sheetName val="Stitching_Instructions_(1)11"/>
      <sheetName val="Stitching_Instructions_(2)11"/>
      <sheetName val="Stitching_Instructions_(3)11"/>
      <sheetName val="Stitching_Instructions_(4)11"/>
      <sheetName val="Upper_Injected_Component_Pro_11"/>
      <sheetName val="Upper_Molded_Component_Pro_11"/>
      <sheetName val="Upper_Sublimation_Process11"/>
      <sheetName val="Upper_HF_Welding_Process11"/>
      <sheetName val="Sockliner_Sublimation_Process11"/>
      <sheetName val="CMP_PHYLON_CSS_CONFIRMATION11"/>
      <sheetName val="Phylon_Midsole_Spec_11"/>
      <sheetName val="PU_CSS_CONFIRMATION11"/>
      <sheetName val="PU_CSS_Schedules11"/>
      <sheetName val="PU_Midsole_Spec_I11"/>
      <sheetName val="Airbag_&amp;Prefit_bonding_PFC11"/>
      <sheetName val="Airbag_&amp;_Prefit_Bonding_PFC11"/>
      <sheetName val="Airbag_&amp;_Prefit_Bonding_PFC_(12"/>
      <sheetName val="Airbag_&amp;_Prefit_Bonding_PFC_(13"/>
      <sheetName val="Stockfit_Bonding_PFC11"/>
      <sheetName val="Assembly_Bonding_PFC11"/>
      <sheetName val="Assembly_Bonding_PFC_(2)11"/>
      <sheetName val="Assembling_Process11"/>
      <sheetName val="Assembling_Process_(2)11"/>
      <sheetName val="Sockliner_Specification11"/>
      <sheetName val="Upper_Measurement_Spec_11"/>
      <sheetName val="Upper_Weight_Control11"/>
      <sheetName val="Blank_Form11"/>
      <sheetName val="Bottom_Shank_Spray_Painting11"/>
      <sheetName val="Outsole_Molded_Component_Pro_11"/>
      <sheetName val="TPU_Degreasing_Process11"/>
      <sheetName val="Phylon_Degreasing_&amp;_UV-Light_11"/>
      <sheetName val="Stock_Fitting_Process11"/>
      <sheetName val="Stock_Fitting_Process_(2)11"/>
      <sheetName val="Stock_Fitting_Process_(4)11"/>
      <sheetName val="Assembly_BPFC11"/>
      <sheetName val="Assembly_BPFC_(2)11"/>
      <sheetName val="Assembly_BPFC_(3)-射出底11"/>
      <sheetName val="Assembly_BPFC_(4)-射出底11"/>
      <sheetName val="Assembly_BPFC_(3)SU08-射出11"/>
      <sheetName val="QH_업무보고11"/>
      <sheetName val="VS_업무보고11"/>
      <sheetName val="302315-161_211"/>
      <sheetName val="Outsole_Degreaࡳing_Process11"/>
      <sheetName val="Oၵtsole_Color_11"/>
      <sheetName val="Back_Part_MoldingĠSpec_11"/>
      <sheetName val="Raw_Data_Sheet11"/>
      <sheetName val="LBE_PRED_J_HELP11"/>
      <sheetName val="output_per_jam11"/>
      <sheetName val="MLT_11"/>
      <sheetName val="daily_BEP11"/>
      <sheetName val="Upper_Molded_Component_Proces13"/>
      <sheetName val="HF_welded_Specification13"/>
      <sheetName val="HF_welded_Specification_(2)13"/>
      <sheetName val="PU_Midsole_Spec__Set_up13"/>
      <sheetName val="PU__Midsole_Spec_I__13"/>
      <sheetName val="PU_Midsole_Spec__III13"/>
      <sheetName val="PU_Midsole_Pouring_Spec_13"/>
      <sheetName val="Outsole_Color_13"/>
      <sheetName val="Outsole_Preform_Specification13"/>
      <sheetName val="Outsole_Pressing_Process13"/>
      <sheetName val="Outsole_Degreasing_Process13"/>
      <sheetName val="Back_Part_Molding_Spec_13"/>
      <sheetName val="Back_Count_Process_Spec13"/>
      <sheetName val="Production_Checklist13"/>
      <sheetName val="Upper_Measurement_Spec13"/>
      <sheetName val="Index_(1)13"/>
      <sheetName val="Index_(2)13"/>
      <sheetName val="Index_(3)13"/>
      <sheetName val="Molding_Piece_Schedule13"/>
      <sheetName val="Perf_Specification13"/>
      <sheetName val="Logo_Specification13"/>
      <sheetName val="Strap_Specification13"/>
      <sheetName val="Preparation_Process13"/>
      <sheetName val="Edge-Painting_Specifications13"/>
      <sheetName val="Skiving_Instruction13"/>
      <sheetName val="Spliting_Instructions13"/>
      <sheetName val="Tapering_Instructions13"/>
      <sheetName val="Marking_Location13"/>
      <sheetName val="Reinforcement_Placement13"/>
      <sheetName val="Folding_Location13"/>
      <sheetName val="Pre-Buffing_Specification13"/>
      <sheetName val="Computer_Stitching_Schedule13"/>
      <sheetName val="Stitching_Overview_Sketch13"/>
      <sheetName val="Stitching_Instructions_(1)13"/>
      <sheetName val="Stitching_Instructions_(2)13"/>
      <sheetName val="Stitching_Instructions_(3)13"/>
      <sheetName val="Stitching_Instructions_(4)13"/>
      <sheetName val="Upper_Injected_Component_Pro_13"/>
      <sheetName val="Upper_Molded_Component_Pro_13"/>
      <sheetName val="Upper_Sublimation_Process13"/>
      <sheetName val="Upper_HF_Welding_Process13"/>
      <sheetName val="Sockliner_Sublimation_Process13"/>
      <sheetName val="CMP_PHYLON_CSS_CONFIRMATION13"/>
      <sheetName val="Phylon_Midsole_Spec_13"/>
      <sheetName val="PU_CSS_CONFIRMATION13"/>
      <sheetName val="PU_CSS_Schedules13"/>
      <sheetName val="PU_Midsole_Spec_I13"/>
      <sheetName val="Airbag_&amp;Prefit_bonding_PFC13"/>
      <sheetName val="Airbag_&amp;_Prefit_Bonding_PFC13"/>
      <sheetName val="Airbag_&amp;_Prefit_Bonding_PFC_(16"/>
      <sheetName val="Airbag_&amp;_Prefit_Bonding_PFC_(17"/>
      <sheetName val="Stockfit_Bonding_PFC13"/>
      <sheetName val="Assembly_Bonding_PFC13"/>
      <sheetName val="Assembly_Bonding_PFC_(2)13"/>
      <sheetName val="Assembling_Process13"/>
      <sheetName val="Assembling_Process_(2)13"/>
      <sheetName val="Sockliner_Specification13"/>
      <sheetName val="Upper_Measurement_Spec_13"/>
      <sheetName val="Upper_Weight_Control13"/>
      <sheetName val="Blank_Form13"/>
      <sheetName val="Bottom_Shank_Spray_Painting13"/>
      <sheetName val="Outsole_Molded_Component_Pro_13"/>
      <sheetName val="TPU_Degreasing_Process13"/>
      <sheetName val="Phylon_Degreasing_&amp;_UV-Light_13"/>
      <sheetName val="Stock_Fitting_Process13"/>
      <sheetName val="Stock_Fitting_Process_(2)13"/>
      <sheetName val="Stock_Fitting_Process_(4)13"/>
      <sheetName val="Assembly_BPFC13"/>
      <sheetName val="Assembly_BPFC_(2)13"/>
      <sheetName val="Assembly_BPFC_(3)-射出底13"/>
      <sheetName val="Assembly_BPFC_(4)-射出底13"/>
      <sheetName val="Assembly_BPFC_(3)SU08-射出13"/>
      <sheetName val="QH_업무보고13"/>
      <sheetName val="VS_업무보고13"/>
      <sheetName val="302315-161_213"/>
      <sheetName val="Outsole_Degreaࡳing_Process13"/>
      <sheetName val="Oၵtsole_Color_13"/>
      <sheetName val="Back_Part_MoldingĠSpec_13"/>
      <sheetName val="Raw_Data_Sheet13"/>
      <sheetName val="LBE_PRED_J_HELP13"/>
      <sheetName val="output_per_jam13"/>
      <sheetName val="MLT_13"/>
      <sheetName val="daily_BEP13"/>
      <sheetName val="Upper_Molded_Component_Proces15"/>
      <sheetName val="HF_welded_Specification15"/>
      <sheetName val="HF_welded_Specification_(2)15"/>
      <sheetName val="PU_Midsole_Spec__Set_up15"/>
      <sheetName val="PU__Midsole_Spec_I__15"/>
      <sheetName val="PU_Midsole_Spec__III15"/>
      <sheetName val="PU_Midsole_Pouring_Spec_15"/>
      <sheetName val="Outsole_Color_15"/>
      <sheetName val="Outsole_Preform_Specification15"/>
      <sheetName val="Outsole_Pressing_Process15"/>
      <sheetName val="Outsole_Degreasing_Process15"/>
      <sheetName val="Back_Part_Molding_Spec_15"/>
      <sheetName val="Back_Count_Process_Spec15"/>
      <sheetName val="Production_Checklist15"/>
      <sheetName val="Upper_Measurement_Spec15"/>
      <sheetName val="Index_(1)15"/>
      <sheetName val="Index_(2)15"/>
      <sheetName val="Index_(3)15"/>
      <sheetName val="Molding_Piece_Schedule15"/>
      <sheetName val="Perf_Specification15"/>
      <sheetName val="Logo_Specification15"/>
      <sheetName val="Strap_Specification15"/>
      <sheetName val="Preparation_Process15"/>
      <sheetName val="Edge-Painting_Specifications15"/>
      <sheetName val="Skiving_Instruction15"/>
      <sheetName val="Spliting_Instructions15"/>
      <sheetName val="Tapering_Instructions15"/>
      <sheetName val="Marking_Location15"/>
      <sheetName val="Reinforcement_Placement15"/>
      <sheetName val="Folding_Location15"/>
      <sheetName val="Pre-Buffing_Specification15"/>
      <sheetName val="Computer_Stitching_Schedule15"/>
      <sheetName val="Stitching_Overview_Sketch15"/>
      <sheetName val="Stitching_Instructions_(1)15"/>
      <sheetName val="Stitching_Instructions_(2)15"/>
      <sheetName val="Stitching_Instructions_(3)15"/>
      <sheetName val="Stitching_Instructions_(4)15"/>
      <sheetName val="Upper_Injected_Component_Pro_15"/>
      <sheetName val="Upper_Molded_Component_Pro_15"/>
      <sheetName val="Upper_Sublimation_Process15"/>
      <sheetName val="Upper_HF_Welding_Process15"/>
      <sheetName val="Sockliner_Sublimation_Process15"/>
      <sheetName val="CMP_PHYLON_CSS_CONFIRMATION15"/>
      <sheetName val="Phylon_Midsole_Spec_15"/>
      <sheetName val="PU_CSS_CONFIRMATION15"/>
      <sheetName val="PU_CSS_Schedules15"/>
      <sheetName val="PU_Midsole_Spec_I15"/>
      <sheetName val="Airbag_&amp;Prefit_bonding_PFC15"/>
      <sheetName val="Airbag_&amp;_Prefit_Bonding_PFC15"/>
      <sheetName val="Airbag_&amp;_Prefit_Bonding_PFC_(20"/>
      <sheetName val="Airbag_&amp;_Prefit_Bonding_PFC_(30"/>
      <sheetName val="Stockfit_Bonding_PFC15"/>
      <sheetName val="Assembly_Bonding_PFC15"/>
      <sheetName val="Assembly_Bonding_PFC_(2)15"/>
      <sheetName val="Assembling_Process15"/>
      <sheetName val="Assembling_Process_(2)15"/>
      <sheetName val="Sockliner_Specification15"/>
      <sheetName val="Upper_Measurement_Spec_15"/>
      <sheetName val="Upper_Weight_Control15"/>
      <sheetName val="Blank_Form15"/>
      <sheetName val="Bottom_Shank_Spray_Painting15"/>
      <sheetName val="Outsole_Molded_Component_Pro_15"/>
      <sheetName val="TPU_Degreasing_Process15"/>
      <sheetName val="Phylon_Degreasing_&amp;_UV-Light_15"/>
      <sheetName val="Stock_Fitting_Process15"/>
      <sheetName val="Stock_Fitting_Process_(2)15"/>
      <sheetName val="Stock_Fitting_Process_(4)15"/>
      <sheetName val="Assembly_BPFC15"/>
      <sheetName val="Assembly_BPFC_(2)15"/>
      <sheetName val="Assembly_BPFC_(3)-射出底15"/>
      <sheetName val="Assembly_BPFC_(4)-射出底15"/>
      <sheetName val="Assembly_BPFC_(3)SU08-射出15"/>
      <sheetName val="QH_업무보고15"/>
      <sheetName val="VS_업무보고15"/>
      <sheetName val="302315-161_215"/>
      <sheetName val="Outsole_Degreaࡳing_Process15"/>
      <sheetName val="Oၵtsole_Color_15"/>
      <sheetName val="Back_Part_MoldingĠSpec_15"/>
      <sheetName val="Raw_Data_Sheet15"/>
      <sheetName val="LBE_PRED_J_HELP15"/>
      <sheetName val="output_per_jam15"/>
      <sheetName val="MLT_15"/>
      <sheetName val="daily_BEP15"/>
      <sheetName val="Upper_Molded_Component_Proces14"/>
      <sheetName val="HF_welded_Specification14"/>
      <sheetName val="HF_welded_Specification_(2)14"/>
      <sheetName val="PU_Midsole_Spec__Set_up14"/>
      <sheetName val="PU__Midsole_Spec_I__14"/>
      <sheetName val="PU_Midsole_Spec__III14"/>
      <sheetName val="PU_Midsole_Pouring_Spec_14"/>
      <sheetName val="Outsole_Color_14"/>
      <sheetName val="Outsole_Preform_Specification14"/>
      <sheetName val="Outsole_Pressing_Process14"/>
      <sheetName val="Outsole_Degreasing_Process14"/>
      <sheetName val="Back_Part_Molding_Spec_14"/>
      <sheetName val="Back_Count_Process_Spec14"/>
      <sheetName val="Production_Checklist14"/>
      <sheetName val="Upper_Measurement_Spec14"/>
      <sheetName val="Index_(1)14"/>
      <sheetName val="Index_(2)14"/>
      <sheetName val="Index_(3)14"/>
      <sheetName val="Molding_Piece_Schedule14"/>
      <sheetName val="Perf_Specification14"/>
      <sheetName val="Logo_Specification14"/>
      <sheetName val="Strap_Specification14"/>
      <sheetName val="Preparation_Process14"/>
      <sheetName val="Edge-Painting_Specifications14"/>
      <sheetName val="Skiving_Instruction14"/>
      <sheetName val="Spliting_Instructions14"/>
      <sheetName val="Tapering_Instructions14"/>
      <sheetName val="Marking_Location14"/>
      <sheetName val="Reinforcement_Placement14"/>
      <sheetName val="Folding_Location14"/>
      <sheetName val="Pre-Buffing_Specification14"/>
      <sheetName val="Computer_Stitching_Schedule14"/>
      <sheetName val="Stitching_Overview_Sketch14"/>
      <sheetName val="Stitching_Instructions_(1)14"/>
      <sheetName val="Stitching_Instructions_(2)14"/>
      <sheetName val="Stitching_Instructions_(3)14"/>
      <sheetName val="Stitching_Instructions_(4)14"/>
      <sheetName val="Upper_Injected_Component_Pro_14"/>
      <sheetName val="Upper_Molded_Component_Pro_14"/>
      <sheetName val="Upper_Sublimation_Process14"/>
      <sheetName val="Upper_HF_Welding_Process14"/>
      <sheetName val="Sockliner_Sublimation_Process14"/>
      <sheetName val="CMP_PHYLON_CSS_CONFIRMATION14"/>
      <sheetName val="Phylon_Midsole_Spec_14"/>
      <sheetName val="PU_CSS_CONFIRMATION14"/>
      <sheetName val="PU_CSS_Schedules14"/>
      <sheetName val="PU_Midsole_Spec_I14"/>
      <sheetName val="Airbag_&amp;Prefit_bonding_PFC14"/>
      <sheetName val="Airbag_&amp;_Prefit_Bonding_PFC14"/>
      <sheetName val="Airbag_&amp;_Prefit_Bonding_PFC_(18"/>
      <sheetName val="Airbag_&amp;_Prefit_Bonding_PFC_(19"/>
      <sheetName val="Stockfit_Bonding_PFC14"/>
      <sheetName val="Assembly_Bonding_PFC14"/>
      <sheetName val="Assembly_Bonding_PFC_(2)14"/>
      <sheetName val="Assembling_Process14"/>
      <sheetName val="Assembling_Process_(2)14"/>
      <sheetName val="Sockliner_Specification14"/>
      <sheetName val="Upper_Measurement_Spec_14"/>
      <sheetName val="Upper_Weight_Control14"/>
      <sheetName val="Blank_Form14"/>
      <sheetName val="Bottom_Shank_Spray_Painting14"/>
      <sheetName val="Outsole_Molded_Component_Pro_14"/>
      <sheetName val="TPU_Degreasing_Process14"/>
      <sheetName val="Phylon_Degreasing_&amp;_UV-Light_14"/>
      <sheetName val="Stock_Fitting_Process14"/>
      <sheetName val="Stock_Fitting_Process_(2)14"/>
      <sheetName val="Stock_Fitting_Process_(4)14"/>
      <sheetName val="Assembly_BPFC14"/>
      <sheetName val="Assembly_BPFC_(2)14"/>
      <sheetName val="Assembly_BPFC_(3)-射出底14"/>
      <sheetName val="Assembly_BPFC_(4)-射出底14"/>
      <sheetName val="Assembly_BPFC_(3)SU08-射出14"/>
      <sheetName val="QH_업무보고14"/>
      <sheetName val="VS_업무보고14"/>
      <sheetName val="302315-161_214"/>
      <sheetName val="Outsole_Degreaࡳing_Process14"/>
      <sheetName val="Oၵtsole_Color_14"/>
      <sheetName val="Back_Part_MoldingĠSpec_14"/>
      <sheetName val="Raw_Data_Sheet14"/>
      <sheetName val="LBE_PRED_J_HELP14"/>
      <sheetName val="output_per_jam14"/>
      <sheetName val="MLT_14"/>
      <sheetName val="daily_BEP14"/>
      <sheetName val="Upper_Molded_Component_Proces16"/>
      <sheetName val="HF_welded_Specification16"/>
      <sheetName val="HF_welded_Specification_(2)16"/>
      <sheetName val="PU_Midsole_Spec__Set_up16"/>
      <sheetName val="PU__Midsole_Spec_I__16"/>
      <sheetName val="PU_Midsole_Spec__III16"/>
      <sheetName val="PU_Midsole_Pouring_Spec_16"/>
      <sheetName val="Outsole_Color_16"/>
      <sheetName val="Outsole_Preform_Specification16"/>
      <sheetName val="Outsole_Pressing_Process16"/>
      <sheetName val="Outsole_Degreasing_Process16"/>
      <sheetName val="Back_Part_Molding_Spec_16"/>
      <sheetName val="Back_Count_Process_Spec16"/>
      <sheetName val="Production_Checklist16"/>
      <sheetName val="Upper_Measurement_Spec16"/>
      <sheetName val="Index_(1)16"/>
      <sheetName val="Index_(2)16"/>
      <sheetName val="Index_(3)16"/>
      <sheetName val="Molding_Piece_Schedule16"/>
      <sheetName val="Perf_Specification16"/>
      <sheetName val="Logo_Specification16"/>
      <sheetName val="Strap_Specification16"/>
      <sheetName val="Preparation_Process16"/>
      <sheetName val="Edge-Painting_Specifications16"/>
      <sheetName val="Skiving_Instruction16"/>
      <sheetName val="Spliting_Instructions16"/>
      <sheetName val="Tapering_Instructions16"/>
      <sheetName val="Marking_Location16"/>
      <sheetName val="Reinforcement_Placement16"/>
      <sheetName val="Folding_Location16"/>
      <sheetName val="Pre-Buffing_Specification16"/>
      <sheetName val="Computer_Stitching_Schedule16"/>
      <sheetName val="Stitching_Overview_Sketch16"/>
      <sheetName val="Stitching_Instructions_(1)16"/>
      <sheetName val="Stitching_Instructions_(2)16"/>
      <sheetName val="Stitching_Instructions_(3)16"/>
      <sheetName val="Stitching_Instructions_(4)16"/>
      <sheetName val="Upper_Injected_Component_Pro_16"/>
      <sheetName val="Upper_Molded_Component_Pro_16"/>
      <sheetName val="Upper_Sublimation_Process16"/>
      <sheetName val="Upper_HF_Welding_Process16"/>
      <sheetName val="Sockliner_Sublimation_Process16"/>
      <sheetName val="CMP_PHYLON_CSS_CONFIRMATION16"/>
      <sheetName val="Phylon_Midsole_Spec_16"/>
      <sheetName val="PU_CSS_CONFIRMATION16"/>
      <sheetName val="PU_CSS_Schedules16"/>
      <sheetName val="PU_Midsole_Spec_I16"/>
      <sheetName val="Airbag_&amp;Prefit_bonding_PFC16"/>
      <sheetName val="Airbag_&amp;_Prefit_Bonding_PFC16"/>
      <sheetName val="Airbag_&amp;_Prefit_Bonding_PFC_(40"/>
      <sheetName val="Airbag_&amp;_Prefit_Bonding_PFC_(41"/>
      <sheetName val="Stockfit_Bonding_PFC16"/>
      <sheetName val="Assembly_Bonding_PFC16"/>
      <sheetName val="Assembly_Bonding_PFC_(2)16"/>
      <sheetName val="Assembling_Process16"/>
      <sheetName val="Assembling_Process_(2)16"/>
      <sheetName val="Sockliner_Specification16"/>
      <sheetName val="Upper_Measurement_Spec_16"/>
      <sheetName val="Upper_Weight_Control16"/>
      <sheetName val="Blank_Form16"/>
      <sheetName val="Bottom_Shank_Spray_Painting16"/>
      <sheetName val="Outsole_Molded_Component_Pro_16"/>
      <sheetName val="TPU_Degreasing_Process16"/>
      <sheetName val="Phylon_Degreasing_&amp;_UV-Light_16"/>
      <sheetName val="Stock_Fitting_Process16"/>
      <sheetName val="Stock_Fitting_Process_(2)16"/>
      <sheetName val="Stock_Fitting_Process_(4)16"/>
      <sheetName val="Assembly_BPFC16"/>
      <sheetName val="Assembly_BPFC_(2)16"/>
      <sheetName val="Assembly_BPFC_(3)-射出底16"/>
      <sheetName val="Assembly_BPFC_(4)-射出底16"/>
      <sheetName val="Assembly_BPFC_(3)SU08-射出16"/>
      <sheetName val="QH_업무보고16"/>
      <sheetName val="VS_업무보고16"/>
      <sheetName val="302315-161_216"/>
      <sheetName val="Outsole_Degreaࡳing_Process16"/>
      <sheetName val="Oၵtsole_Color_16"/>
      <sheetName val="Back_Part_MoldingĠSpec_16"/>
      <sheetName val="Raw_Data_Sheet16"/>
      <sheetName val="LBE_PRED_J_HELP16"/>
      <sheetName val="output_per_jam16"/>
      <sheetName val="MLT_16"/>
      <sheetName val="daily_BEP16"/>
      <sheetName val="Upper_Molded_Component_Proces17"/>
      <sheetName val="HF_welded_Specification17"/>
      <sheetName val="HF_welded_Specification_(2)17"/>
      <sheetName val="PU_Midsole_Spec__Set_up17"/>
      <sheetName val="PU__Midsole_Spec_I__17"/>
      <sheetName val="PU_Midsole_Spec__III17"/>
      <sheetName val="PU_Midsole_Pouring_Spec_17"/>
      <sheetName val="Outsole_Color_17"/>
      <sheetName val="Outsole_Preform_Specification17"/>
      <sheetName val="Outsole_Pressing_Process17"/>
      <sheetName val="Outsole_Degreasing_Process17"/>
      <sheetName val="Back_Part_Molding_Spec_17"/>
      <sheetName val="Back_Count_Process_Spec17"/>
      <sheetName val="Production_Checklist17"/>
      <sheetName val="Upper_Measurement_Spec17"/>
      <sheetName val="Index_(1)17"/>
      <sheetName val="Index_(2)17"/>
      <sheetName val="Index_(3)17"/>
      <sheetName val="Molding_Piece_Schedule17"/>
      <sheetName val="Perf_Specification17"/>
      <sheetName val="Logo_Specification17"/>
      <sheetName val="Strap_Specification17"/>
      <sheetName val="Preparation_Process17"/>
      <sheetName val="Edge-Painting_Specifications17"/>
      <sheetName val="Skiving_Instruction17"/>
      <sheetName val="Spliting_Instructions17"/>
      <sheetName val="Tapering_Instructions17"/>
      <sheetName val="Marking_Location17"/>
      <sheetName val="Reinforcement_Placement17"/>
      <sheetName val="Folding_Location17"/>
      <sheetName val="Pre-Buffing_Specification17"/>
      <sheetName val="Computer_Stitching_Schedule17"/>
      <sheetName val="Stitching_Overview_Sketch17"/>
      <sheetName val="Stitching_Instructions_(1)17"/>
      <sheetName val="Stitching_Instructions_(2)17"/>
      <sheetName val="Stitching_Instructions_(3)17"/>
      <sheetName val="Stitching_Instructions_(4)17"/>
      <sheetName val="Upper_Injected_Component_Pro_17"/>
      <sheetName val="Upper_Molded_Component_Pro_17"/>
      <sheetName val="Upper_Sublimation_Process17"/>
      <sheetName val="Upper_HF_Welding_Process17"/>
      <sheetName val="Sockliner_Sublimation_Process17"/>
      <sheetName val="CMP_PHYLON_CSS_CONFIRMATION17"/>
      <sheetName val="Phylon_Midsole_Spec_17"/>
      <sheetName val="PU_CSS_CONFIRMATION17"/>
      <sheetName val="PU_CSS_Schedules17"/>
      <sheetName val="PU_Midsole_Spec_I17"/>
      <sheetName val="Airbag_&amp;Prefit_bonding_PFC17"/>
      <sheetName val="Airbag_&amp;_Prefit_Bonding_PFC17"/>
      <sheetName val="Airbag_&amp;_Prefit_Bonding_PFC_(42"/>
      <sheetName val="Airbag_&amp;_Prefit_Bonding_PFC_(43"/>
      <sheetName val="Stockfit_Bonding_PFC17"/>
      <sheetName val="Assembly_Bonding_PFC17"/>
      <sheetName val="Assembly_Bonding_PFC_(2)17"/>
      <sheetName val="Assembling_Process17"/>
      <sheetName val="Assembling_Process_(2)17"/>
      <sheetName val="Sockliner_Specification17"/>
      <sheetName val="Upper_Measurement_Spec_17"/>
      <sheetName val="Upper_Weight_Control17"/>
      <sheetName val="Blank_Form17"/>
      <sheetName val="Bottom_Shank_Spray_Painting17"/>
      <sheetName val="Outsole_Molded_Component_Pro_17"/>
      <sheetName val="TPU_Degreasing_Process17"/>
      <sheetName val="Phylon_Degreasing_&amp;_UV-Light_17"/>
      <sheetName val="Stock_Fitting_Process17"/>
      <sheetName val="Stock_Fitting_Process_(2)17"/>
      <sheetName val="Stock_Fitting_Process_(4)17"/>
      <sheetName val="Assembly_BPFC17"/>
      <sheetName val="Assembly_BPFC_(2)17"/>
      <sheetName val="Assembly_BPFC_(3)-射出底17"/>
      <sheetName val="Assembly_BPFC_(4)-射出底17"/>
      <sheetName val="Assembly_BPFC_(3)SU08-射出17"/>
      <sheetName val="QH_업무보고17"/>
      <sheetName val="VS_업무보고17"/>
      <sheetName val="302315-161_217"/>
      <sheetName val="Outsole_Degreaࡳing_Process17"/>
      <sheetName val="Oၵtsole_Color_17"/>
      <sheetName val="Back_Part_MoldingĠSpec_17"/>
      <sheetName val="Raw_Data_Sheet17"/>
      <sheetName val="LBE_PRED_J_HELP17"/>
      <sheetName val="output_per_jam17"/>
      <sheetName val="MLT_17"/>
      <sheetName val="daily_BEP17"/>
      <sheetName val="Upper_Molded_Component_Proces18"/>
      <sheetName val="HF_welded_Specification18"/>
      <sheetName val="HF_welded_Specification_(2)18"/>
      <sheetName val="PU_Midsole_Spec__Set_up18"/>
      <sheetName val="PU__Midsole_Spec_I__18"/>
      <sheetName val="PU_Midsole_Spec__III18"/>
      <sheetName val="PU_Midsole_Pouring_Spec_18"/>
      <sheetName val="Outsole_Color_18"/>
      <sheetName val="Outsole_Preform_Specification18"/>
      <sheetName val="Outsole_Pressing_Process18"/>
      <sheetName val="Outsole_Degreasing_Process18"/>
      <sheetName val="Back_Part_Molding_Spec_18"/>
      <sheetName val="Back_Count_Process_Spec18"/>
      <sheetName val="Production_Checklist18"/>
      <sheetName val="Upper_Measurement_Spec18"/>
      <sheetName val="Index_(1)18"/>
      <sheetName val="Index_(2)18"/>
      <sheetName val="Index_(3)18"/>
      <sheetName val="Molding_Piece_Schedule18"/>
      <sheetName val="Perf_Specification18"/>
      <sheetName val="Logo_Specification18"/>
      <sheetName val="Strap_Specification18"/>
      <sheetName val="Preparation_Process18"/>
      <sheetName val="Edge-Painting_Specifications18"/>
      <sheetName val="Skiving_Instruction18"/>
      <sheetName val="Spliting_Instructions18"/>
      <sheetName val="Tapering_Instructions18"/>
      <sheetName val="Marking_Location18"/>
      <sheetName val="Reinforcement_Placement18"/>
      <sheetName val="Folding_Location18"/>
      <sheetName val="Pre-Buffing_Specification18"/>
      <sheetName val="Computer_Stitching_Schedule18"/>
      <sheetName val="Stitching_Overview_Sketch18"/>
      <sheetName val="Stitching_Instructions_(1)18"/>
      <sheetName val="Stitching_Instructions_(2)18"/>
      <sheetName val="Stitching_Instructions_(3)18"/>
      <sheetName val="Stitching_Instructions_(4)18"/>
      <sheetName val="Upper_Injected_Component_Pro_18"/>
      <sheetName val="Upper_Molded_Component_Pro_18"/>
      <sheetName val="Upper_Sublimation_Process18"/>
      <sheetName val="Upper_HF_Welding_Process18"/>
      <sheetName val="Sockliner_Sublimation_Process18"/>
      <sheetName val="CMP_PHYLON_CSS_CONFIRMATION18"/>
      <sheetName val="Phylon_Midsole_Spec_18"/>
      <sheetName val="PU_CSS_CONFIRMATION18"/>
      <sheetName val="PU_CSS_Schedules18"/>
      <sheetName val="PU_Midsole_Spec_I18"/>
      <sheetName val="Airbag_&amp;Prefit_bonding_PFC18"/>
      <sheetName val="Airbag_&amp;_Prefit_Bonding_PFC18"/>
      <sheetName val="Airbag_&amp;_Prefit_Bonding_PFC_(44"/>
      <sheetName val="Airbag_&amp;_Prefit_Bonding_PFC_(45"/>
      <sheetName val="Stockfit_Bonding_PFC18"/>
      <sheetName val="Assembly_Bonding_PFC18"/>
      <sheetName val="Assembly_Bonding_PFC_(2)18"/>
      <sheetName val="Assembling_Process18"/>
      <sheetName val="Assembling_Process_(2)18"/>
      <sheetName val="Sockliner_Specification18"/>
      <sheetName val="Upper_Measurement_Spec_18"/>
      <sheetName val="Upper_Weight_Control18"/>
      <sheetName val="Blank_Form18"/>
      <sheetName val="Bottom_Shank_Spray_Painting18"/>
      <sheetName val="Outsole_Molded_Component_Pro_18"/>
      <sheetName val="TPU_Degreasing_Process18"/>
      <sheetName val="Phylon_Degreasing_&amp;_UV-Light_18"/>
      <sheetName val="Stock_Fitting_Process18"/>
      <sheetName val="Stock_Fitting_Process_(2)18"/>
      <sheetName val="Stock_Fitting_Process_(4)18"/>
      <sheetName val="Assembly_BPFC18"/>
      <sheetName val="Assembly_BPFC_(2)18"/>
      <sheetName val="Assembly_BPFC_(3)-射出底18"/>
      <sheetName val="Assembly_BPFC_(4)-射出底18"/>
      <sheetName val="Assembly_BPFC_(3)SU08-射出18"/>
      <sheetName val="QH_업무보고18"/>
      <sheetName val="VS_업무보고18"/>
      <sheetName val="302315-161_218"/>
      <sheetName val="Outsole_Degreaࡳing_Process18"/>
      <sheetName val="Oၵtsole_Color_18"/>
      <sheetName val="Back_Part_MoldingĠSpec_18"/>
      <sheetName val="Raw_Data_Sheet18"/>
      <sheetName val="LBE_PRED_J_HELP18"/>
      <sheetName val="output_per_jam18"/>
      <sheetName val="MLT_18"/>
      <sheetName val="daily_BEP18"/>
      <sheetName val="Upper_Molded_Component_Proces19"/>
      <sheetName val="HF_welded_Specification19"/>
      <sheetName val="HF_welded_Specification_(2)19"/>
      <sheetName val="PU_Midsole_Spec__Set_up19"/>
      <sheetName val="PU__Midsole_Spec_I__19"/>
      <sheetName val="PU_Midsole_Spec__III19"/>
      <sheetName val="PU_Midsole_Pouring_Spec_19"/>
      <sheetName val="Outsole_Color_19"/>
      <sheetName val="Outsole_Preform_Specification19"/>
      <sheetName val="Outsole_Pressing_Process19"/>
      <sheetName val="Outsole_Degreasing_Process19"/>
      <sheetName val="Back_Part_Molding_Spec_19"/>
      <sheetName val="Back_Count_Process_Spec19"/>
      <sheetName val="Production_Checklist19"/>
      <sheetName val="Upper_Measurement_Spec19"/>
      <sheetName val="Index_(1)19"/>
      <sheetName val="Index_(2)19"/>
      <sheetName val="Index_(3)19"/>
      <sheetName val="Molding_Piece_Schedule19"/>
      <sheetName val="Perf_Specification19"/>
      <sheetName val="Logo_Specification19"/>
      <sheetName val="Strap_Specification19"/>
      <sheetName val="Preparation_Process19"/>
      <sheetName val="Edge-Painting_Specifications19"/>
      <sheetName val="Skiving_Instruction19"/>
      <sheetName val="Spliting_Instructions19"/>
      <sheetName val="Tapering_Instructions19"/>
      <sheetName val="Marking_Location19"/>
      <sheetName val="Reinforcement_Placement19"/>
      <sheetName val="Folding_Location19"/>
      <sheetName val="Pre-Buffing_Specification19"/>
      <sheetName val="Computer_Stitching_Schedule19"/>
      <sheetName val="Stitching_Overview_Sketch19"/>
      <sheetName val="Stitching_Instructions_(1)19"/>
      <sheetName val="Stitching_Instructions_(2)19"/>
      <sheetName val="Stitching_Instructions_(3)19"/>
      <sheetName val="Stitching_Instructions_(4)19"/>
      <sheetName val="Upper_Injected_Component_Pro_19"/>
      <sheetName val="Upper_Molded_Component_Pro_19"/>
      <sheetName val="Upper_Sublimation_Process19"/>
      <sheetName val="Upper_HF_Welding_Process19"/>
      <sheetName val="Sockliner_Sublimation_Process19"/>
      <sheetName val="CMP_PHYLON_CSS_CONFIRMATION19"/>
      <sheetName val="Phylon_Midsole_Spec_19"/>
      <sheetName val="PU_CSS_CONFIRMATION19"/>
      <sheetName val="PU_CSS_Schedules19"/>
      <sheetName val="PU_Midsole_Spec_I19"/>
      <sheetName val="Airbag_&amp;Prefit_bonding_PFC19"/>
      <sheetName val="Airbag_&amp;_Prefit_Bonding_PFC19"/>
      <sheetName val="Airbag_&amp;_Prefit_Bonding_PFC_(46"/>
      <sheetName val="Airbag_&amp;_Prefit_Bonding_PFC_(47"/>
      <sheetName val="Stockfit_Bonding_PFC19"/>
      <sheetName val="Assembly_Bonding_PFC19"/>
      <sheetName val="Assembly_Bonding_PFC_(2)19"/>
      <sheetName val="Assembling_Process19"/>
      <sheetName val="Assembling_Process_(2)19"/>
      <sheetName val="Sockliner_Specification19"/>
      <sheetName val="Upper_Measurement_Spec_19"/>
      <sheetName val="Upper_Weight_Control19"/>
      <sheetName val="Blank_Form19"/>
      <sheetName val="Bottom_Shank_Spray_Painting19"/>
      <sheetName val="Outsole_Molded_Component_Pro_19"/>
      <sheetName val="TPU_Degreasing_Process19"/>
      <sheetName val="Phylon_Degreasing_&amp;_UV-Light_19"/>
      <sheetName val="Stock_Fitting_Process19"/>
      <sheetName val="Stock_Fitting_Process_(2)19"/>
      <sheetName val="Stock_Fitting_Process_(4)19"/>
      <sheetName val="Assembly_BPFC19"/>
      <sheetName val="Assembly_BPFC_(2)19"/>
      <sheetName val="Assembly_BPFC_(3)-射出底19"/>
      <sheetName val="Assembly_BPFC_(4)-射出底19"/>
      <sheetName val="Assembly_BPFC_(3)SU08-射出19"/>
      <sheetName val="QH_업무보고19"/>
      <sheetName val="VS_업무보고19"/>
      <sheetName val="302315-161_219"/>
      <sheetName val="Outsole_Degreaࡳing_Process19"/>
      <sheetName val="Oၵtsole_Color_19"/>
      <sheetName val="Back_Part_MoldingĠSpec_19"/>
      <sheetName val="Raw_Data_Sheet19"/>
      <sheetName val="LBE_PRED_J_HELP19"/>
      <sheetName val="output_per_jam19"/>
      <sheetName val="MLT_19"/>
      <sheetName val="daily_BEP19"/>
      <sheetName val="Upper_Molded_Component_Proces20"/>
      <sheetName val="HF_welded_Specification20"/>
      <sheetName val="HF_welded_Specification_(2)20"/>
      <sheetName val="PU_Midsole_Spec__Set_up20"/>
      <sheetName val="PU__Midsole_Spec_I__20"/>
      <sheetName val="PU_Midsole_Spec__III20"/>
      <sheetName val="PU_Midsole_Pouring_Spec_20"/>
      <sheetName val="Outsole_Color_20"/>
      <sheetName val="Outsole_Preform_Specification20"/>
      <sheetName val="Outsole_Pressing_Process20"/>
      <sheetName val="Outsole_Degreasing_Process20"/>
      <sheetName val="Back_Part_Molding_Spec_20"/>
      <sheetName val="Back_Count_Process_Spec20"/>
      <sheetName val="Production_Checklist20"/>
      <sheetName val="Upper_Measurement_Spec20"/>
      <sheetName val="Index_(1)20"/>
      <sheetName val="Index_(2)20"/>
      <sheetName val="Index_(3)20"/>
      <sheetName val="Molding_Piece_Schedule20"/>
      <sheetName val="Perf_Specification20"/>
      <sheetName val="Logo_Specification20"/>
      <sheetName val="Strap_Specification20"/>
      <sheetName val="Preparation_Process20"/>
      <sheetName val="Edge-Painting_Specifications20"/>
      <sheetName val="Skiving_Instruction20"/>
      <sheetName val="Spliting_Instructions20"/>
      <sheetName val="Tapering_Instructions20"/>
      <sheetName val="Marking_Location20"/>
      <sheetName val="Reinforcement_Placement20"/>
      <sheetName val="Folding_Location20"/>
      <sheetName val="Pre-Buffing_Specification20"/>
      <sheetName val="Computer_Stitching_Schedule20"/>
      <sheetName val="Stitching_Overview_Sketch20"/>
      <sheetName val="Stitching_Instructions_(1)20"/>
      <sheetName val="Stitching_Instructions_(2)20"/>
      <sheetName val="Stitching_Instructions_(3)20"/>
      <sheetName val="Stitching_Instructions_(4)20"/>
      <sheetName val="Upper_Injected_Component_Pro_20"/>
      <sheetName val="Upper_Molded_Component_Pro_20"/>
      <sheetName val="Upper_Sublimation_Process20"/>
      <sheetName val="Upper_HF_Welding_Process20"/>
      <sheetName val="Sockliner_Sublimation_Process20"/>
      <sheetName val="CMP_PHYLON_CSS_CONFIRMATION20"/>
      <sheetName val="Phylon_Midsole_Spec_20"/>
      <sheetName val="PU_CSS_CONFIRMATION20"/>
      <sheetName val="PU_CSS_Schedules20"/>
      <sheetName val="PU_Midsole_Spec_I20"/>
      <sheetName val="Airbag_&amp;Prefit_bonding_PFC20"/>
      <sheetName val="Airbag_&amp;_Prefit_Bonding_PFC20"/>
      <sheetName val="Airbag_&amp;_Prefit_Bonding_PFC_(48"/>
      <sheetName val="Airbag_&amp;_Prefit_Bonding_PFC_(49"/>
      <sheetName val="Stockfit_Bonding_PFC20"/>
      <sheetName val="Assembly_Bonding_PFC20"/>
      <sheetName val="Assembly_Bonding_PFC_(2)20"/>
      <sheetName val="Assembling_Process20"/>
      <sheetName val="Assembling_Process_(2)20"/>
      <sheetName val="Sockliner_Specification20"/>
      <sheetName val="Upper_Measurement_Spec_20"/>
      <sheetName val="Upper_Weight_Control20"/>
      <sheetName val="Blank_Form20"/>
      <sheetName val="Bottom_Shank_Spray_Painting20"/>
      <sheetName val="Outsole_Molded_Component_Pro_20"/>
      <sheetName val="TPU_Degreasing_Process20"/>
      <sheetName val="Phylon_Degreasing_&amp;_UV-Light_20"/>
      <sheetName val="Stock_Fitting_Process20"/>
      <sheetName val="Stock_Fitting_Process_(2)20"/>
      <sheetName val="Stock_Fitting_Process_(4)20"/>
      <sheetName val="Assembly_BPFC20"/>
      <sheetName val="Assembly_BPFC_(2)20"/>
      <sheetName val="Assembly_BPFC_(3)-射出底20"/>
      <sheetName val="Assembly_BPFC_(4)-射出底20"/>
      <sheetName val="Assembly_BPFC_(3)SU08-射出20"/>
      <sheetName val="QH_업무보고20"/>
      <sheetName val="VS_업무보고20"/>
      <sheetName val="302315-161_220"/>
      <sheetName val="Outsole_Degreaࡳing_Process20"/>
      <sheetName val="Oၵtsole_Color_20"/>
      <sheetName val="Back_Part_MoldingĠSpec_20"/>
      <sheetName val="Raw_Data_Sheet20"/>
      <sheetName val="LBE_PRED_J_HELP20"/>
      <sheetName val="output_per_jam20"/>
      <sheetName val="MLT_20"/>
      <sheetName val="daily_BEP20"/>
      <sheetName val="Upper_Molded_Component_Proces21"/>
      <sheetName val="HF_welded_Specification21"/>
      <sheetName val="HF_welded_Specification_(2)21"/>
      <sheetName val="PU_Midsole_Spec__Set_up21"/>
      <sheetName val="PU__Midsole_Spec_I__21"/>
      <sheetName val="PU_Midsole_Spec__III21"/>
      <sheetName val="PU_Midsole_Pouring_Spec_21"/>
      <sheetName val="Outsole_Color_21"/>
      <sheetName val="Outsole_Preform_Specification21"/>
      <sheetName val="Outsole_Pressing_Process21"/>
      <sheetName val="Outsole_Degreasing_Process21"/>
      <sheetName val="Back_Part_Molding_Spec_21"/>
      <sheetName val="Back_Count_Process_Spec21"/>
      <sheetName val="Production_Checklist21"/>
      <sheetName val="Upper_Measurement_Spec21"/>
      <sheetName val="Index_(1)21"/>
      <sheetName val="Index_(2)21"/>
      <sheetName val="Index_(3)21"/>
      <sheetName val="Molding_Piece_Schedule21"/>
      <sheetName val="Perf_Specification21"/>
      <sheetName val="Logo_Specification21"/>
      <sheetName val="Strap_Specification21"/>
      <sheetName val="Preparation_Process21"/>
      <sheetName val="Edge-Painting_Specifications21"/>
      <sheetName val="Skiving_Instruction21"/>
      <sheetName val="Spliting_Instructions21"/>
      <sheetName val="Tapering_Instructions21"/>
      <sheetName val="Marking_Location21"/>
      <sheetName val="Reinforcement_Placement21"/>
      <sheetName val="Folding_Location21"/>
      <sheetName val="Pre-Buffing_Specification21"/>
      <sheetName val="Computer_Stitching_Schedule21"/>
      <sheetName val="Stitching_Overview_Sketch21"/>
      <sheetName val="Stitching_Instructions_(1)21"/>
      <sheetName val="Stitching_Instructions_(2)21"/>
      <sheetName val="Stitching_Instructions_(3)21"/>
      <sheetName val="Stitching_Instructions_(4)21"/>
      <sheetName val="Upper_Injected_Component_Pro_21"/>
      <sheetName val="Upper_Molded_Component_Pro_21"/>
      <sheetName val="Upper_Sublimation_Process21"/>
      <sheetName val="Upper_HF_Welding_Process21"/>
      <sheetName val="Sockliner_Sublimation_Process21"/>
      <sheetName val="CMP_PHYLON_CSS_CONFIRMATION21"/>
      <sheetName val="Phylon_Midsole_Spec_21"/>
      <sheetName val="PU_CSS_CONFIRMATION21"/>
      <sheetName val="PU_CSS_Schedules21"/>
      <sheetName val="PU_Midsole_Spec_I21"/>
      <sheetName val="Airbag_&amp;Prefit_bonding_PFC21"/>
      <sheetName val="Airbag_&amp;_Prefit_Bonding_PFC21"/>
      <sheetName val="Airbag_&amp;_Prefit_Bonding_PFC_(50"/>
      <sheetName val="Airbag_&amp;_Prefit_Bonding_PFC_(51"/>
      <sheetName val="Stockfit_Bonding_PFC21"/>
      <sheetName val="Assembly_Bonding_PFC21"/>
      <sheetName val="Assembly_Bonding_PFC_(2)21"/>
      <sheetName val="Assembling_Process21"/>
      <sheetName val="Assembling_Process_(2)21"/>
      <sheetName val="Sockliner_Specification21"/>
      <sheetName val="Upper_Measurement_Spec_21"/>
      <sheetName val="Upper_Weight_Control21"/>
      <sheetName val="Blank_Form21"/>
      <sheetName val="Bottom_Shank_Spray_Painting21"/>
      <sheetName val="Outsole_Molded_Component_Pro_21"/>
      <sheetName val="TPU_Degreasing_Process21"/>
      <sheetName val="Phylon_Degreasing_&amp;_UV-Light_21"/>
      <sheetName val="Stock_Fitting_Process21"/>
      <sheetName val="Stock_Fitting_Process_(2)21"/>
      <sheetName val="Stock_Fitting_Process_(4)21"/>
      <sheetName val="Assembly_BPFC21"/>
      <sheetName val="Assembly_BPFC_(2)21"/>
      <sheetName val="Assembly_BPFC_(3)-射出底21"/>
      <sheetName val="Assembly_BPFC_(4)-射出底21"/>
      <sheetName val="Assembly_BPFC_(3)SU08-射出21"/>
      <sheetName val="QH_업무보고21"/>
      <sheetName val="VS_업무보고21"/>
      <sheetName val="302315-161_221"/>
      <sheetName val="Outsole_Degreaࡳing_Process21"/>
      <sheetName val="Oၵtsole_Color_21"/>
      <sheetName val="Back_Part_MoldingĠSpec_21"/>
      <sheetName val="Raw_Data_Sheet21"/>
      <sheetName val="LBE_PRED_J_HELP21"/>
      <sheetName val="output_per_jam21"/>
      <sheetName val="MLT_21"/>
      <sheetName val="daily_BEP21"/>
      <sheetName val="Upper_Molded_Component_Proces22"/>
      <sheetName val="HF_welded_Specification22"/>
      <sheetName val="HF_welded_Specification_(2)22"/>
      <sheetName val="PU_Midsole_Spec__Set_up22"/>
      <sheetName val="PU__Midsole_Spec_I__22"/>
      <sheetName val="PU_Midsole_Spec__III22"/>
      <sheetName val="PU_Midsole_Pouring_Spec_22"/>
      <sheetName val="Outsole_Color_22"/>
      <sheetName val="Outsole_Preform_Specification22"/>
      <sheetName val="Outsole_Pressing_Process22"/>
      <sheetName val="Outsole_Degreasing_Process22"/>
      <sheetName val="Back_Part_Molding_Spec_22"/>
      <sheetName val="Back_Count_Process_Spec22"/>
      <sheetName val="Production_Checklist22"/>
      <sheetName val="Upper_Measurement_Spec22"/>
      <sheetName val="Index_(1)22"/>
      <sheetName val="Index_(2)22"/>
      <sheetName val="Index_(3)22"/>
      <sheetName val="Molding_Piece_Schedule22"/>
      <sheetName val="Perf_Specification22"/>
      <sheetName val="Logo_Specification22"/>
      <sheetName val="Strap_Specification22"/>
      <sheetName val="Preparation_Process22"/>
      <sheetName val="Edge-Painting_Specifications22"/>
      <sheetName val="Skiving_Instruction22"/>
      <sheetName val="Spliting_Instructions22"/>
      <sheetName val="Tapering_Instructions22"/>
      <sheetName val="Marking_Location22"/>
      <sheetName val="Reinforcement_Placement22"/>
      <sheetName val="Folding_Location22"/>
      <sheetName val="Pre-Buffing_Specification22"/>
      <sheetName val="Computer_Stitching_Schedule22"/>
      <sheetName val="Stitching_Overview_Sketch22"/>
      <sheetName val="Stitching_Instructions_(1)22"/>
      <sheetName val="Stitching_Instructions_(2)22"/>
      <sheetName val="Stitching_Instructions_(3)22"/>
      <sheetName val="Stitching_Instructions_(4)22"/>
      <sheetName val="Upper_Injected_Component_Pro_22"/>
      <sheetName val="Upper_Molded_Component_Pro_22"/>
      <sheetName val="Upper_Sublimation_Process22"/>
      <sheetName val="Upper_HF_Welding_Process22"/>
      <sheetName val="Sockliner_Sublimation_Process22"/>
      <sheetName val="CMP_PHYLON_CSS_CONFIRMATION22"/>
      <sheetName val="Phylon_Midsole_Spec_22"/>
      <sheetName val="PU_CSS_CONFIRMATION22"/>
      <sheetName val="PU_CSS_Schedules22"/>
      <sheetName val="PU_Midsole_Spec_I22"/>
      <sheetName val="Airbag_&amp;Prefit_bonding_PFC22"/>
      <sheetName val="Airbag_&amp;_Prefit_Bonding_PFC22"/>
      <sheetName val="Airbag_&amp;_Prefit_Bonding_PFC_(52"/>
      <sheetName val="Airbag_&amp;_Prefit_Bonding_PFC_(53"/>
      <sheetName val="Stockfit_Bonding_PFC22"/>
      <sheetName val="Assembly_Bonding_PFC22"/>
      <sheetName val="Assembly_Bonding_PFC_(2)22"/>
      <sheetName val="Assembling_Process22"/>
      <sheetName val="Assembling_Process_(2)22"/>
      <sheetName val="Sockliner_Specification22"/>
      <sheetName val="Upper_Measurement_Spec_22"/>
      <sheetName val="Upper_Weight_Control22"/>
      <sheetName val="Blank_Form22"/>
      <sheetName val="Bottom_Shank_Spray_Painting22"/>
      <sheetName val="Outsole_Molded_Component_Pro_22"/>
      <sheetName val="TPU_Degreasing_Process22"/>
      <sheetName val="Phylon_Degreasing_&amp;_UV-Light_22"/>
      <sheetName val="Stock_Fitting_Process22"/>
      <sheetName val="Stock_Fitting_Process_(2)22"/>
      <sheetName val="Stock_Fitting_Process_(4)22"/>
      <sheetName val="Assembly_BPFC22"/>
      <sheetName val="Assembly_BPFC_(2)22"/>
      <sheetName val="Assembly_BPFC_(3)-射出底22"/>
      <sheetName val="Assembly_BPFC_(4)-射出底22"/>
      <sheetName val="Assembly_BPFC_(3)SU08-射出22"/>
      <sheetName val="QH_업무보고22"/>
      <sheetName val="VS_업무보고22"/>
      <sheetName val="302315-161_222"/>
      <sheetName val="Outsole_Degreaࡳing_Process22"/>
      <sheetName val="Oၵtsole_Color_22"/>
      <sheetName val="Back_Part_MoldingĠSpec_22"/>
      <sheetName val="Raw_Data_Sheet22"/>
      <sheetName val="LBE_PRED_J_HELP22"/>
      <sheetName val="output_per_jam22"/>
      <sheetName val="MLT_22"/>
      <sheetName val="daily_BEP22"/>
      <sheetName val="Upper_Molded_Component_Proces23"/>
      <sheetName val="HF_welded_Specification23"/>
      <sheetName val="HF_welded_Specification_(2)23"/>
      <sheetName val="PU_Midsole_Spec__Set_up23"/>
      <sheetName val="PU__Midsole_Spec_I__23"/>
      <sheetName val="PU_Midsole_Spec__III23"/>
      <sheetName val="PU_Midsole_Pouring_Spec_23"/>
      <sheetName val="Outsole_Color_23"/>
      <sheetName val="Outsole_Preform_Specification23"/>
      <sheetName val="Outsole_Pressing_Process23"/>
      <sheetName val="Outsole_Degreasing_Process23"/>
      <sheetName val="Back_Part_Molding_Spec_23"/>
      <sheetName val="Back_Count_Process_Spec23"/>
      <sheetName val="Production_Checklist23"/>
      <sheetName val="Upper_Measurement_Spec23"/>
      <sheetName val="Index_(1)23"/>
      <sheetName val="Index_(2)23"/>
      <sheetName val="Index_(3)23"/>
      <sheetName val="Molding_Piece_Schedule23"/>
      <sheetName val="Perf_Specification23"/>
      <sheetName val="Logo_Specification23"/>
      <sheetName val="Strap_Specification23"/>
      <sheetName val="Preparation_Process23"/>
      <sheetName val="Edge-Painting_Specifications23"/>
      <sheetName val="Skiving_Instruction23"/>
      <sheetName val="Spliting_Instructions23"/>
      <sheetName val="Tapering_Instructions23"/>
      <sheetName val="Marking_Location23"/>
      <sheetName val="Reinforcement_Placement23"/>
      <sheetName val="Folding_Location23"/>
      <sheetName val="Pre-Buffing_Specification23"/>
      <sheetName val="Computer_Stitching_Schedule23"/>
      <sheetName val="Stitching_Overview_Sketch23"/>
      <sheetName val="Stitching_Instructions_(1)23"/>
      <sheetName val="Stitching_Instructions_(2)23"/>
      <sheetName val="Stitching_Instructions_(3)23"/>
      <sheetName val="Stitching_Instructions_(4)23"/>
      <sheetName val="Upper_Injected_Component_Pro_23"/>
      <sheetName val="Upper_Molded_Component_Pro_23"/>
      <sheetName val="Upper_Sublimation_Process23"/>
      <sheetName val="Upper_HF_Welding_Process23"/>
      <sheetName val="Sockliner_Sublimation_Process23"/>
      <sheetName val="CMP_PHYLON_CSS_CONFIRMATION23"/>
      <sheetName val="Phylon_Midsole_Spec_23"/>
      <sheetName val="PU_CSS_CONFIRMATION23"/>
      <sheetName val="PU_CSS_Schedules23"/>
      <sheetName val="PU_Midsole_Spec_I23"/>
      <sheetName val="Airbag_&amp;Prefit_bonding_PFC23"/>
      <sheetName val="Airbag_&amp;_Prefit_Bonding_PFC23"/>
      <sheetName val="Airbag_&amp;_Prefit_Bonding_PFC_(54"/>
      <sheetName val="Airbag_&amp;_Prefit_Bonding_PFC_(55"/>
      <sheetName val="Stockfit_Bonding_PFC23"/>
      <sheetName val="Assembly_Bonding_PFC23"/>
      <sheetName val="Assembly_Bonding_PFC_(2)23"/>
      <sheetName val="Assembling_Process23"/>
      <sheetName val="Assembling_Process_(2)23"/>
      <sheetName val="Sockliner_Specification23"/>
      <sheetName val="Upper_Measurement_Spec_23"/>
      <sheetName val="Upper_Weight_Control23"/>
      <sheetName val="Blank_Form23"/>
      <sheetName val="Bottom_Shank_Spray_Painting23"/>
      <sheetName val="Outsole_Molded_Component_Pro_23"/>
      <sheetName val="TPU_Degreasing_Process23"/>
      <sheetName val="Phylon_Degreasing_&amp;_UV-Light_23"/>
      <sheetName val="Stock_Fitting_Process23"/>
      <sheetName val="Stock_Fitting_Process_(2)23"/>
      <sheetName val="Stock_Fitting_Process_(4)23"/>
      <sheetName val="Assembly_BPFC23"/>
      <sheetName val="Assembly_BPFC_(2)23"/>
      <sheetName val="Assembly_BPFC_(3)-射出底23"/>
      <sheetName val="Assembly_BPFC_(4)-射出底23"/>
      <sheetName val="Assembly_BPFC_(3)SU08-射出23"/>
      <sheetName val="QH_업무보고23"/>
      <sheetName val="VS_업무보고23"/>
      <sheetName val="302315-161_223"/>
      <sheetName val="Outsole_Degreaࡳing_Process23"/>
      <sheetName val="Oၵtsole_Color_23"/>
      <sheetName val="Back_Part_MoldingĠSpec_23"/>
      <sheetName val="Raw_Data_Sheet23"/>
      <sheetName val="LBE_PRED_J_HELP23"/>
      <sheetName val="output_per_jam23"/>
      <sheetName val="MLT_23"/>
      <sheetName val="daily_BEP23"/>
      <sheetName val="Upper_Molded_Component_Proces24"/>
      <sheetName val="HF_welded_Specification24"/>
      <sheetName val="HF_welded_Specification_(2)24"/>
      <sheetName val="PU_Midsole_Spec__Set_up24"/>
      <sheetName val="PU__Midsole_Spec_I__24"/>
      <sheetName val="PU_Midsole_Spec__III24"/>
      <sheetName val="PU_Midsole_Pouring_Spec_24"/>
      <sheetName val="Outsole_Color_24"/>
      <sheetName val="Outsole_Preform_Specification24"/>
      <sheetName val="Outsole_Pressing_Process24"/>
      <sheetName val="Outsole_Degreasing_Process24"/>
      <sheetName val="Back_Part_Molding_Spec_24"/>
      <sheetName val="Back_Count_Process_Spec24"/>
      <sheetName val="Production_Checklist24"/>
      <sheetName val="Upper_Measurement_Spec24"/>
      <sheetName val="Index_(1)24"/>
      <sheetName val="Index_(2)24"/>
      <sheetName val="Index_(3)24"/>
      <sheetName val="Molding_Piece_Schedule24"/>
      <sheetName val="Perf_Specification24"/>
      <sheetName val="Logo_Specification24"/>
      <sheetName val="Strap_Specification24"/>
      <sheetName val="Preparation_Process24"/>
      <sheetName val="Edge-Painting_Specifications24"/>
      <sheetName val="Skiving_Instruction24"/>
      <sheetName val="Spliting_Instructions24"/>
      <sheetName val="Tapering_Instructions24"/>
      <sheetName val="Marking_Location24"/>
      <sheetName val="Reinforcement_Placement24"/>
      <sheetName val="Folding_Location24"/>
      <sheetName val="Pre-Buffing_Specification24"/>
      <sheetName val="Computer_Stitching_Schedule24"/>
      <sheetName val="Stitching_Overview_Sketch24"/>
      <sheetName val="Stitching_Instructions_(1)24"/>
      <sheetName val="Stitching_Instructions_(2)24"/>
      <sheetName val="Stitching_Instructions_(3)24"/>
      <sheetName val="Stitching_Instructions_(4)24"/>
      <sheetName val="Upper_Injected_Component_Pro_24"/>
      <sheetName val="Upper_Molded_Component_Pro_24"/>
      <sheetName val="Upper_Sublimation_Process24"/>
      <sheetName val="Upper_HF_Welding_Process24"/>
      <sheetName val="Sockliner_Sublimation_Process24"/>
      <sheetName val="CMP_PHYLON_CSS_CONFIRMATION24"/>
      <sheetName val="Phylon_Midsole_Spec_24"/>
      <sheetName val="PU_CSS_CONFIRMATION24"/>
      <sheetName val="PU_CSS_Schedules24"/>
      <sheetName val="PU_Midsole_Spec_I24"/>
      <sheetName val="Airbag_&amp;Prefit_bonding_PFC24"/>
      <sheetName val="Airbag_&amp;_Prefit_Bonding_PFC24"/>
      <sheetName val="Airbag_&amp;_Prefit_Bonding_PFC_(56"/>
      <sheetName val="Airbag_&amp;_Prefit_Bonding_PFC_(57"/>
      <sheetName val="Stockfit_Bonding_PFC24"/>
      <sheetName val="Assembly_Bonding_PFC24"/>
      <sheetName val="Assembly_Bonding_PFC_(2)24"/>
      <sheetName val="Assembling_Process24"/>
      <sheetName val="Assembling_Process_(2)24"/>
      <sheetName val="Sockliner_Specification24"/>
      <sheetName val="Upper_Measurement_Spec_24"/>
      <sheetName val="Upper_Weight_Control24"/>
      <sheetName val="Blank_Form24"/>
      <sheetName val="Bottom_Shank_Spray_Painting24"/>
      <sheetName val="Outsole_Molded_Component_Pro_24"/>
      <sheetName val="TPU_Degreasing_Process24"/>
      <sheetName val="Phylon_Degreasing_&amp;_UV-Light_24"/>
      <sheetName val="Stock_Fitting_Process24"/>
      <sheetName val="Stock_Fitting_Process_(2)24"/>
      <sheetName val="Stock_Fitting_Process_(4)24"/>
      <sheetName val="Assembly_BPFC24"/>
      <sheetName val="Assembly_BPFC_(2)24"/>
      <sheetName val="Assembly_BPFC_(3)-射出底24"/>
      <sheetName val="Assembly_BPFC_(4)-射出底24"/>
      <sheetName val="Assembly_BPFC_(3)SU08-射出24"/>
      <sheetName val="QH_업무보고24"/>
      <sheetName val="VS_업무보고24"/>
      <sheetName val="302315-161_224"/>
      <sheetName val="Outsole_Degreaࡳing_Process24"/>
      <sheetName val="Oၵtsole_Color_24"/>
      <sheetName val="Back_Part_MoldingĠSpec_24"/>
      <sheetName val="Raw_Data_Sheet24"/>
      <sheetName val="LBE_PRED_J_HELP24"/>
      <sheetName val="output_per_jam24"/>
      <sheetName val="MLT_24"/>
      <sheetName val="daily_BEP24"/>
      <sheetName val="Upper_Molded_Component_Proces25"/>
      <sheetName val="HF_welded_Specification25"/>
      <sheetName val="HF_welded_Specification_(2)25"/>
      <sheetName val="PU_Midsole_Spec__Set_up25"/>
      <sheetName val="PU__Midsole_Spec_I__25"/>
      <sheetName val="PU_Midsole_Spec__III25"/>
      <sheetName val="PU_Midsole_Pouring_Spec_25"/>
      <sheetName val="Outsole_Color_25"/>
      <sheetName val="Outsole_Preform_Specification25"/>
      <sheetName val="Outsole_Pressing_Process25"/>
      <sheetName val="Outsole_Degreasing_Process25"/>
      <sheetName val="Back_Part_Molding_Spec_25"/>
      <sheetName val="Back_Count_Process_Spec25"/>
      <sheetName val="Production_Checklist25"/>
      <sheetName val="Upper_Measurement_Spec25"/>
      <sheetName val="Index_(1)25"/>
      <sheetName val="Index_(2)25"/>
      <sheetName val="Index_(3)25"/>
      <sheetName val="Molding_Piece_Schedule25"/>
      <sheetName val="Perf_Specification25"/>
      <sheetName val="Logo_Specification25"/>
      <sheetName val="Strap_Specification25"/>
      <sheetName val="Preparation_Process25"/>
      <sheetName val="Edge-Painting_Specifications25"/>
      <sheetName val="Skiving_Instruction25"/>
      <sheetName val="Spliting_Instructions25"/>
      <sheetName val="Tapering_Instructions25"/>
      <sheetName val="Marking_Location25"/>
      <sheetName val="Reinforcement_Placement25"/>
      <sheetName val="Folding_Location25"/>
      <sheetName val="Pre-Buffing_Specification25"/>
      <sheetName val="Computer_Stitching_Schedule25"/>
      <sheetName val="Stitching_Overview_Sketch25"/>
      <sheetName val="Stitching_Instructions_(1)25"/>
      <sheetName val="Stitching_Instructions_(2)25"/>
      <sheetName val="Stitching_Instructions_(3)25"/>
      <sheetName val="Stitching_Instructions_(4)25"/>
      <sheetName val="Upper_Injected_Component_Pro_25"/>
      <sheetName val="Upper_Molded_Component_Pro_25"/>
      <sheetName val="Upper_Sublimation_Process25"/>
      <sheetName val="Upper_HF_Welding_Process25"/>
      <sheetName val="Sockliner_Sublimation_Process25"/>
      <sheetName val="CMP_PHYLON_CSS_CONFIRMATION25"/>
      <sheetName val="Phylon_Midsole_Spec_25"/>
      <sheetName val="PU_CSS_CONFIRMATION25"/>
      <sheetName val="PU_CSS_Schedules25"/>
      <sheetName val="PU_Midsole_Spec_I25"/>
      <sheetName val="Airbag_&amp;Prefit_bonding_PFC25"/>
      <sheetName val="Airbag_&amp;_Prefit_Bonding_PFC25"/>
      <sheetName val="Airbag_&amp;_Prefit_Bonding_PFC_(58"/>
      <sheetName val="Airbag_&amp;_Prefit_Bonding_PFC_(59"/>
      <sheetName val="Stockfit_Bonding_PFC25"/>
      <sheetName val="Assembly_Bonding_PFC25"/>
      <sheetName val="Assembly_Bonding_PFC_(2)25"/>
      <sheetName val="Assembling_Process25"/>
      <sheetName val="Assembling_Process_(2)25"/>
      <sheetName val="Sockliner_Specification25"/>
      <sheetName val="Upper_Measurement_Spec_25"/>
      <sheetName val="Upper_Weight_Control25"/>
      <sheetName val="Blank_Form25"/>
      <sheetName val="Bottom_Shank_Spray_Painting25"/>
      <sheetName val="Outsole_Molded_Component_Pro_25"/>
      <sheetName val="TPU_Degreasing_Process25"/>
      <sheetName val="Phylon_Degreasing_&amp;_UV-Light_25"/>
      <sheetName val="Stock_Fitting_Process25"/>
      <sheetName val="Stock_Fitting_Process_(2)25"/>
      <sheetName val="Stock_Fitting_Process_(4)25"/>
      <sheetName val="Assembly_BPFC25"/>
      <sheetName val="Assembly_BPFC_(2)25"/>
      <sheetName val="Assembly_BPFC_(3)-射出底25"/>
      <sheetName val="Assembly_BPFC_(4)-射出底25"/>
      <sheetName val="Assembly_BPFC_(3)SU08-射出25"/>
      <sheetName val="QH_업무보고25"/>
      <sheetName val="VS_업무보고25"/>
      <sheetName val="302315-161_225"/>
      <sheetName val="Outsole_Degreaࡳing_Process25"/>
      <sheetName val="Oၵtsole_Color_25"/>
      <sheetName val="Back_Part_MoldingĠSpec_25"/>
      <sheetName val="Raw_Data_Sheet25"/>
      <sheetName val="LBE_PRED_J_HELP25"/>
      <sheetName val="output_per_jam25"/>
      <sheetName val="MLT_25"/>
      <sheetName val="daily_BEP25"/>
      <sheetName val="Upper_Molded_Component_Proces26"/>
      <sheetName val="HF_welded_Specification26"/>
      <sheetName val="HF_welded_Specification_(2)26"/>
      <sheetName val="PU_Midsole_Spec__Set_up26"/>
      <sheetName val="PU__Midsole_Spec_I__26"/>
      <sheetName val="PU_Midsole_Spec__III26"/>
      <sheetName val="PU_Midsole_Pouring_Spec_26"/>
      <sheetName val="Outsole_Color_26"/>
      <sheetName val="Outsole_Preform_Specification26"/>
      <sheetName val="Outsole_Pressing_Process26"/>
      <sheetName val="Outsole_Degreasing_Process26"/>
      <sheetName val="Back_Part_Molding_Spec_26"/>
      <sheetName val="Back_Count_Process_Spec26"/>
      <sheetName val="Production_Checklist26"/>
      <sheetName val="Upper_Measurement_Spec26"/>
      <sheetName val="Index_(1)26"/>
      <sheetName val="Index_(2)26"/>
      <sheetName val="Index_(3)26"/>
      <sheetName val="Molding_Piece_Schedule26"/>
      <sheetName val="Perf_Specification26"/>
      <sheetName val="Logo_Specification26"/>
      <sheetName val="Strap_Specification26"/>
      <sheetName val="Preparation_Process26"/>
      <sheetName val="Edge-Painting_Specifications26"/>
      <sheetName val="Skiving_Instruction26"/>
      <sheetName val="Spliting_Instructions26"/>
      <sheetName val="Tapering_Instructions26"/>
      <sheetName val="Marking_Location26"/>
      <sheetName val="Reinforcement_Placement26"/>
      <sheetName val="Folding_Location26"/>
      <sheetName val="Pre-Buffing_Specification26"/>
      <sheetName val="Computer_Stitching_Schedule26"/>
      <sheetName val="Stitching_Overview_Sketch26"/>
      <sheetName val="Stitching_Instructions_(1)26"/>
      <sheetName val="Stitching_Instructions_(2)26"/>
      <sheetName val="Stitching_Instructions_(3)26"/>
      <sheetName val="Stitching_Instructions_(4)26"/>
      <sheetName val="Upper_Injected_Component_Pro_26"/>
      <sheetName val="Upper_Molded_Component_Pro_26"/>
      <sheetName val="Upper_Sublimation_Process26"/>
      <sheetName val="Upper_HF_Welding_Process26"/>
      <sheetName val="Sockliner_Sublimation_Process26"/>
      <sheetName val="CMP_PHYLON_CSS_CONFIRMATION26"/>
      <sheetName val="Phylon_Midsole_Spec_26"/>
      <sheetName val="PU_CSS_CONFIRMATION26"/>
      <sheetName val="PU_CSS_Schedules26"/>
      <sheetName val="PU_Midsole_Spec_I26"/>
      <sheetName val="Airbag_&amp;Prefit_bonding_PFC26"/>
      <sheetName val="Airbag_&amp;_Prefit_Bonding_PFC26"/>
      <sheetName val="Airbag_&amp;_Prefit_Bonding_PFC_(60"/>
      <sheetName val="Airbag_&amp;_Prefit_Bonding_PFC_(61"/>
      <sheetName val="Stockfit_Bonding_PFC26"/>
      <sheetName val="Assembly_Bonding_PFC26"/>
      <sheetName val="Assembly_Bonding_PFC_(2)26"/>
      <sheetName val="Assembling_Process26"/>
      <sheetName val="Assembling_Process_(2)26"/>
      <sheetName val="Sockliner_Specification26"/>
      <sheetName val="Upper_Measurement_Spec_26"/>
      <sheetName val="Upper_Weight_Control26"/>
      <sheetName val="Blank_Form26"/>
      <sheetName val="Bottom_Shank_Spray_Painting26"/>
      <sheetName val="Outsole_Molded_Component_Pro_26"/>
      <sheetName val="TPU_Degreasing_Process26"/>
      <sheetName val="Phylon_Degreasing_&amp;_UV-Light_26"/>
      <sheetName val="Stock_Fitting_Process26"/>
      <sheetName val="Stock_Fitting_Process_(2)26"/>
      <sheetName val="Stock_Fitting_Process_(4)26"/>
      <sheetName val="Assembly_BPFC26"/>
      <sheetName val="Assembly_BPFC_(2)26"/>
      <sheetName val="Assembly_BPFC_(3)-射出底26"/>
      <sheetName val="Assembly_BPFC_(4)-射出底26"/>
      <sheetName val="Assembly_BPFC_(3)SU08-射出26"/>
      <sheetName val="QH_업무보고26"/>
      <sheetName val="VS_업무보고26"/>
      <sheetName val="302315-161_226"/>
      <sheetName val="Outsole_Degreaࡳing_Process26"/>
      <sheetName val="Oၵtsole_Color_26"/>
      <sheetName val="Back_Part_MoldingĠSpec_26"/>
      <sheetName val="Raw_Data_Sheet26"/>
      <sheetName val="LBE_PRED_J_HELP26"/>
      <sheetName val="output_per_jam26"/>
      <sheetName val="MLT_26"/>
      <sheetName val="daily_BEP26"/>
      <sheetName val="Upper_Molded_Component_Proces27"/>
      <sheetName val="HF_welded_Specification27"/>
      <sheetName val="HF_welded_Specification_(2)27"/>
      <sheetName val="PU_Midsole_Spec__Set_up27"/>
      <sheetName val="PU__Midsole_Spec_I__27"/>
      <sheetName val="PU_Midsole_Spec__III27"/>
      <sheetName val="PU_Midsole_Pouring_Spec_27"/>
      <sheetName val="Outsole_Color_27"/>
      <sheetName val="Outsole_Preform_Specification27"/>
      <sheetName val="Outsole_Pressing_Process27"/>
      <sheetName val="Outsole_Degreasing_Process27"/>
      <sheetName val="Back_Part_Molding_Spec_27"/>
      <sheetName val="Back_Count_Process_Spec27"/>
      <sheetName val="Production_Checklist27"/>
      <sheetName val="Upper_Measurement_Spec27"/>
      <sheetName val="Index_(1)27"/>
      <sheetName val="Index_(2)27"/>
      <sheetName val="Index_(3)27"/>
      <sheetName val="Molding_Piece_Schedule27"/>
      <sheetName val="Perf_Specification27"/>
      <sheetName val="Logo_Specification27"/>
      <sheetName val="Strap_Specification27"/>
      <sheetName val="Preparation_Process27"/>
      <sheetName val="Edge-Painting_Specifications27"/>
      <sheetName val="Skiving_Instruction27"/>
      <sheetName val="Spliting_Instructions27"/>
      <sheetName val="Tapering_Instructions27"/>
      <sheetName val="Marking_Location27"/>
      <sheetName val="Reinforcement_Placement27"/>
      <sheetName val="Folding_Location27"/>
      <sheetName val="Pre-Buffing_Specification27"/>
      <sheetName val="Computer_Stitching_Schedule27"/>
      <sheetName val="Stitching_Overview_Sketch27"/>
      <sheetName val="Stitching_Instructions_(1)27"/>
      <sheetName val="Stitching_Instructions_(2)27"/>
      <sheetName val="Stitching_Instructions_(3)27"/>
      <sheetName val="Stitching_Instructions_(4)27"/>
      <sheetName val="Upper_Injected_Component_Pro_27"/>
      <sheetName val="Upper_Molded_Component_Pro_27"/>
      <sheetName val="Upper_Sublimation_Process27"/>
      <sheetName val="Upper_HF_Welding_Process27"/>
      <sheetName val="Sockliner_Sublimation_Process27"/>
      <sheetName val="CMP_PHYLON_CSS_CONFIRMATION27"/>
      <sheetName val="Phylon_Midsole_Spec_27"/>
      <sheetName val="PU_CSS_CONFIRMATION27"/>
      <sheetName val="PU_CSS_Schedules27"/>
      <sheetName val="PU_Midsole_Spec_I27"/>
      <sheetName val="Airbag_&amp;Prefit_bonding_PFC27"/>
      <sheetName val="Airbag_&amp;_Prefit_Bonding_PFC27"/>
      <sheetName val="Airbag_&amp;_Prefit_Bonding_PFC_(62"/>
      <sheetName val="Airbag_&amp;_Prefit_Bonding_PFC_(63"/>
      <sheetName val="Stockfit_Bonding_PFC27"/>
      <sheetName val="Assembly_Bonding_PFC27"/>
      <sheetName val="Assembly_Bonding_PFC_(2)27"/>
      <sheetName val="Assembling_Process27"/>
      <sheetName val="Assembling_Process_(2)27"/>
      <sheetName val="Sockliner_Specification27"/>
      <sheetName val="Upper_Measurement_Spec_27"/>
      <sheetName val="Upper_Weight_Control27"/>
      <sheetName val="Blank_Form27"/>
      <sheetName val="Bottom_Shank_Spray_Painting27"/>
      <sheetName val="Outsole_Molded_Component_Pro_27"/>
      <sheetName val="TPU_Degreasing_Process27"/>
      <sheetName val="Phylon_Degreasing_&amp;_UV-Light_27"/>
      <sheetName val="Stock_Fitting_Process27"/>
      <sheetName val="Stock_Fitting_Process_(2)27"/>
      <sheetName val="Stock_Fitting_Process_(4)27"/>
      <sheetName val="Assembly_BPFC27"/>
      <sheetName val="Assembly_BPFC_(2)27"/>
      <sheetName val="Assembly_BPFC_(3)-射出底27"/>
      <sheetName val="Assembly_BPFC_(4)-射出底27"/>
      <sheetName val="Assembly_BPFC_(3)SU08-射出27"/>
      <sheetName val="QH_업무보고27"/>
      <sheetName val="VS_업무보고27"/>
      <sheetName val="302315-161_227"/>
      <sheetName val="Outsole_Degreaࡳing_Process27"/>
      <sheetName val="Oၵtsole_Color_27"/>
      <sheetName val="Back_Part_MoldingĠSpec_27"/>
      <sheetName val="Raw_Data_Sheet27"/>
      <sheetName val="LBE_PRED_J_HELP27"/>
      <sheetName val="output_per_jam27"/>
      <sheetName val="MLT_27"/>
      <sheetName val="daily_BEP27"/>
      <sheetName val="Stock聦it Bonding"/>
      <sheetName val="재단재고"/>
      <sheetName val="RD제품개발투자비(매가)"/>
      <sheetName val="DG3285"/>
      <sheetName val="6-J02889"/>
      <sheetName val="DropDownlists"/>
    </sheetNames>
    <definedNames>
      <definedName name="A_ANALYSIS"/>
      <definedName name="A_SG"/>
      <definedName name="A_VOLUME"/>
      <definedName name="A_WEIGHTS"/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 refreshError="1"/>
      <sheetData sheetId="2565" refreshError="1"/>
      <sheetData sheetId="256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5.수정데이터통합"/>
      <sheetName val="#REF"/>
      <sheetName val="SHOX REMID II"/>
      <sheetName val="9. FA_LOB"/>
      <sheetName val="5.II FA LOB"/>
      <sheetName val="5.II LOB FA "/>
      <sheetName val="4-II. SF LOB"/>
      <sheetName val="0103"/>
      <sheetName val="Spray"/>
      <sheetName val="PU (SPRAY AIR BAG)"/>
      <sheetName val="PU (pouring)"/>
      <sheetName val="Sheet1"/>
      <sheetName val="3.I-Prefit Stitching"/>
      <sheetName val="PU ( Spray air bag )"/>
      <sheetName val="Navina - Shox NZ"/>
      <sheetName val="PU "/>
      <sheetName val="MODEL SHOX TURBO OZ (PS+TD)"/>
      <sheetName val="IP ( UV )"/>
      <sheetName val="IP ( Paint ) "/>
      <sheetName val="parato"/>
      <sheetName val="4.I SF Layout"/>
      <sheetName val="SHOX NAVINA , SHOX REVEAL"/>
      <sheetName val="SPRAY (A MX PLUS)"/>
      <sheetName val="Key"/>
      <sheetName val="XML Mapped"/>
      <sheetName val="Setup"/>
      <sheetName val="당월(1)"/>
      <sheetName val="PHYLON  (UV)"/>
      <sheetName val="BOLD SISTER-STRONG SISTER -TOR6"/>
      <sheetName val="IP ( trimming )"/>
      <sheetName val=""/>
      <sheetName val="STT LOB_AM Motion VSM 2-1"/>
      <sheetName val="8250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#REF"/>
      <sheetName val="Raw Data Sheet"/>
      <sheetName val="표2"/>
      <sheetName val="SHOX REMID II"/>
      <sheetName val="Sheet1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MODEL SHOX TURBO OZ (PS+TD)"/>
      <sheetName val="178049A.XLS"/>
      <sheetName val="Sum"/>
      <sheetName val="Culture of Empowerment"/>
      <sheetName val="Score%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PERCELL"/>
      <sheetName val="79"/>
      <sheetName val="PU_CSS_CONFIRMATION1"/>
      <sheetName val="PU_CSS_Schedules1"/>
      <sheetName val="PU_Midsole_Spec_I1"/>
      <sheetName val="Stock_Fitting_Process_(8)1"/>
      <sheetName val="TABLE OF CONTENTS"/>
      <sheetName val="2c"/>
      <sheetName val="5d"/>
      <sheetName val="6c"/>
      <sheetName val="Dispenser"/>
      <sheetName val="5a"/>
      <sheetName val="FA-HO11 Feb 2010"/>
      <sheetName val="Upper Measureme?9!?6_x000f_pv"/>
      <sheetName val="?`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Raw Data Sheet"/>
      <sheetName val="#REF"/>
      <sheetName val="Sheet1"/>
      <sheetName val="표2"/>
      <sheetName val="SHOX REMID II"/>
      <sheetName val="BOLD SISTER-STRONG SISTER -TOR6"/>
      <sheetName val="SPRAY (A MX PLUS)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PERCELL"/>
      <sheetName val="Materials"/>
      <sheetName val="5_수정데이터통합"/>
      <sheetName val="Raw_Data_Sheet"/>
      <sheetName val="Score%"/>
      <sheetName val="제조공정도5"/>
      <sheetName val="PU "/>
      <sheetName val="3.I-Prefit Stitching"/>
      <sheetName val="IBASE"/>
      <sheetName val="Upper Measureme_x0000_9!_x0000_6_x000f_pv"/>
      <sheetName val="_x0000_`"/>
      <sheetName val="Cut Model 411 020413"/>
      <sheetName val="MESIN"/>
      <sheetName val="DWPM"/>
      <sheetName val="Cutting Dies "/>
      <sheetName val="Sum"/>
      <sheetName val="MODEL SHOX TURBO OZ (PS+TD)"/>
      <sheetName val="Culture of Empowerment"/>
      <sheetName val="A.TERRA"/>
      <sheetName val="79"/>
      <sheetName val="FA-HO11 Feb 2010"/>
      <sheetName val="178049A.XLS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Upper Measureme?9!?6_x000f_pv"/>
      <sheetName val="?`"/>
      <sheetName val="Upper Measureme"/>
      <sheetName val="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당월(1)"/>
      <sheetName val="TABLE OF CONTENTS"/>
      <sheetName val="PU_CSS_CONFIRMATION1"/>
      <sheetName val="PU_CSS_Schedules1"/>
      <sheetName val="PU_Midsole_Spec_I1"/>
      <sheetName val="Stock_Fitting_Process_(8)1"/>
      <sheetName val="2c"/>
      <sheetName val="5d"/>
      <sheetName val="6c"/>
      <sheetName val="Dispenser"/>
      <sheetName val="5a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gVL"/>
      <sheetName val="신규DEP"/>
      <sheetName val="Vietnam Report"/>
      <sheetName val="2.대외공문"/>
      <sheetName val="#REF!"/>
      <sheetName val="SPM (Cutting&amp;Pre)"/>
      <sheetName val="MAY"/>
      <sheetName val="SHOX_REMID_II"/>
      <sheetName val="87"/>
      <sheetName val="Flow Chart "/>
      <sheetName val="ENG"/>
      <sheetName val="tc"/>
      <sheetName val="Stock Fitting @_x001b__x000c_?????_x0001_??"/>
      <sheetName val="Stock Fitting @_x005f_x001b__x005f_x000c__x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PIDATA"/>
      <sheetName val="DTCT"/>
      <sheetName val="XL4Poppy"/>
      <sheetName val="Stitching Instruction  (2)"/>
      <sheetName val="Skiving Instructions "/>
      <sheetName val="Key Manufacturing Details (1)"/>
      <sheetName val="월별 부하운영 계획  (3)"/>
      <sheetName val="Mold Efficiency Form"/>
      <sheetName val="NAME"/>
      <sheetName val="Material name"/>
      <sheetName val="96-GS-C2"/>
      <sheetName val="청도"/>
      <sheetName val="SPEC"/>
      <sheetName val="Lamination Process"/>
      <sheetName val="Cover_2"/>
      <sheetName val="Sheet1_2"/>
      <sheetName val="Index_2"/>
      <sheetName val="Upper Measureme_x005f_x0000_9!_x005f_x0000_"/>
      <sheetName val="_x005f_x0000_`"/>
      <sheetName val="List for Selection"/>
      <sheetName val="Rubber Spec."/>
      <sheetName val="Cover_19"/>
      <sheetName val="Upper Measureme_x0000_9!_x0000_"/>
      <sheetName val="Upper Measureme_9!_6_x000f_pv"/>
      <sheetName val="_`"/>
      <sheetName val="Stock Fitting @_x001b__x000c__x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Index_(1)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1)2"/>
      <sheetName val="Skiving_Instruction_(2)2"/>
      <sheetName val="Skiving_Instruction_(3)2"/>
      <sheetName val="Skiving_Instruction_(4)2"/>
      <sheetName val="Skiving_Instruction_(5)2"/>
      <sheetName val="Spliting_Instructions2"/>
      <sheetName val="Tapering_Instructions2"/>
      <sheetName val="Tapering_Instructions_3_132"/>
      <sheetName val="Marking_Location_(1)2"/>
      <sheetName val="Marking_Location_(2)2"/>
      <sheetName val="Marking_Location_(3)2"/>
      <sheetName val="Triming_edge_Instructions2"/>
      <sheetName val="Reinforcement_Placement_(1)2"/>
      <sheetName val="Upper Measureme9!6_x000f_pv"/>
      <sheetName val="`"/>
      <sheetName val="FORCE I (DS)"/>
      <sheetName val="IMPAX RUN (DS)"/>
      <sheetName val="CITY COURT (HY)"/>
      <sheetName val="CITY COURT (DS)"/>
      <sheetName val="IMPAX RUN (HY)"/>
      <sheetName val="FORCE I (HY)"/>
      <sheetName val="M's"/>
      <sheetName val="TD 1 mold 2prs"/>
      <sheetName val="TD 1 mold 1prs "/>
      <sheetName val="Sum."/>
      <sheetName val="24 agustus"/>
      <sheetName val="Rubber Spec. (1)"/>
      <sheetName val="XSPEC"/>
      <sheetName val="Reinforcement_Placement_(2)2"/>
      <sheetName val="Reinforcement_Placement_(2)2_12"/>
      <sheetName val="Reinforcement_Placement_(3)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Sockliner__Process2"/>
      <sheetName val="Outsole_Color_Schedule2"/>
      <sheetName val="Outsole_Preform_Specification2"/>
      <sheetName val="Outsole_Pressing_Process_2"/>
      <sheetName val="CMP_PHYLON_CSS_CONFIRMATION2"/>
      <sheetName val="Phylon_Midsole_Spec_2"/>
      <sheetName val="Stock_Fitting_Process_(3)2"/>
      <sheetName val="Stock_Fitting_Process2"/>
      <sheetName val="Stock_Fitting_Process_(2)2"/>
      <sheetName val="Stock_Fitting_Process(3)2"/>
      <sheetName val="Stock_Fitting_Process_(4)2"/>
      <sheetName val="Stock_Fitting_Process_(5)2"/>
      <sheetName val="Stock_Fitting_Process_(6)2"/>
      <sheetName val="Stock_Fitting_Process_(7)2"/>
      <sheetName val="Stockfit_BPFC2"/>
      <sheetName val="Stockfit_BPFC_(2)2"/>
      <sheetName val="Assembling_Process2"/>
      <sheetName val="Assembling_Process_(2)2"/>
      <sheetName val="Assembly_BPFC2"/>
      <sheetName val="Assembly_BPFC_(2)2"/>
      <sheetName val="Production_Checklist2"/>
      <sheetName val="Sockliner_Specification2"/>
      <sheetName val="Upper_Measurement_Spec_2"/>
      <sheetName val="Upper_Weight_Control2"/>
      <sheetName val="Blank_Form2"/>
      <sheetName val="5_수정데이터통합1"/>
      <sheetName val="Raw_Data_Sheet1"/>
      <sheetName val="SHOX_REMID_II1"/>
      <sheetName val="BOLD_SISTER-STRONG_SISTER_-TOR1"/>
      <sheetName val="SPRAY_(A_MX_PLUS)1"/>
      <sheetName val="PU_"/>
      <sheetName val="3_I-Prefit_Stitching"/>
      <sheetName val="Upper_Measureme9!6pv"/>
      <sheetName val="assmb_12"/>
      <sheetName val="assmb_22"/>
      <sheetName val="assmb_32"/>
      <sheetName val="assmb_42"/>
      <sheetName val="assmb_52"/>
      <sheetName val="assmb_62"/>
      <sheetName val="assmb_72"/>
      <sheetName val="Cutting_Dies_"/>
      <sheetName val="MODEL_SHOX_TURBO_OZ_(PS+TD)1"/>
      <sheetName val="A_TERRA"/>
      <sheetName val="Culture_of_Empowerment"/>
      <sheetName val="178049A_XLS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pliting_2"/>
      <sheetName val="Reinf__Placement_(1)2"/>
      <sheetName val="Reinf__Placement_(2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Trim_&amp;_Edge-painting2"/>
      <sheetName val="Reinforcement_Placement2"/>
      <sheetName val="Upper_Laser_Process-_Spec_2"/>
      <sheetName val="Upper_Laser_Process-Spec_(2)_2"/>
      <sheetName val="Upper_Laser_Process-Spec__(3)2"/>
      <sheetName val="PU_CSS_CONFIRMATION2"/>
      <sheetName val="PU_CSS_Schedules2"/>
      <sheetName val="PU_Midsole_Spec_I2"/>
      <sheetName val="Stock_Fitting_Process_(8)2"/>
      <sheetName val="Stock_Fitting_Process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Logo_Specification_(2)1"/>
      <sheetName val="Screen_Printing_(4)1"/>
      <sheetName val="Upper_HF_Welding_Process(5)1"/>
      <sheetName val="Index_(3)1"/>
      <sheetName val="Bottom_Component_Process_Spec_1"/>
      <sheetName val="Assembling_Process_(3)1"/>
      <sheetName val="Sockliner_Sublimation_Process1"/>
      <sheetName val="Cutting_D)e_(1)1"/>
      <sheetName val="Cutting_D)e_(2)1"/>
      <sheetName val="Cutting_D)e_(3)1"/>
      <sheetName val="Stitching_Instructio_s_(3)1"/>
      <sheetName val="SHOX_NAVINA_,_SHOX_REVEAL1"/>
      <sheetName val="Spray_Tower_Machine"/>
      <sheetName val="Sheet1_(2)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TABLE_OF_CONTENTS"/>
      <sheetName val="FA-HO11_Feb_2010"/>
      <sheetName val="Upper_Measureme?9!?6pv"/>
      <sheetName val="Upper_Measureme"/>
      <sheetName val="Dispenser_Ruang_Classic"/>
      <sheetName val="Stock_Fitting_@"/>
      <sheetName val="2_대외공문"/>
      <sheetName val="Vietnam_Report"/>
      <sheetName val="Flow_Chart_"/>
      <sheetName val="SPM_(Cutting&amp;Pre)"/>
      <sheetName val="Stock_Fitting_@???????"/>
      <sheetName val="Stock_Fitting_@_x005f_x001b__x005f_x000c__x"/>
      <sheetName val="Stock_Fitting_@_x005f_x001b__x005f_x000c_"/>
      <sheetName val="Stitching_Instruction__(2)"/>
      <sheetName val="Skiving_Instructions_"/>
      <sheetName val="Key_Manufacturing_Details_(1)"/>
      <sheetName val="월별_부하운영_계획__(3)"/>
      <sheetName val="Mold_Efficiency_Form"/>
      <sheetName val="Stitching Instruction  (7)"/>
      <sheetName val="X SPEC"/>
      <sheetName val="1 BV8035 .001, 002"/>
      <sheetName val="summary"/>
      <sheetName val="orderstatus"/>
      <sheetName val="Stock Fitting @_x001b__x000c__x0001_"/>
      <sheetName val="Upper Measureme9!"/>
      <sheetName val="GFP Type"/>
      <sheetName val="Indirect List"/>
      <sheetName val="高周波流程"/>
      <sheetName val="DGchitiet "/>
      <sheetName val="sat"/>
      <sheetName val="ptvt"/>
      <sheetName val="세부리스트(당월)"/>
      <sheetName val="수금관리"/>
      <sheetName val="LOB Auto CS 90"/>
      <sheetName val="K2"/>
      <sheetName val="output per jam"/>
      <sheetName val="data Productivity"/>
      <sheetName val="MLT "/>
      <sheetName val="daily BEP"/>
      <sheetName val="LB (80)"/>
      <sheetName val="2"/>
      <sheetName val="LB CUTTING KUROBE"/>
      <sheetName val="KPI-Desember"/>
      <sheetName val="output_per_jam1"/>
      <sheetName val="data_Productivity1"/>
      <sheetName val="MLT_1"/>
      <sheetName val="daily_BEP1"/>
      <sheetName val="178049A_XLS1"/>
      <sheetName val="LB_CUTTING_KUROBE1"/>
      <sheetName val="output_per_jam"/>
      <sheetName val="data_Productivity"/>
      <sheetName val="MLT_"/>
      <sheetName val="daily_BEP"/>
      <sheetName val="LB_CUTTING_KUROBE"/>
      <sheetName val="Stock_Fitting_Process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Logo_Specification_(2)2"/>
      <sheetName val="Screen_Printing_(4)2"/>
      <sheetName val="Upper_HF_Welding_Process(5)2"/>
      <sheetName val="Index_(3)2"/>
      <sheetName val="Bottom_Component_Process_Spec_2"/>
      <sheetName val="Assembling_Process_(3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Stitching (G-Flux)"/>
      <sheetName val="Stitching (GD-Runner)"/>
      <sheetName val="Source"/>
      <sheetName val="LINK"/>
      <sheetName val="Form PDCA Single Project - IA"/>
      <sheetName val="Material_name"/>
      <sheetName val="기안"/>
      <sheetName val="Chemical List"/>
      <sheetName val="Process Flow Chart"/>
      <sheetName val="表格"/>
      <sheetName val="5_수정데이터통합2"/>
      <sheetName val="SHOX_REMID_II2"/>
      <sheetName val="BOLD_SISTER-STRONG_SISTER_-TOR2"/>
      <sheetName val="SPRAY_(A_MX_PLUS)2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MODEL_SHOX_TURBO_OZ_(PS+TD)2"/>
      <sheetName val="A_TERRA1"/>
      <sheetName val="Culture_of_Empowerment1"/>
      <sheetName val="FA-HO11_Feb_20101"/>
      <sheetName val="SHOX_NAVINA_,_SHOX_REVEAL2"/>
      <sheetName val="Spray_Tower_Machine1"/>
      <sheetName val="Sheet1_(2)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TABLE_OF_CONTENTS1"/>
      <sheetName val="Upper_Measureme1"/>
      <sheetName val="Flow_Chart_1"/>
      <sheetName val="SPM_(Cutting&amp;Pre)1"/>
      <sheetName val="Dispenser_Ruang_Classic1"/>
      <sheetName val="Vietnam_Report1"/>
      <sheetName val="2_대외공문1"/>
      <sheetName val="Lamination_Process"/>
      <sheetName val="Rubber_Spec_"/>
      <sheetName val="Stock_Fitting_@_x005f_x001b__x005f_x000c__1"/>
      <sheetName val="Stock_Fitting_@_x005f_x001b__x005f_x000c_1"/>
      <sheetName val="Stitching_Instruction__(2)1"/>
      <sheetName val="Skiving_Instructions_1"/>
      <sheetName val="Key_Manufacturing_Details_(1)1"/>
      <sheetName val="월별_부하운영_계획__(3)1"/>
      <sheetName val="Mold_Efficiency_Form1"/>
      <sheetName val="List_for_Selection"/>
      <sheetName val="Upper_Measureme_x005f_x0000_9!_x005f_x0000_"/>
      <sheetName val="FORCE_I_(DS)"/>
      <sheetName val="IMPAX_RUN_(DS)"/>
      <sheetName val="CITY_COURT_(HY)"/>
      <sheetName val="CITY_COURT_(DS)"/>
      <sheetName val="IMPAX_RUN_(HY)"/>
      <sheetName val="FORCE_I_(HY)"/>
      <sheetName val="TD_1_mold_2prs"/>
      <sheetName val="TD_1_mold_1prs_"/>
      <sheetName val="Sum_"/>
      <sheetName val="24_agustus"/>
      <sheetName val="Cut_Model_411_020413"/>
      <sheetName val="Rubber_Spec__(1)"/>
      <sheetName val="Stitching_Instruction__(7)"/>
      <sheetName val="X_SPEC"/>
      <sheetName val="1_BV8035__001,_002"/>
      <sheetName val="Upper_Measureme9!"/>
      <sheetName val="Upper_Measureme_9!_6pv"/>
      <sheetName val="Stock_Fitting_@_x"/>
      <sheetName val="경영비율 "/>
      <sheetName val="46"/>
      <sheetName val="Upper Measureme_9!_6_x005f_x000f_pv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Index_(1)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1)28"/>
      <sheetName val="Skiving_Instruction_(2)28"/>
      <sheetName val="Skiving_Instruction_(3)28"/>
      <sheetName val="Skiving_Instruction_(4)28"/>
      <sheetName val="Skiving_Instruction_(5)28"/>
      <sheetName val="Spliting_Instructions28"/>
      <sheetName val="Tapering_Instructions28"/>
      <sheetName val="Tapering_Instructions_3_1328"/>
      <sheetName val="Marking_Location_(1)28"/>
      <sheetName val="Marking_Location_(2)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Folding_Location28"/>
      <sheetName val="Pre-Buffing_Specification28"/>
      <sheetName val="Computer_Stitching_Schedule28"/>
      <sheetName val="Stitching_Overview_Sketch28"/>
      <sheetName val="Stitching_Instructions_(1)28"/>
      <sheetName val="Stitching_Instructions_(2)28"/>
      <sheetName val="Stitching_Instructions_(3)28"/>
      <sheetName val="Stitching_Instructions_(4)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Sockliner__Process28"/>
      <sheetName val="Outsole_Color_Schedule28"/>
      <sheetName val="Outsole_Preform_Specification46"/>
      <sheetName val="Outsole_Pressing_Process_28"/>
      <sheetName val="CMP_PHYLON_CSS_CONFIRMATION28"/>
      <sheetName val="Phylon_Midsole_Spec_28"/>
      <sheetName val="Stock_Fitting_Process_(3)28"/>
      <sheetName val="Stock_Fitting_Process28"/>
      <sheetName val="Stock_Fitting_Process_(2)28"/>
      <sheetName val="Stock_Fitting_Process(3)28"/>
      <sheetName val="Stock_Fitting_Process_(4)28"/>
      <sheetName val="Stock_Fitting_Process_(5)28"/>
      <sheetName val="Stock_Fitting_Process_(6)28"/>
      <sheetName val="Stock_Fitting_Process_(7)28"/>
      <sheetName val="Stockfit_BPFC28"/>
      <sheetName val="Stockfit_BPFC_(2)28"/>
      <sheetName val="Assembling_Process28"/>
      <sheetName val="Assembling_Process_(2)28"/>
      <sheetName val="Assembly_BPFC28"/>
      <sheetName val="Assembly_BPFC_(2)28"/>
      <sheetName val="Production_Checklist28"/>
      <sheetName val="Sockliner_Specification28"/>
      <sheetName val="Upper_Measurement_Spec_28"/>
      <sheetName val="Upper_Weight_Control28"/>
      <sheetName val="Blank_Form28"/>
      <sheetName val="5_수정데이터통합3"/>
      <sheetName val="Raw_Data_Sheet28"/>
      <sheetName val="assmb_14"/>
      <sheetName val="assmb_24"/>
      <sheetName val="assmb_34"/>
      <sheetName val="assmb_44"/>
      <sheetName val="assmb_54"/>
      <sheetName val="assmb_64"/>
      <sheetName val="assmb_74"/>
      <sheetName val="SHOX_REMID_II3"/>
      <sheetName val="BOLD_SISTER-STRONG_SISTER_-TOR3"/>
      <sheetName val="SPRAY_(A_MX_PLUS)3"/>
      <sheetName val="PU_2"/>
      <sheetName val="3_I-Prefit_Stitching2"/>
      <sheetName val="Cutting_Dies_2"/>
      <sheetName val="MODEL_SHOX_TURBO_OZ_(PS+TD)3"/>
      <sheetName val="Culture_of_Empowerment2"/>
      <sheetName val="Cut_Model_411_0204131"/>
      <sheetName val="A_TERRA2"/>
      <sheetName val="178049A_XLS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pliting_28"/>
      <sheetName val="Reinf__Placement_(1)28"/>
      <sheetName val="Reinf__Placement_(2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7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FA-HO11_Feb_20102"/>
      <sheetName val="Upper_Measureme2"/>
      <sheetName val="Trim_&amp;_Edge-painting28"/>
      <sheetName val="Reinforcement_Placement28"/>
      <sheetName val="Upper_Laser_Process-_Spec_28"/>
      <sheetName val="Upper_Laser_Process-Spec_(2)_28"/>
      <sheetName val="Upper_Laser_Process-Spec__(3)28"/>
      <sheetName val="PU_CSS_CONFIRMATION28"/>
      <sheetName val="PU_CSS_Schedules28"/>
      <sheetName val="PU_Midsole_Spec_I28"/>
      <sheetName val="Stock_Fitting_Process_(8)28"/>
      <sheetName val="Stock_Fitting_Process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Logo_Specification_(2)28"/>
      <sheetName val="Screen_Printing_(4)28"/>
      <sheetName val="Upper_HF_Welding_Process(5)28"/>
      <sheetName val="Index_(3)28"/>
      <sheetName val="Bottom_Component_Process_Spec28"/>
      <sheetName val="Assembling_Process_(3)28"/>
      <sheetName val="Sockliner_Sublimation_Process28"/>
      <sheetName val="Cutting_D)e_(1)28"/>
      <sheetName val="Cutting_D)e_(2)28"/>
      <sheetName val="Cutting_D)e_(3)28"/>
      <sheetName val="Stitching_Instructio_s_(3)28"/>
      <sheetName val="SHOX_NAVINA_,_SHOX_REVEAL3"/>
      <sheetName val="Spray_Tower_Machine2"/>
      <sheetName val="Sheet1_(2)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TABLE_OF_CONTENTS2"/>
      <sheetName val="Dispenser_Ruang_Classic2"/>
      <sheetName val="Vietnam_Report2"/>
      <sheetName val="2_대외공문2"/>
      <sheetName val="SPM_(Cutting&amp;Pre)2"/>
      <sheetName val="Flow_Chart_2"/>
      <sheetName val="Stock_Fitting_@_x005f_x001b__x005f_x000c__2"/>
      <sheetName val="Stock_Fitting_@_x005f_x001b__x005f_x000c_2"/>
      <sheetName val="Stitching_Instruction__(2)2"/>
      <sheetName val="Skiving_Instructions_2"/>
      <sheetName val="Key_Manufacturing_Details_(1)2"/>
      <sheetName val="월별_부하운영_계획__(3)2"/>
      <sheetName val="Mold_Efficiency_Form2"/>
      <sheetName val="Material_name1"/>
      <sheetName val="Lamination_Process1"/>
      <sheetName val="Upper_Measureme_x005f_x0000_9!_x00001"/>
      <sheetName val="List_for_Selection1"/>
      <sheetName val="Rubber_Spec_1"/>
      <sheetName val="Upper_Measureme9!1"/>
      <sheetName val="FORCE_I_(DS)1"/>
      <sheetName val="IMPAX_RUN_(DS)1"/>
      <sheetName val="CITY_COURT_(HY)1"/>
      <sheetName val="CITY_COURT_(DS)1"/>
      <sheetName val="IMPAX_RUN_(HY)1"/>
      <sheetName val="FORCE_I_(HY)1"/>
      <sheetName val="TD_1_mold_2prs1"/>
      <sheetName val="TD_1_mold_1prs_1"/>
      <sheetName val="Sum_1"/>
      <sheetName val="24_agustus1"/>
      <sheetName val="Rubber_Spec__(1)1"/>
      <sheetName val="Stitching_Instruction__(7)1"/>
      <sheetName val="X_SPEC1"/>
      <sheetName val="1_BV8035__001,_0021"/>
      <sheetName val="GFP_Type"/>
      <sheetName val="Indirect_List"/>
      <sheetName val="DGchitiet_"/>
      <sheetName val="LOB_Auto_CS_90"/>
      <sheetName val="output_per_jam28"/>
      <sheetName val="data_Productivity28"/>
      <sheetName val="MLT_28"/>
      <sheetName val="daily_BEP28"/>
      <sheetName val="LB_(80)"/>
      <sheetName val="LB_CUTTING_KUROBE28"/>
      <sheetName val="Stitching_(G-Flux)"/>
      <sheetName val="Stitching_(GD-Runner)"/>
      <sheetName val="Form_PDCA_Single_Project_-_IA"/>
      <sheetName val="Chemical_List"/>
      <sheetName val="Process_Flow_Chart"/>
      <sheetName val="경영비율_"/>
      <sheetName val="Upper_Measureme_9!_6_x005f_x000f_pv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Index_(1)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1)29"/>
      <sheetName val="Skiving_Instruction_(2)29"/>
      <sheetName val="Skiving_Instruction_(3)29"/>
      <sheetName val="Skiving_Instruction_(4)29"/>
      <sheetName val="Skiving_Instruction_(5)29"/>
      <sheetName val="Spliting_Instructions29"/>
      <sheetName val="Tapering_Instructions29"/>
      <sheetName val="Tapering_Instructions_3_1329"/>
      <sheetName val="Marking_Location_(1)29"/>
      <sheetName val="Marking_Location_(2)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Folding_Location29"/>
      <sheetName val="Pre-Buffing_Specification29"/>
      <sheetName val="Computer_Stitching_Schedule29"/>
      <sheetName val="Stitching_Overview_Sketch29"/>
      <sheetName val="Stitching_Instructions_(1)29"/>
      <sheetName val="Stitching_Instructions_(2)29"/>
      <sheetName val="Stitching_Instructions_(3)29"/>
      <sheetName val="Stitching_Instructions_(4)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Sockliner__Process29"/>
      <sheetName val="Outsole_Color_Schedule29"/>
      <sheetName val="Outsole_Preform_Specification48"/>
      <sheetName val="Outsole_Pressing_Process_29"/>
      <sheetName val="CMP_PHYLON_CSS_CONFIRMATION29"/>
      <sheetName val="Phylon_Midsole_Spec_29"/>
      <sheetName val="Stock_Fitting_Process_(3)29"/>
      <sheetName val="Stock_Fitting_Process29"/>
      <sheetName val="Stock_Fitting_Process_(2)29"/>
      <sheetName val="Stock_Fitting_Process(3)29"/>
      <sheetName val="Stock_Fitting_Process_(4)29"/>
      <sheetName val="Stock_Fitting_Process_(5)29"/>
      <sheetName val="Stock_Fitting_Process_(6)29"/>
      <sheetName val="Stock_Fitting_Process_(7)29"/>
      <sheetName val="Stockfit_BPFC29"/>
      <sheetName val="Stockfit_BPFC_(2)29"/>
      <sheetName val="Assembling_Process29"/>
      <sheetName val="Assembling_Process_(2)29"/>
      <sheetName val="Assembly_BPFC29"/>
      <sheetName val="Assembly_BPFC_(2)29"/>
      <sheetName val="Production_Checklist29"/>
      <sheetName val="Sockliner_Specification29"/>
      <sheetName val="Upper_Measurement_Spec_29"/>
      <sheetName val="Upper_Weight_Control29"/>
      <sheetName val="Blank_Form29"/>
      <sheetName val="5_수정데이터통합4"/>
      <sheetName val="Raw_Data_Sheet29"/>
      <sheetName val="assmb_15"/>
      <sheetName val="assmb_25"/>
      <sheetName val="assmb_35"/>
      <sheetName val="assmb_45"/>
      <sheetName val="assmb_55"/>
      <sheetName val="assmb_65"/>
      <sheetName val="assmb_75"/>
      <sheetName val="SHOX_REMID_II4"/>
      <sheetName val="BOLD_SISTER-STRONG_SISTER_-TOR4"/>
      <sheetName val="SPRAY_(A_MX_PLUS)4"/>
      <sheetName val="PU_3"/>
      <sheetName val="3_I-Prefit_Stitching3"/>
      <sheetName val="Cutting_Dies_3"/>
      <sheetName val="MODEL_SHOX_TURBO_OZ_(PS+TD)4"/>
      <sheetName val="Culture_of_Empowerment3"/>
      <sheetName val="Cut_Model_411_0204132"/>
      <sheetName val="A_TERRA3"/>
      <sheetName val="178049A_XLS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pliting_29"/>
      <sheetName val="Reinf__Placement_(1)29"/>
      <sheetName val="Reinf__Placement_(2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9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FA-HO11_Feb_20103"/>
      <sheetName val="Upper_Measureme3"/>
      <sheetName val="Trim_&amp;_Edge-painting29"/>
      <sheetName val="Reinforcement_Placement29"/>
      <sheetName val="Upper_Laser_Process-_Spec_29"/>
      <sheetName val="Upper_Laser_Process-Spec_(2)_29"/>
      <sheetName val="Upper_Laser_Process-Spec__(3)29"/>
      <sheetName val="PU_CSS_CONFIRMATION29"/>
      <sheetName val="PU_CSS_Schedules29"/>
      <sheetName val="PU_Midsole_Spec_I29"/>
      <sheetName val="Stock_Fitting_Process_(8)29"/>
      <sheetName val="Stock_Fitting_Process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Logo_Specification_(2)29"/>
      <sheetName val="Screen_Printing_(4)29"/>
      <sheetName val="Upper_HF_Welding_Process(5)29"/>
      <sheetName val="Index_(3)29"/>
      <sheetName val="Bottom_Component_Process_Spec29"/>
      <sheetName val="Assembling_Process_(3)29"/>
      <sheetName val="Sockliner_Sublimation_Process29"/>
      <sheetName val="Cutting_D)e_(1)29"/>
      <sheetName val="Cutting_D)e_(2)29"/>
      <sheetName val="Cutting_D)e_(3)29"/>
      <sheetName val="Stitching_Instructio_s_(3)29"/>
      <sheetName val="SHOX_NAVINA_,_SHOX_REVEAL4"/>
      <sheetName val="Spray_Tower_Machine3"/>
      <sheetName val="Sheet1_(2)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TABLE_OF_CONTENTS3"/>
      <sheetName val="Dispenser_Ruang_Classic3"/>
      <sheetName val="Vietnam_Report3"/>
      <sheetName val="2_대외공문3"/>
      <sheetName val="SPM_(Cutting&amp;Pre)3"/>
      <sheetName val="Flow_Chart_3"/>
      <sheetName val="Stock_Fitting_@_x005f_x001b__x005f_x000c__3"/>
      <sheetName val="Stock_Fitting_@_x005f_x001b__x005f_x000c_3"/>
      <sheetName val="Stitching_Instruction__(2)3"/>
      <sheetName val="Skiving_Instructions_3"/>
      <sheetName val="Key_Manufacturing_Details_(1)3"/>
      <sheetName val="월별_부하운영_계획__(3)3"/>
      <sheetName val="Mold_Efficiency_Form3"/>
      <sheetName val="Material_name2"/>
      <sheetName val="Lamination_Process2"/>
      <sheetName val="Upper_Measureme_x005f_x0000_9!_x00002"/>
      <sheetName val="List_for_Selection2"/>
      <sheetName val="Rubber_Spec_2"/>
      <sheetName val="Upper_Measureme9!2"/>
      <sheetName val="FORCE_I_(DS)2"/>
      <sheetName val="IMPAX_RUN_(DS)2"/>
      <sheetName val="CITY_COURT_(HY)2"/>
      <sheetName val="CITY_COURT_(DS)2"/>
      <sheetName val="IMPAX_RUN_(HY)2"/>
      <sheetName val="FORCE_I_(HY)2"/>
      <sheetName val="TD_1_mold_2prs2"/>
      <sheetName val="TD_1_mold_1prs_2"/>
      <sheetName val="Sum_2"/>
      <sheetName val="24_agustus2"/>
      <sheetName val="Rubber_Spec__(1)2"/>
      <sheetName val="Stitching_Instruction__(7)2"/>
      <sheetName val="X_SPEC2"/>
      <sheetName val="1_BV8035__001,_0022"/>
      <sheetName val="GFP_Type1"/>
      <sheetName val="Indirect_List1"/>
      <sheetName val="DGchitiet_1"/>
      <sheetName val="LOB_Auto_CS_901"/>
      <sheetName val="output_per_jam29"/>
      <sheetName val="data_Productivity29"/>
      <sheetName val="MLT_29"/>
      <sheetName val="daily_BEP29"/>
      <sheetName val="LB_(80)1"/>
      <sheetName val="LB_CUTTING_KUROBE29"/>
      <sheetName val="Stitching_(G-Flux)1"/>
      <sheetName val="Stitching_(GD-Runner)1"/>
      <sheetName val="Form_PDCA_Single_Project_-_IA1"/>
      <sheetName val="Chemical_List1"/>
      <sheetName val="Process_Flow_Chart1"/>
      <sheetName val="경영비율_1"/>
      <sheetName val="Upper_Measureme_9!_6_x005f_x000f_pv1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EO6">
            <v>0</v>
          </cell>
        </row>
      </sheetData>
      <sheetData sheetId="87"/>
      <sheetData sheetId="88"/>
      <sheetData sheetId="89"/>
      <sheetData sheetId="90"/>
      <sheetData sheetId="91"/>
      <sheetData sheetId="92">
        <row r="6">
          <cell r="EO6">
            <v>0</v>
          </cell>
        </row>
      </sheetData>
      <sheetData sheetId="93"/>
      <sheetData sheetId="94"/>
      <sheetData sheetId="95">
        <row r="6">
          <cell r="EO6">
            <v>0</v>
          </cell>
        </row>
      </sheetData>
      <sheetData sheetId="96">
        <row r="6">
          <cell r="EO6">
            <v>0</v>
          </cell>
        </row>
      </sheetData>
      <sheetData sheetId="97"/>
      <sheetData sheetId="98"/>
      <sheetData sheetId="99"/>
      <sheetData sheetId="100">
        <row r="6">
          <cell r="EO6">
            <v>0</v>
          </cell>
        </row>
      </sheetData>
      <sheetData sheetId="101">
        <row r="6">
          <cell r="EO6">
            <v>0</v>
          </cell>
        </row>
      </sheetData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>
        <row r="6">
          <cell r="EO6">
            <v>0</v>
          </cell>
        </row>
      </sheetData>
      <sheetData sheetId="5443"/>
      <sheetData sheetId="5444"/>
      <sheetData sheetId="5445"/>
      <sheetData sheetId="5446"/>
      <sheetData sheetId="5447"/>
      <sheetData sheetId="5448">
        <row r="6">
          <cell r="EO6">
            <v>0</v>
          </cell>
        </row>
      </sheetData>
      <sheetData sheetId="5449"/>
      <sheetData sheetId="5450"/>
      <sheetData sheetId="5451">
        <row r="6">
          <cell r="EO6">
            <v>0</v>
          </cell>
        </row>
      </sheetData>
      <sheetData sheetId="5452">
        <row r="6">
          <cell r="EO6">
            <v>0</v>
          </cell>
        </row>
      </sheetData>
      <sheetData sheetId="5453"/>
      <sheetData sheetId="5454"/>
      <sheetData sheetId="5455"/>
      <sheetData sheetId="5456">
        <row r="6">
          <cell r="EO6">
            <v>0</v>
          </cell>
        </row>
      </sheetData>
      <sheetData sheetId="5457">
        <row r="6">
          <cell r="EO6">
            <v>0</v>
          </cell>
        </row>
      </sheetData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>
        <row r="6">
          <cell r="EO6">
            <v>0</v>
          </cell>
        </row>
      </sheetData>
      <sheetData sheetId="5703"/>
      <sheetData sheetId="5704"/>
      <sheetData sheetId="5705"/>
      <sheetData sheetId="5706"/>
      <sheetData sheetId="5707"/>
      <sheetData sheetId="5708">
        <row r="6">
          <cell r="EO6">
            <v>0</v>
          </cell>
        </row>
      </sheetData>
      <sheetData sheetId="5709"/>
      <sheetData sheetId="5710"/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/>
      <sheetData sheetId="5714"/>
      <sheetData sheetId="5715"/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PL(UV EVA Shank)"/>
      <sheetName val="MAY"/>
      <sheetName val="BUS제원1"/>
      <sheetName val="반바리"/>
      <sheetName val="11"/>
      <sheetName val="청도"/>
      <sheetName val="점검일지"/>
      <sheetName val="Cutting Dies "/>
      <sheetName val="斬_x0000_說明(4)"/>
      <sheetName val="沖嬄規格說明"/>
      <sheetName val="沖͔規格說明 (2)"/>
      <sheetName val="Look Up"/>
      <sheetName val="PHYLON Midsole Spea. Set up"/>
      <sheetName val="Supplier List"/>
      <sheetName val="SUMMARY"/>
      <sheetName val="HF_welded_Specification"/>
      <sheetName val="HF_welded_Specification_(2)"/>
      <sheetName val="PHYLON_Midsole_Spec__Set_up"/>
      <sheetName val="Phylon_Midsole_Specs_"/>
      <sheetName val="PU_Midsole_Spec__Set_up"/>
      <sheetName val="PU_Midsole_Specs_"/>
      <sheetName val="PU_Midsole_CSS"/>
      <sheetName val="PU_Midsole_Pouring_Spec_"/>
      <sheetName val="Outsole_Color_"/>
      <sheetName val="Outsole_Preform_Specifications"/>
      <sheetName val="Outsole_Pressing_Process"/>
      <sheetName val="Duralon_Pressing_Process_"/>
      <sheetName val="Outsole_Degreasing_Process"/>
      <sheetName val="Back_Part_Molding_Spec_"/>
      <sheetName val="Back_Count_Process_Spec"/>
      <sheetName val="Air_Bag_&amp;_Prefit_Bonding_PFC"/>
      <sheetName val="Stockfit_Bonding"/>
      <sheetName val="Assembly_Bonding_PFC"/>
      <sheetName val="Assembling_Process"/>
      <sheetName val="Production_Checklist"/>
      <sheetName val="Upper_Measurement_Spec"/>
      <sheetName val="Look_Up"/>
      <sheetName val="PHYLON_Midsole_Spea__Set_up"/>
      <sheetName val="Outsole_Degre`sing_Prncess"/>
      <sheetName val="Supplier_List"/>
      <sheetName val="Midsole Color Schedule"/>
      <sheetName val="BTRSS"/>
      <sheetName val="Title Page"/>
      <sheetName val="302323-001_2"/>
      <sheetName val="Raw_Data_Sheet"/>
      <sheetName val="Title_Page"/>
      <sheetName val="HF welded Specification (2Щ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MAY"/>
      <sheetName val="BUS제원1"/>
      <sheetName val="반바리"/>
      <sheetName val="11"/>
      <sheetName val="청도"/>
      <sheetName val="점검일지"/>
      <sheetName val="Cutting Dies "/>
      <sheetName val="PL(UV EVA Shank)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월(1)"/>
      <sheetName val="제품수불장"/>
      <sheetName val="7월"/>
      <sheetName val="6월"/>
      <sheetName val="5월"/>
      <sheetName val="8월"/>
      <sheetName val="9월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내부차이"/>
      <sheetName val="SHOX REMID II"/>
      <sheetName val="W2"/>
      <sheetName val="신규DEP"/>
      <sheetName val="4-II. SF LOB"/>
      <sheetName val="5-II. FA LOB"/>
      <sheetName val="7.SF LOB 1500"/>
      <sheetName val="BOLD SISTER-STRONG SISTER -TOR6"/>
      <sheetName val="5.II FA LOB"/>
      <sheetName val="5.II FA LOB%"/>
      <sheetName val="PU (pouring)"/>
      <sheetName val="spray AF - 1"/>
      <sheetName val="IP ( trimming )"/>
      <sheetName val="FREE HYPER(3Times.3-5)"/>
      <sheetName val="IP ( Paint ) "/>
      <sheetName val="IP ( UV )"/>
      <sheetName val="4.II SF LOB"/>
      <sheetName val="Sheet2"/>
      <sheetName val="Quantity"/>
      <sheetName val="09년 경영계획+혁신"/>
      <sheetName val="내부차이.XLS"/>
      <sheetName val="Sheet1"/>
      <sheetName val="제조공정도5"/>
      <sheetName val="Raw Data Sheet"/>
      <sheetName val="Mold Efficiency Form"/>
      <sheetName val="PRESS OUTSOLE"/>
      <sheetName val="0103"/>
      <sheetName val="Chiet tinh dz22"/>
      <sheetName val="BMN405"/>
      <sheetName val="SPEC"/>
      <sheetName val="MBO 목표"/>
      <sheetName val="Lamination Process 1"/>
      <sheetName val="5.수정데이터통합"/>
      <sheetName val="청도"/>
      <sheetName val="Supplier List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★투자분석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대차대조표"/>
      <sheetName val="분기별데이타"/>
      <sheetName val="월별데이타"/>
      <sheetName val="Master Cable"/>
      <sheetName val="MODEL"/>
      <sheetName val="내수자료"/>
      <sheetName val="엠트론_내부거래_매입"/>
      <sheetName val="CAPA분석 360K"/>
      <sheetName val="물동추이"/>
      <sheetName val="유효성_계정"/>
      <sheetName val="TU TOTAL"/>
      <sheetName val="E"/>
      <sheetName val="완제쒈"/>
      <sheetName val="재료비"/>
      <sheetName val="Oct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시험결과보고서"/>
      <sheetName val="7.工程品质 (QD)"/>
      <sheetName val="A4공장"/>
      <sheetName val="활용Tip"/>
      <sheetName val="과제별내역"/>
      <sheetName val="#REF"/>
      <sheetName val="PT"/>
      <sheetName val="WACC1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010625-L3-Grade전개-재검토"/>
      <sheetName val="1안98Billing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Index2"/>
      <sheetName val="01"/>
      <sheetName val="07"/>
      <sheetName val="03"/>
      <sheetName val="04"/>
      <sheetName val="02"/>
      <sheetName val="08"/>
      <sheetName val="시장별출하실적 "/>
      <sheetName val="참고자료"/>
      <sheetName val="BAL COST "/>
      <sheetName val="NET COST "/>
      <sheetName val="Simulate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상반기 및 하반기 손익 주요 Iss_x005f_x005f_x005f"/>
      <sheetName val="시장별출하실적_"/>
      <sheetName val="BAL_COST_"/>
      <sheetName val="NET_COST_"/>
      <sheetName val="2.1유첨 미달KPI 원인 및 대책"/>
      <sheetName val="생산계획"/>
      <sheetName val="극성C(SPEC)"/>
      <sheetName val="SALE"/>
      <sheetName val="BSL"/>
      <sheetName val="1-1. PL(HE)"/>
      <sheetName val="ODU"/>
      <sheetName val="R.M. Master"/>
      <sheetName val="MAY65627801"/>
      <sheetName val="일일업무보고"/>
      <sheetName val="라인별생산실적"/>
      <sheetName val="시장별생산실적"/>
      <sheetName val="2.대외공문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WEIGHT"/>
      <sheetName val="기안"/>
      <sheetName val="PC%계산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detail"/>
      <sheetName val="NDTR"/>
      <sheetName val="WPL"/>
      <sheetName val="매출원가_회사제시"/>
      <sheetName val="WTB"/>
      <sheetName val="TOTAL-P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요청양식 List"/>
      <sheetName val="YOKE-H(10.3)"/>
      <sheetName val="내역서"/>
      <sheetName val="작성양식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재료번호"/>
      <sheetName val="재료원가표"/>
      <sheetName val="Config"/>
      <sheetName val="미오"/>
      <sheetName val="Table표"/>
      <sheetName val="Score W14 "/>
      <sheetName val="RES"/>
      <sheetName val="常识以下"/>
      <sheetName val="생산전망"/>
      <sheetName val="Ambient Temp"/>
      <sheetName val=" "/>
      <sheetName val="数据源"/>
      <sheetName val="DV_PV DR List (2)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基准"/>
      <sheetName val="P_pin윤활해석1차"/>
      <sheetName val="P_hole 변경_(시험결과)"/>
      <sheetName val="효율계획(당월)"/>
      <sheetName val="전체실적"/>
      <sheetName val="Thông tin xuất hóa đơn"/>
      <sheetName val="품의"/>
      <sheetName val="Database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MBN65702808"/>
      <sheetName val="CD-실적"/>
      <sheetName val="실행계획"/>
      <sheetName val="Define"/>
      <sheetName val="CF"/>
      <sheetName val="00수출"/>
      <sheetName val="ISE 명단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CAUSA"/>
      <sheetName val="C+$W$823AUSA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Module 1 and 4"/>
      <sheetName val="Kaizen List (Ideas)"/>
      <sheetName val="Ose-Jan."/>
      <sheetName val="#REF!"/>
      <sheetName val="Sheet4"/>
      <sheetName val="dropdown list"/>
      <sheetName val="Look Up"/>
      <sheetName val="OSE_Production_Tracking"/>
      <sheetName val="OSTravel"/>
      <sheetName val="DROP DOWN REFERENCE"/>
      <sheetName val="drawdownlist"/>
      <sheetName val="Reff"/>
      <sheetName val="Sheet2"/>
      <sheetName val="List"/>
      <sheetName val="Cut_VSM"/>
      <sheetName val="Stit_VSM"/>
      <sheetName val="stit_vsm "/>
      <sheetName val="Sheet1"/>
    </sheetNames>
    <sheetDataSet>
      <sheetData sheetId="0">
        <row r="2">
          <cell r="A2" t="str">
            <v>AMRONG</v>
          </cell>
        </row>
      </sheetData>
      <sheetData sheetId="1"/>
      <sheetData sheetId="2">
        <row r="2">
          <cell r="A2" t="str">
            <v>AMRONG</v>
          </cell>
        </row>
        <row r="3">
          <cell r="A3" t="str">
            <v>BAIKSAN</v>
          </cell>
        </row>
        <row r="4">
          <cell r="A4" t="str">
            <v>BAIKSAN CHINA</v>
          </cell>
        </row>
        <row r="5">
          <cell r="A5" t="str">
            <v>BAIKSAN INDO</v>
          </cell>
        </row>
        <row r="6">
          <cell r="A6" t="str">
            <v>BIGINDO</v>
          </cell>
        </row>
        <row r="7">
          <cell r="A7" t="str">
            <v>BONTEX</v>
          </cell>
        </row>
        <row r="8">
          <cell r="A8" t="str">
            <v>BOO YOUNG</v>
          </cell>
        </row>
        <row r="9">
          <cell r="A9" t="str">
            <v>CHAEI HSIN</v>
          </cell>
        </row>
        <row r="10">
          <cell r="A10" t="str">
            <v>CHIN LI PLASTIC</v>
          </cell>
        </row>
        <row r="11">
          <cell r="A11" t="str">
            <v>CISARUA</v>
          </cell>
        </row>
        <row r="12">
          <cell r="A12" t="str">
            <v>CLARINO</v>
          </cell>
        </row>
        <row r="13">
          <cell r="A13" t="str">
            <v>COATS BARBOUR</v>
          </cell>
        </row>
        <row r="14">
          <cell r="A14" t="str">
            <v>COSMO HONG KONG</v>
          </cell>
        </row>
        <row r="15">
          <cell r="A15" t="str">
            <v>COUSIN</v>
          </cell>
        </row>
        <row r="16">
          <cell r="A16" t="str">
            <v>CPL</v>
          </cell>
        </row>
        <row r="17">
          <cell r="A17" t="str">
            <v>CPL CHINA</v>
          </cell>
        </row>
        <row r="18">
          <cell r="A18" t="str">
            <v>DAE HWA LESTARI</v>
          </cell>
        </row>
        <row r="19">
          <cell r="A19" t="str">
            <v>DAE SUNG EYELET</v>
          </cell>
        </row>
        <row r="20">
          <cell r="A20" t="str">
            <v>DAE WON</v>
          </cell>
        </row>
        <row r="21">
          <cell r="A21" t="str">
            <v>DAE WOO SYNTH.</v>
          </cell>
        </row>
        <row r="22">
          <cell r="A22" t="str">
            <v>DAE WOO TEXTILE</v>
          </cell>
        </row>
        <row r="23">
          <cell r="A23" t="str">
            <v>DAH SHENG</v>
          </cell>
        </row>
        <row r="24">
          <cell r="A24" t="str">
            <v>DING ZING</v>
          </cell>
        </row>
        <row r="25">
          <cell r="A25" t="str">
            <v>DONG HING</v>
          </cell>
        </row>
        <row r="26">
          <cell r="A26" t="str">
            <v>DONG JIN</v>
          </cell>
        </row>
        <row r="27">
          <cell r="A27" t="str">
            <v>DONG SHIN</v>
          </cell>
        </row>
        <row r="28">
          <cell r="A28" t="str">
            <v>DUCK SAN</v>
          </cell>
        </row>
        <row r="29">
          <cell r="A29" t="str">
            <v>DUK SUNG</v>
          </cell>
        </row>
        <row r="30">
          <cell r="A30" t="str">
            <v>ETERNAL PROWESS</v>
          </cell>
        </row>
        <row r="31">
          <cell r="A31" t="str">
            <v>EVER TECH INDO</v>
          </cell>
        </row>
        <row r="32">
          <cell r="A32" t="str">
            <v>EVER TECH VIETN</v>
          </cell>
        </row>
        <row r="33">
          <cell r="A33" t="str">
            <v>EVER TECH.</v>
          </cell>
        </row>
        <row r="34">
          <cell r="A34" t="str">
            <v>FOREST LEATHER</v>
          </cell>
        </row>
        <row r="35">
          <cell r="A35" t="str">
            <v>FRAMAS</v>
          </cell>
        </row>
        <row r="36">
          <cell r="A36" t="str">
            <v>FRAMAS CHINA</v>
          </cell>
        </row>
        <row r="37">
          <cell r="A37" t="str">
            <v>FRAMAS FUZHOU</v>
          </cell>
        </row>
        <row r="38">
          <cell r="A38" t="str">
            <v>FRAMAS INDONESI</v>
          </cell>
        </row>
        <row r="39">
          <cell r="A39" t="str">
            <v>FRAMAS KOREA</v>
          </cell>
        </row>
        <row r="40">
          <cell r="A40" t="str">
            <v>FRAMAS VIETNAM</v>
          </cell>
        </row>
        <row r="41">
          <cell r="A41" t="str">
            <v>FREUDENBERG</v>
          </cell>
        </row>
        <row r="42">
          <cell r="A42" t="str">
            <v>GIANT KNITTING</v>
          </cell>
        </row>
        <row r="43">
          <cell r="A43" t="str">
            <v>GUO XIANG</v>
          </cell>
        </row>
        <row r="44">
          <cell r="A44" t="str">
            <v>H.B. FULLER</v>
          </cell>
        </row>
        <row r="45">
          <cell r="A45" t="str">
            <v>HAN YOUNG</v>
          </cell>
        </row>
        <row r="46">
          <cell r="A46" t="str">
            <v>HAO HUNG</v>
          </cell>
        </row>
        <row r="47">
          <cell r="A47" t="str">
            <v>HS T&amp;C</v>
          </cell>
        </row>
        <row r="48">
          <cell r="A48" t="str">
            <v>HWA SUNG TEXTIL</v>
          </cell>
        </row>
        <row r="49">
          <cell r="A49" t="str">
            <v>HYUN DAE</v>
          </cell>
        </row>
        <row r="50">
          <cell r="A50" t="str">
            <v>IL SHIN</v>
          </cell>
        </row>
        <row r="51">
          <cell r="A51" t="str">
            <v>JADE LONG JOHN</v>
          </cell>
        </row>
        <row r="52">
          <cell r="A52" t="str">
            <v>JEN CHUAN</v>
          </cell>
        </row>
        <row r="53">
          <cell r="A53" t="str">
            <v>JEY SUN DONGGUAN</v>
          </cell>
        </row>
        <row r="54">
          <cell r="A54" t="str">
            <v>JIA MEI</v>
          </cell>
        </row>
        <row r="55">
          <cell r="A55" t="str">
            <v>JOONG ANG</v>
          </cell>
        </row>
        <row r="56">
          <cell r="A56" t="str">
            <v>KOLON</v>
          </cell>
        </row>
        <row r="57">
          <cell r="A57" t="str">
            <v>KORYS</v>
          </cell>
        </row>
        <row r="58">
          <cell r="A58" t="str">
            <v>KURIM</v>
          </cell>
        </row>
        <row r="59">
          <cell r="A59" t="str">
            <v>L+E/JEFFERSON</v>
          </cell>
        </row>
        <row r="60">
          <cell r="A60" t="str">
            <v>LEE FONG</v>
          </cell>
        </row>
        <row r="61">
          <cell r="A61" t="str">
            <v>LI CHENG</v>
          </cell>
        </row>
        <row r="62">
          <cell r="A62" t="str">
            <v>MACNEILL</v>
          </cell>
        </row>
        <row r="63">
          <cell r="A63" t="str">
            <v>MON CHIN</v>
          </cell>
        </row>
        <row r="64">
          <cell r="A64" t="str">
            <v>NAM KWANG</v>
          </cell>
        </row>
        <row r="65">
          <cell r="A65" t="str">
            <v>NAN YA PLAST/PU</v>
          </cell>
        </row>
        <row r="66">
          <cell r="A66" t="str">
            <v>NOVA LEATHER</v>
          </cell>
        </row>
        <row r="67">
          <cell r="A67" t="str">
            <v>O2 PARTNERS</v>
          </cell>
        </row>
        <row r="68">
          <cell r="A68" t="str">
            <v>O-T CHINA</v>
          </cell>
        </row>
        <row r="69">
          <cell r="A69" t="str">
            <v>PACKER</v>
          </cell>
        </row>
        <row r="70">
          <cell r="A70" t="str">
            <v>PAI HO</v>
          </cell>
        </row>
        <row r="71">
          <cell r="A71" t="str">
            <v>PAI HO DONGGUAN</v>
          </cell>
        </row>
        <row r="72">
          <cell r="A72" t="str">
            <v>PAI HO VIET NAM</v>
          </cell>
        </row>
        <row r="73">
          <cell r="A73" t="str">
            <v>PAXAR/BNI</v>
          </cell>
        </row>
        <row r="74">
          <cell r="A74" t="str">
            <v>PELANGI ELASIN.</v>
          </cell>
        </row>
        <row r="75">
          <cell r="A75" t="str">
            <v>PITTARDS</v>
          </cell>
        </row>
        <row r="76">
          <cell r="A76" t="str">
            <v>PRIME</v>
          </cell>
        </row>
        <row r="77">
          <cell r="A77" t="str">
            <v>PROSPERITY</v>
          </cell>
        </row>
        <row r="78">
          <cell r="A78" t="str">
            <v>QUAN TIAN</v>
          </cell>
        </row>
        <row r="79">
          <cell r="A79" t="str">
            <v>SADESA</v>
          </cell>
        </row>
        <row r="80">
          <cell r="A80" t="str">
            <v>SAN FANG CHEM.</v>
          </cell>
        </row>
        <row r="81">
          <cell r="A81" t="str">
            <v>SAN FANG INT'L</v>
          </cell>
        </row>
        <row r="82">
          <cell r="A82" t="str">
            <v>SHIN KWANG</v>
          </cell>
        </row>
        <row r="83">
          <cell r="A83" t="str">
            <v>SHINIMEX</v>
          </cell>
        </row>
        <row r="84">
          <cell r="A84" t="str">
            <v>SHINTA WOO SUNG</v>
          </cell>
        </row>
        <row r="85">
          <cell r="A85" t="str">
            <v>SUNG SHIN</v>
          </cell>
        </row>
        <row r="86">
          <cell r="A86" t="str">
            <v>SUNLOTS</v>
          </cell>
        </row>
        <row r="87">
          <cell r="A87" t="str">
            <v>TA JOW</v>
          </cell>
        </row>
        <row r="88">
          <cell r="A88" t="str">
            <v>TECHTUFF</v>
          </cell>
        </row>
        <row r="89">
          <cell r="A89" t="str">
            <v>TEXON</v>
          </cell>
        </row>
        <row r="90">
          <cell r="A90" t="str">
            <v>TIFCO</v>
          </cell>
        </row>
        <row r="91">
          <cell r="A91" t="str">
            <v>TING SHO</v>
          </cell>
        </row>
        <row r="92">
          <cell r="A92" t="str">
            <v>TIONG CHIH ENT</v>
          </cell>
        </row>
        <row r="93">
          <cell r="A93" t="str">
            <v>TONG HONG</v>
          </cell>
        </row>
        <row r="94">
          <cell r="A94" t="str">
            <v>TRISPORT</v>
          </cell>
        </row>
        <row r="95">
          <cell r="A95" t="str">
            <v>TSUEN LIN IND.</v>
          </cell>
        </row>
        <row r="96">
          <cell r="A96" t="str">
            <v>UDC NAM LIONG</v>
          </cell>
        </row>
        <row r="97">
          <cell r="A97" t="str">
            <v>UDC TIONG LIONG</v>
          </cell>
        </row>
        <row r="98">
          <cell r="A98" t="str">
            <v>VIEWFUL</v>
          </cell>
        </row>
        <row r="99">
          <cell r="A99" t="str">
            <v>WEI TAI</v>
          </cell>
        </row>
        <row r="100">
          <cell r="A100" t="str">
            <v>WL GORE</v>
          </cell>
        </row>
        <row r="101">
          <cell r="A101" t="str">
            <v>WOLVERINE CHINA</v>
          </cell>
        </row>
        <row r="102">
          <cell r="A102" t="str">
            <v>YI CHAO/RC</v>
          </cell>
        </row>
        <row r="103">
          <cell r="A103" t="str">
            <v>YOU YOUNG</v>
          </cell>
        </row>
        <row r="104">
          <cell r="A104" t="str">
            <v>YUE CHANG</v>
          </cell>
        </row>
        <row r="105">
          <cell r="A105" t="str">
            <v>YUH CHERNG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c"/>
      <sheetName val="Sheet3"/>
      <sheetName val="XL4Poppy"/>
      <sheetName val="danhsachhslop5"/>
      <sheetName val="heso"/>
      <sheetName val="Raw Data Sheet"/>
      <sheetName val="Cutting Dies "/>
      <sheetName val="Title Page"/>
      <sheetName val="GAMBAR ALL ARTICLE1"/>
      <sheetName val="GAMBAR ALL ARTICLE1 (2)"/>
      <sheetName val="pemakaian last KID'S"/>
      <sheetName val="manufacturing key (2)"/>
      <sheetName val="CRITICAL TO QUALITY (2)"/>
      <sheetName val="Component"/>
      <sheetName val="Index (2)"/>
      <sheetName val="infant"/>
      <sheetName val=" New Cutting Dies {1}"/>
      <sheetName val=" New Cutting Dies {2}"/>
      <sheetName val=" New Cutting Dies {3}"/>
      <sheetName val=" New Cutting Dies {4}"/>
      <sheetName val=" New Cutting Dies {5a}"/>
      <sheetName val="STROBEL (2)"/>
      <sheetName val="Perforation"/>
      <sheetName val="Logo Specification kid1 (2)"/>
      <sheetName val="Sockliner (3)"/>
      <sheetName val="SZ (2)"/>
      <sheetName val="Upper Overview Sketch"/>
      <sheetName val="SKIVING1"/>
      <sheetName val="triming"/>
      <sheetName val="marking (2)"/>
      <sheetName val="marking (3)"/>
      <sheetName val="reinf. (2)"/>
      <sheetName val="press box toe"/>
      <sheetName val="PRES SZ LBL (3)"/>
      <sheetName val="j tng o'lay"/>
      <sheetName val="j turn TNG lng (3)"/>
      <sheetName val="j tng foam"/>
      <sheetName val="blk tongue) (2)"/>
      <sheetName val="j pinggir (4)"/>
      <sheetName val="NOSEW VAMP 1"/>
      <sheetName val="NOSEW VAMP 2"/>
      <sheetName val="NOSEW VAMP 3"/>
      <sheetName val="j lm saddle (3)"/>
      <sheetName val="j tOP EYESTAY SPEEDLACE"/>
      <sheetName val="j eyerow ke upper"/>
      <sheetName val="zz upper"/>
      <sheetName val="j backtab"/>
      <sheetName val="j foxing"/>
      <sheetName val="j tip  (2)"/>
      <sheetName val="zz vamp"/>
      <sheetName val="j pinggir clr lng (2)"/>
      <sheetName val="j clr lin (3)"/>
      <sheetName val="tempel counter (2)"/>
      <sheetName val="spray collar foam (3)"/>
      <sheetName val="blk clr lng (2)"/>
      <sheetName val="hammer eyestay (2)"/>
      <sheetName val="j,under (2)"/>
      <sheetName val="punching uper (2)"/>
      <sheetName val="j,psg tongue (2)"/>
      <sheetName val="MEANSURANTMENT"/>
      <sheetName val="MEANSURANTMENT (2)"/>
      <sheetName val="Outsole KID INFANT"/>
      <sheetName val="stockfit(TTI)"/>
      <sheetName val="Stockf1 (2)"/>
      <sheetName val="Stockf2 (2)"/>
      <sheetName val="Stockf3 (2)"/>
      <sheetName val="Stockf4 (2)"/>
      <sheetName val="Stockf5 (2)"/>
      <sheetName val="Stockf6"/>
      <sheetName val="Stockf7"/>
      <sheetName val="Assembly  (TTI)"/>
      <sheetName val="as1  (2)"/>
      <sheetName val="as2"/>
      <sheetName val="as3"/>
      <sheetName val="as4"/>
      <sheetName val="as5"/>
      <sheetName val="as6"/>
      <sheetName val="as7"/>
      <sheetName val="as8"/>
      <sheetName val="as9"/>
      <sheetName val="as10 (2)"/>
      <sheetName val="BOX ms"/>
      <sheetName val="Packing(P&amp;G) (2)"/>
      <sheetName val="_x0000__x0000__x0000__x0000__x0000__x0000__x0000__x0000_"/>
      <sheetName val="8250"/>
      <sheetName val="K2"/>
      <sheetName val="????????"/>
      <sheetName val="나염(PFC)"/>
      <sheetName val="Raw_Data_Sheet"/>
      <sheetName val="Cutting_Dies_"/>
      <sheetName val="Title_Page"/>
      <sheetName val="GAMBAR_ALL_ARTICLE1"/>
      <sheetName val="GAMBAR_ALL_ARTICLE1_(2)"/>
      <sheetName val="pemakaian_last_KID'S"/>
      <sheetName val="manufacturing_key_(2)"/>
      <sheetName val="CRITICAL_TO_QUALITY_(2)"/>
      <sheetName val="Index_(2)"/>
      <sheetName val="_New_Cutting_Dies_{1}"/>
      <sheetName val="_New_Cutting_Dies_{2}"/>
      <sheetName val="_New_Cutting_Dies_{3}"/>
      <sheetName val="_New_Cutting_Dies_{4}"/>
      <sheetName val="_New_Cutting_Dies_{5a}"/>
      <sheetName val="STROBEL_(2)"/>
      <sheetName val="Logo_Specification_kid1_(2)"/>
      <sheetName val="Sockliner_(3)"/>
      <sheetName val="SZ_(2)"/>
      <sheetName val="Upper_Overview_Sketch"/>
      <sheetName val="marking_(2)"/>
      <sheetName val="marking_(3)"/>
      <sheetName val="reinf__(2)"/>
      <sheetName val="press_box_toe"/>
      <sheetName val="PRES_SZ_LBL_(3)"/>
      <sheetName val="j_tng_o'lay"/>
      <sheetName val="j_turn_TNG_lng_(3)"/>
      <sheetName val="j_tng_foam"/>
      <sheetName val="blk_tongue)_(2)"/>
      <sheetName val="j_pinggir_(4)"/>
      <sheetName val="NOSEW_VAMP_1"/>
      <sheetName val="NOSEW_VAMP_2"/>
      <sheetName val="NOSEW_VAMP_3"/>
      <sheetName val="j_lm_saddle_(3)"/>
      <sheetName val="j_tOP_EYESTAY_SPEEDLACE"/>
      <sheetName val="j_eyerow_ke_upper"/>
      <sheetName val="zz_upper"/>
      <sheetName val="j_backtab"/>
      <sheetName val="j_foxing"/>
      <sheetName val="j_tip__(2)"/>
      <sheetName val="zz_vamp"/>
      <sheetName val="j_pinggir_clr_lng_(2)"/>
      <sheetName val="j_clr_lin_(3)"/>
      <sheetName val="tempel_counter_(2)"/>
      <sheetName val="spray_collar_foam_(3)"/>
      <sheetName val="blk_clr_lng_(2)"/>
      <sheetName val="hammer_eyestay_(2)"/>
      <sheetName val="j,under_(2)"/>
      <sheetName val="punching_uper_(2)"/>
      <sheetName val="j,psg_tongue_(2)"/>
      <sheetName val="MEANSURANTMENT_(2)"/>
      <sheetName val="Outsole_KID_INFANT"/>
      <sheetName val="Stockf1_(2)"/>
      <sheetName val="Stockf2_(2)"/>
      <sheetName val="Stockf3_(2)"/>
      <sheetName val="Stockf4_(2)"/>
      <sheetName val="Stockf5_(2)"/>
      <sheetName val="Assembly__(TTI)"/>
      <sheetName val="as1__(2)"/>
      <sheetName val="as10_(2)"/>
      <sheetName val="BOX_ms"/>
      <sheetName val="Packing(P&amp;G)_(2)"/>
      <sheetName val=""/>
      <sheetName val="List"/>
      <sheetName val="608 WIDE"/>
      <sheetName val="CALENDER SDI&amp;SDI2 2024"/>
      <sheetName val="SUMMARY PER PO "/>
      <sheetName val="SUMMARY PER WEEKLY"/>
      <sheetName val="_x005f_x0000__x005f_x0000__x005f_x0000__x005f_x0000__x0"/>
      <sheetName val="_x005f_x005f_x005f_x0000__x005f_x005f_x005f_x0000__x005"/>
      <sheetName val="_x005f_x005f_x005f_x005f_x005f_x005f_x005f_x0000__x005f"/>
      <sheetName val="Vietnam Report"/>
      <sheetName val="_x0000__x0000__x0000__x0000__x0"/>
      <sheetName val="_x005f_x0000__x005f_x0000__x005"/>
      <sheetName val="_x005f_x005f_x005f_x0000__x005f"/>
      <sheetName val="_x005f_x005f_x005f_x005f_x005f_x005f_x005f_x005f_x005f_x005f_"/>
      <sheetName val="_x005f_x005f_x005f_x005f_"/>
      <sheetName val="_x005f_x005f_x005f_x005f_x005f_x005f_x005f_x005f_"/>
      <sheetName val="Sum"/>
      <sheetName val="Indirect List"/>
      <sheetName val="Tracking MOLD"/>
      <sheetName val="________"/>
      <sheetName val="02DB"/>
      <sheetName val="Computer Stitching Schedule "/>
      <sheetName val="Sheet2"/>
      <sheetName val="APL"/>
      <sheetName val="WB Primer Shoe"/>
      <sheetName val="GFP Type"/>
      <sheetName val="_x0"/>
      <sheetName val="MAR' 25 373 YOUTH "/>
      <sheetName val="MAR'25 373 INFANT "/>
      <sheetName val="NBR Executive Summary"/>
      <sheetName val="2. Graph Excess Material Out"/>
      <sheetName val="3. Graph Saving Amount Out"/>
      <sheetName val="4. Graph Mat Inventory Control"/>
      <sheetName val="5. Graph Mapping Layout Rack"/>
      <sheetName val="6. Graph Kaizen"/>
      <sheetName val="7. Graph Multiskill Job Rotate"/>
      <sheetName val="_x0000__x0000__x005"/>
      <sheetName val="_x005f_x0000__x005f"/>
      <sheetName val="_x005f_x005f_"/>
      <sheetName val="_x005"/>
      <sheetName val="5.수정데이터통합"/>
      <sheetName val="JULI'25 608 REG SAI"/>
      <sheetName val="JULI'25 608 REG SDI"/>
      <sheetName val="JULI'25 608 WD SAI "/>
      <sheetName val="JULI'25 608 WD SDI "/>
      <sheetName val="QTY ORDER"/>
      <sheetName val="_"/>
      <sheetName val="BTRSS"/>
      <sheetName val="BASIS DATA"/>
      <sheetName val="SUBCONT STATUS"/>
      <sheetName val="SUMM LOADING "/>
      <sheetName val="101"/>
      <sheetName val="map"/>
      <sheetName val="당월(1)"/>
      <sheetName val="PIDATA"/>
      <sheetName val="STANDARD PROCESS NAMES"/>
      <sheetName val="Raw_Data_Sheet1"/>
      <sheetName val="Cutting_Dies_1"/>
      <sheetName val="Title_Page1"/>
      <sheetName val="GAMBAR_ALL_ARTICLE11"/>
      <sheetName val="GAMBAR_ALL_ARTICLE1_(2)1"/>
      <sheetName val="pemakaian_last_KID'S1"/>
      <sheetName val="manufacturing_key_(2)1"/>
      <sheetName val="CRITICAL_TO_QUALITY_(2)1"/>
      <sheetName val="Index_(2)1"/>
      <sheetName val="_New_Cutting_Dies_{1}1"/>
      <sheetName val="_New_Cutting_Dies_{2}1"/>
      <sheetName val="_New_Cutting_Dies_{3}1"/>
      <sheetName val="_New_Cutting_Dies_{4}1"/>
      <sheetName val="_New_Cutting_Dies_{5a}1"/>
      <sheetName val="STROBEL_(2)1"/>
      <sheetName val="Logo_Specification_kid1_(2)1"/>
      <sheetName val="Sockliner_(3)1"/>
      <sheetName val="SZ_(2)1"/>
      <sheetName val="Upper_Overview_Sketch1"/>
      <sheetName val="marking_(2)1"/>
      <sheetName val="marking_(3)1"/>
      <sheetName val="reinf__(2)1"/>
      <sheetName val="press_box_toe1"/>
      <sheetName val="PRES_SZ_LBL_(3)1"/>
      <sheetName val="j_tng_o'lay1"/>
      <sheetName val="j_turn_TNG_lng_(3)1"/>
      <sheetName val="j_tng_foam1"/>
      <sheetName val="blk_tongue)_(2)1"/>
      <sheetName val="j_pinggir_(4)1"/>
      <sheetName val="NOSEW_VAMP_11"/>
      <sheetName val="NOSEW_VAMP_21"/>
      <sheetName val="NOSEW_VAMP_31"/>
      <sheetName val="j_lm_saddle_(3)1"/>
      <sheetName val="j_tOP_EYESTAY_SPEEDLACE1"/>
      <sheetName val="j_eyerow_ke_upper1"/>
      <sheetName val="zz_upper1"/>
      <sheetName val="j_backtab1"/>
      <sheetName val="j_foxing1"/>
      <sheetName val="j_tip__(2)1"/>
      <sheetName val="zz_vamp1"/>
      <sheetName val="j_pinggir_clr_lng_(2)1"/>
      <sheetName val="j_clr_lin_(3)1"/>
      <sheetName val="tempel_counter_(2)1"/>
      <sheetName val="spray_collar_foam_(3)1"/>
      <sheetName val="blk_clr_lng_(2)1"/>
      <sheetName val="hammer_eyestay_(2)1"/>
      <sheetName val="j,under_(2)1"/>
      <sheetName val="punching_uper_(2)1"/>
      <sheetName val="j,psg_tongue_(2)1"/>
      <sheetName val="MEANSURANTMENT_(2)1"/>
      <sheetName val="Outsole_KID_INFANT1"/>
      <sheetName val="Stockf1_(2)1"/>
      <sheetName val="Stockf2_(2)1"/>
      <sheetName val="Stockf3_(2)1"/>
      <sheetName val="Stockf4_(2)1"/>
      <sheetName val="Stockf5_(2)1"/>
      <sheetName val="Assembly__(TTI)1"/>
      <sheetName val="as1__(2)1"/>
      <sheetName val="as10_(2)1"/>
      <sheetName val="BOX_ms1"/>
      <sheetName val="Packing(P&amp;G)_(2)1"/>
      <sheetName val="608_WIDE"/>
      <sheetName val="CALENDER_SDI&amp;SDI2_2024"/>
      <sheetName val="SUMMARY_PER_PO_"/>
      <sheetName val="SUMMARY_PER_WEEKLY"/>
      <sheetName val="Vietnam_Report"/>
      <sheetName val="Indirect_List"/>
      <sheetName val="Tracking_MOLD"/>
      <sheetName val="Computer_Stitching_Schedule_"/>
      <sheetName val="WB_Primer_Shoe"/>
      <sheetName val="GFP_Type"/>
      <sheetName val="MAR'_25_373_YOUTH_"/>
      <sheetName val="MAR'25_373_INFANT_"/>
      <sheetName val="2__Graph_Excess_Material_Out"/>
      <sheetName val="3__Graph_Saving_Amount_Out"/>
      <sheetName val="4__Graph_Mat_Inventory_Control"/>
      <sheetName val="5__Graph_Mapping_Layout_Rack"/>
      <sheetName val="6__Graph_Kaizen"/>
      <sheetName val="7__Graph_Multiskill_Job_Rotate"/>
      <sheetName val="5_수정데이터통합"/>
      <sheetName val="JULI'25_608_REG_SAI"/>
      <sheetName val="JULI'25_608_REG_SDI"/>
      <sheetName val="JULI'25_608_WD_SAI_"/>
      <sheetName val="JULI'25_608_WD_SDI_"/>
      <sheetName val="QTY_ORDER"/>
      <sheetName val="NBR_Executive_Summary"/>
      <sheetName val="BASIS_DATA"/>
      <sheetName val="SUBCONT_STATUS"/>
      <sheetName val="SUMM_LOADING_"/>
      <sheetName val="STANDARD_PROCESS_NAMES"/>
      <sheetName val="Raw_Data_Sheet2"/>
      <sheetName val="Cutting_Dies_2"/>
      <sheetName val="Title_Page2"/>
      <sheetName val="GAMBAR_ALL_ARTICLE12"/>
      <sheetName val="GAMBAR_ALL_ARTICLE1_(2)2"/>
      <sheetName val="pemakaian_last_KID'S2"/>
      <sheetName val="manufacturing_key_(2)2"/>
      <sheetName val="CRITICAL_TO_QUALITY_(2)2"/>
      <sheetName val="Index_(2)2"/>
      <sheetName val="_New_Cutting_Dies_{1}2"/>
      <sheetName val="_New_Cutting_Dies_{2}2"/>
      <sheetName val="_New_Cutting_Dies_{3}2"/>
      <sheetName val="_New_Cutting_Dies_{4}2"/>
      <sheetName val="_New_Cutting_Dies_{5a}2"/>
      <sheetName val="STROBEL_(2)2"/>
      <sheetName val="Logo_Specification_kid1_(2)2"/>
      <sheetName val="Sockliner_(3)2"/>
      <sheetName val="SZ_(2)2"/>
      <sheetName val="Upper_Overview_Sketch2"/>
      <sheetName val="marking_(2)2"/>
      <sheetName val="marking_(3)2"/>
      <sheetName val="reinf__(2)2"/>
      <sheetName val="press_box_toe2"/>
      <sheetName val="PRES_SZ_LBL_(3)2"/>
      <sheetName val="j_tng_o'lay2"/>
      <sheetName val="j_turn_TNG_lng_(3)2"/>
      <sheetName val="j_tng_foam2"/>
      <sheetName val="blk_tongue)_(2)2"/>
      <sheetName val="j_pinggir_(4)2"/>
      <sheetName val="NOSEW_VAMP_12"/>
      <sheetName val="NOSEW_VAMP_22"/>
      <sheetName val="NOSEW_VAMP_32"/>
      <sheetName val="j_lm_saddle_(3)2"/>
      <sheetName val="j_tOP_EYESTAY_SPEEDLACE2"/>
      <sheetName val="j_eyerow_ke_upper2"/>
      <sheetName val="zz_upper2"/>
      <sheetName val="j_backtab2"/>
      <sheetName val="j_foxing2"/>
      <sheetName val="j_tip__(2)2"/>
      <sheetName val="zz_vamp2"/>
      <sheetName val="j_pinggir_clr_lng_(2)2"/>
      <sheetName val="j_clr_lin_(3)2"/>
      <sheetName val="tempel_counter_(2)2"/>
      <sheetName val="spray_collar_foam_(3)2"/>
      <sheetName val="blk_clr_lng_(2)2"/>
      <sheetName val="hammer_eyestay_(2)2"/>
      <sheetName val="j,under_(2)2"/>
      <sheetName val="punching_uper_(2)2"/>
      <sheetName val="j,psg_tongue_(2)2"/>
      <sheetName val="MEANSURANTMENT_(2)2"/>
      <sheetName val="Outsole_KID_INFANT2"/>
      <sheetName val="Stockf1_(2)2"/>
      <sheetName val="Stockf2_(2)2"/>
      <sheetName val="Stockf3_(2)2"/>
      <sheetName val="Stockf4_(2)2"/>
      <sheetName val="Stockf5_(2)2"/>
      <sheetName val="Assembly__(TTI)2"/>
      <sheetName val="as1__(2)2"/>
      <sheetName val="as10_(2)2"/>
      <sheetName val="BOX_ms2"/>
      <sheetName val="Packing(P&amp;G)_(2)2"/>
      <sheetName val="608_WIDE1"/>
      <sheetName val="CALENDER_SDI&amp;SDI2_20241"/>
      <sheetName val="SUMMARY_PER_PO_1"/>
      <sheetName val="SUMMARY_PER_WEEKLY1"/>
      <sheetName val="Vietnam_Report1"/>
      <sheetName val="Indirect_List1"/>
      <sheetName val="Tracking_MOLD1"/>
      <sheetName val="Computer_Stitching_Schedule_1"/>
      <sheetName val="WB_Primer_Shoe1"/>
      <sheetName val="GFP_Type1"/>
      <sheetName val="MAR'_25_373_YOUTH_1"/>
      <sheetName val="MAR'25_373_INFANT_1"/>
      <sheetName val="2__Graph_Excess_Material_Out1"/>
      <sheetName val="3__Graph_Saving_Amount_Out1"/>
      <sheetName val="4__Graph_Mat_Inventory_Control1"/>
      <sheetName val="5__Graph_Mapping_Layout_Rack1"/>
      <sheetName val="6__Graph_Kaizen1"/>
      <sheetName val="7__Graph_Multiskill_Job_Rotate1"/>
      <sheetName val="5_수정데이터통합1"/>
      <sheetName val="JULI'25_608_REG_SAI1"/>
      <sheetName val="JULI'25_608_REG_SDI1"/>
      <sheetName val="JULI'25_608_WD_SAI_1"/>
      <sheetName val="JULI'25_608_WD_SDI_1"/>
      <sheetName val="QTY_ORDER1"/>
      <sheetName val="NBR_Executive_Summary1"/>
      <sheetName val="BASIS_DATA1"/>
      <sheetName val="SUBCONT_STATUS1"/>
      <sheetName val="SUMM_LOADING_1"/>
      <sheetName val="STANDARD_PROCESS_NAMES1"/>
      <sheetName val="STANDARD MC &amp; TOOLS"/>
    </sheetNames>
    <sheetDataSet>
      <sheetData sheetId="0">
        <row r="1">
          <cell r="B1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  <sheetName val="new CSS PU form(95).xls"/>
      <sheetName val="당월(1)"/>
      <sheetName val="Sheet1"/>
      <sheetName val="제조공정도5"/>
      <sheetName val="Mold Efficiency Form"/>
    </sheetNames>
    <definedNames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Cutting Dies "/>
      <sheetName val="Raw Data Sheet"/>
      <sheetName val="overall_total os"/>
      <sheetName val="5.???????"/>
      <sheetName val="SHOX REMID II"/>
      <sheetName val="BOLD SISTER-STRONG SISTER -TOR6"/>
      <sheetName val="SHOX NAVINA , SHOX REVEAL"/>
      <sheetName val="3.I-Prefit Stitching"/>
      <sheetName val="IP ( Spray )"/>
      <sheetName val="Injection Phylon Process"/>
      <sheetName val="5_수정데이터통합"/>
      <sheetName val="Raw_Data_Sheet"/>
      <sheetName val="5._______"/>
      <sheetName val="Marking Location(1)"/>
      <sheetName val="Reinforcement Placement "/>
      <sheetName val="MESIN"/>
      <sheetName val="Sum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5_수정데이터통합1"/>
      <sheetName val="Raw_Data_Sheet1"/>
      <sheetName val="Material"/>
      <sheetName val="BANGSDDK"/>
      <sheetName val="CAN DOI CHITIET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_x0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ANLCTY01-02.XLS"/>
      <sheetName val="summary"/>
      <sheetName val="_削薄處指示說明_(4)7"/>
      <sheetName val="_x0000__x0000__x005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_x005"/>
      <sheetName val="ANLCTY01-02_XLS"/>
      <sheetName val="Spray_Turbulence_162"/>
      <sheetName val="(Motion)_Stitching2"/>
      <sheetName val="Stitching_Instruction_(7)1"/>
      <sheetName val="Assembly_Line_Layout1"/>
      <sheetName val="Standard Equipment"/>
      <sheetName val="针车总流程2"/>
      <sheetName val="SUMMARY MACHINE"/>
      <sheetName val="Rubber Spec. (1)"/>
      <sheetName val="5_수정데이터통합4"/>
      <sheetName val="Raw_Data_Sheet4"/>
      <sheetName val="Cutting_Dies_4"/>
      <sheetName val="5_???????4"/>
      <sheetName val="overall_total_os4"/>
      <sheetName val="SHOX_REMID_II4"/>
      <sheetName val="BOLD_SISTER-STRONG_SISTER_-TOR4"/>
      <sheetName val="SHOX_NAVINA_,_SHOX_REVEAL4"/>
      <sheetName val="3_I-Prefit_Stitching4"/>
      <sheetName val="5________4"/>
      <sheetName val="Injection_Phylon_Process4"/>
      <sheetName val="IP_(_Spray_)4"/>
      <sheetName val="Marking_Location(1)4"/>
      <sheetName val="Reinforcement_Placement_4"/>
      <sheetName val="Chiet_tinh_dz354"/>
      <sheetName val="Dispenser_Ruang_Classic4"/>
      <sheetName val="Mold_Efficiency_Form4"/>
      <sheetName val="ROLL_RUBBER4"/>
      <sheetName val="CSS_DATA4"/>
      <sheetName val="Cutting_Dies_3"/>
      <sheetName val="5_???????3"/>
      <sheetName val="overall_total_os3"/>
      <sheetName val="SHOX_REMID_II3"/>
      <sheetName val="BOLD_SISTER-STRONG_SISTER_-TOR3"/>
      <sheetName val="SHOX_NAVINA_,_SHOX_REVEAL3"/>
      <sheetName val="3_I-Prefit_Stitching3"/>
      <sheetName val="5________3"/>
      <sheetName val="Injection_Phylon_Process3"/>
      <sheetName val="IP_(_Spray_)3"/>
      <sheetName val="Marking_Location(1)3"/>
      <sheetName val="Reinforcement_Placement_3"/>
      <sheetName val="Chiet_tinh_dz353"/>
      <sheetName val="Dispenser_Ruang_Classic3"/>
      <sheetName val="Mold_Efficiency_Form3"/>
      <sheetName val="ROLL_RUBBER3"/>
      <sheetName val="CSS_DATA3"/>
      <sheetName val="5_수정데이터통합5"/>
      <sheetName val="Raw_Data_Sheet5"/>
      <sheetName val="Cutting_Dies_5"/>
      <sheetName val="5_???????5"/>
      <sheetName val="overall_total_os5"/>
      <sheetName val="SHOX_REMID_II5"/>
      <sheetName val="BOLD_SISTER-STRONG_SISTER_-TOR5"/>
      <sheetName val="SHOX_NAVINA_,_SHOX_REVEAL5"/>
      <sheetName val="3_I-Prefit_Stitching5"/>
      <sheetName val="5________5"/>
      <sheetName val="Injection_Phylon_Process5"/>
      <sheetName val="IP_(_Spray_)5"/>
      <sheetName val="Marking_Location(1)5"/>
      <sheetName val="Reinforcement_Placement_5"/>
      <sheetName val="Chiet_tinh_dz355"/>
      <sheetName val="Dispenser_Ruang_Classic5"/>
      <sheetName val="5_수정데이터통합9"/>
      <sheetName val="Raw_Data_Sheet9"/>
      <sheetName val="Cutting_Dies_9"/>
      <sheetName val="5_???????9"/>
      <sheetName val="overall_total_os9"/>
      <sheetName val="SHOX_REMID_II9"/>
      <sheetName val="BOLD_SISTER-STRONG_SISTER_-TO10"/>
      <sheetName val="SHOX_NAVINA_,_SHOX_REVEAL9"/>
      <sheetName val="3_I-Prefit_Stitching9"/>
      <sheetName val="5________9"/>
      <sheetName val="Injection_Phylon_Process9"/>
      <sheetName val="IP_(_Spray_)9"/>
      <sheetName val="Marking_Location(1)9"/>
      <sheetName val="Reinforcement_Placement_9"/>
      <sheetName val="Chiet_tinh_dz359"/>
      <sheetName val="Dispenser_Ruang_Classic9"/>
      <sheetName val="Mold_Efficiency_Form8"/>
      <sheetName val="ROLL_RUBBER8"/>
      <sheetName val="CSS_DATA8"/>
      <sheetName val="5_수정데이터통합7"/>
      <sheetName val="Raw_Data_Sheet7"/>
      <sheetName val="Cutting_Dies_7"/>
      <sheetName val="5_???????7"/>
      <sheetName val="overall_total_os7"/>
      <sheetName val="SHOX_REMID_II7"/>
      <sheetName val="BOLD_SISTER-STRONG_SISTER_-TOR8"/>
      <sheetName val="SHOX_NAVINA_,_SHOX_REVEAL7"/>
      <sheetName val="3_I-Prefit_Stitching7"/>
      <sheetName val="5________7"/>
      <sheetName val="Injection_Phylon_Process7"/>
      <sheetName val="IP_(_Spray_)7"/>
      <sheetName val="Marking_Location(1)7"/>
      <sheetName val="Reinforcement_Placement_7"/>
      <sheetName val="Chiet_tinh_dz357"/>
      <sheetName val="Dispenser_Ruang_Classic7"/>
      <sheetName val="Mold_Efficiency_Form6"/>
      <sheetName val="ROLL_RUBBER6"/>
      <sheetName val="CSS_DATA6"/>
      <sheetName val="5_수정데이터통합6"/>
      <sheetName val="Raw_Data_Sheet6"/>
      <sheetName val="Cutting_Dies_6"/>
      <sheetName val="5_???????6"/>
      <sheetName val="overall_total_os6"/>
      <sheetName val="SHOX_REMID_II6"/>
      <sheetName val="BOLD_SISTER-STRONG_SISTER_-TOR7"/>
      <sheetName val="SHOX_NAVINA_,_SHOX_REVEAL6"/>
      <sheetName val="3_I-Prefit_Stitching6"/>
      <sheetName val="5________6"/>
      <sheetName val="Injection_Phylon_Process6"/>
      <sheetName val="IP_(_Spray_)6"/>
      <sheetName val="Marking_Location(1)6"/>
      <sheetName val="Reinforcement_Placement_6"/>
      <sheetName val="Chiet_tinh_dz356"/>
      <sheetName val="Dispenser_Ruang_Classic6"/>
      <sheetName val="Mold_Efficiency_Form5"/>
      <sheetName val="ROLL_RUBBER5"/>
      <sheetName val="CSS_DATA5"/>
      <sheetName val="5_수정데이터통합8"/>
      <sheetName val="Raw_Data_Sheet8"/>
      <sheetName val="Cutting_Dies_8"/>
      <sheetName val="5_???????8"/>
      <sheetName val="overall_total_os8"/>
      <sheetName val="SHOX_REMID_II8"/>
      <sheetName val="BOLD_SISTER-STRONG_SISTER_-TOR9"/>
      <sheetName val="SHOX_NAVINA_,_SHOX_REVEAL8"/>
      <sheetName val="3_I-Prefit_Stitching8"/>
      <sheetName val="5________8"/>
      <sheetName val="Injection_Phylon_Process8"/>
      <sheetName val="IP_(_Spray_)8"/>
      <sheetName val="Marking_Location(1)8"/>
      <sheetName val="Reinforcement_Placement_8"/>
      <sheetName val="Chiet_tinh_dz358"/>
      <sheetName val="Dispenser_Ruang_Classic8"/>
      <sheetName val="Mold_Efficiency_Form7"/>
      <sheetName val="ROLL_RUBBER7"/>
      <sheetName val="CSS_DATA7"/>
      <sheetName val="5_수정데이터통합10"/>
      <sheetName val="Raw_Data_Sheet10"/>
      <sheetName val="Cutting_Dies_10"/>
      <sheetName val="5_???????10"/>
      <sheetName val="overall_total_os10"/>
      <sheetName val="SHOX_REMID_II10"/>
      <sheetName val="BOLD_SISTER-STRONG_SISTER_-TO11"/>
      <sheetName val="SHOX_NAVINA_,_SHOX_REVEAL10"/>
      <sheetName val="3_I-Prefit_Stitching10"/>
      <sheetName val="5________10"/>
      <sheetName val="Injection_Phylon_Process10"/>
      <sheetName val="IP_(_Spray_)10"/>
      <sheetName val="Marking_Location(1)10"/>
      <sheetName val="Reinforcement_Placement_10"/>
      <sheetName val="Chiet_tinh_dz3510"/>
      <sheetName val="Dispenser_Ruang_Classic10"/>
      <sheetName val="Mold_Efficiency_Form9"/>
      <sheetName val="ROLL_RUBBER9"/>
      <sheetName val="CSS_DATA9"/>
      <sheetName val="5_수정데이터통합18"/>
      <sheetName val="Raw_Data_Sheet18"/>
      <sheetName val="Cutting_Dies_18"/>
      <sheetName val="5_???????18"/>
      <sheetName val="overall_total_os18"/>
      <sheetName val="SHOX_REMID_II18"/>
      <sheetName val="BOLD_SISTER-STRONG_SISTER_-TO19"/>
      <sheetName val="SHOX_NAVINA_,_SHOX_REVEAL18"/>
      <sheetName val="3_I-Prefit_Stitching18"/>
      <sheetName val="5________18"/>
      <sheetName val="Injection_Phylon_Process18"/>
      <sheetName val="IP_(_Spray_)18"/>
      <sheetName val="Marking_Location(1)18"/>
      <sheetName val="Reinforcement_Placement_18"/>
      <sheetName val="Chiet_tinh_dz3518"/>
      <sheetName val="Dispenser_Ruang_Classic18"/>
      <sheetName val="Mold_Efficiency_Form17"/>
      <sheetName val="ROLL_RUBBER17"/>
      <sheetName val="CSS_DATA17"/>
      <sheetName val="5_수정데이터통합11"/>
      <sheetName val="Raw_Data_Sheet11"/>
      <sheetName val="Cutting_Dies_11"/>
      <sheetName val="5_???????11"/>
      <sheetName val="overall_total_os11"/>
      <sheetName val="SHOX_REMID_II11"/>
      <sheetName val="BOLD_SISTER-STRONG_SISTER_-TO12"/>
      <sheetName val="SHOX_NAVINA_,_SHOX_REVEAL11"/>
      <sheetName val="3_I-Prefit_Stitching11"/>
      <sheetName val="5________11"/>
      <sheetName val="Injection_Phylon_Process11"/>
      <sheetName val="IP_(_Spray_)11"/>
      <sheetName val="Marking_Location(1)11"/>
      <sheetName val="Reinforcement_Placement_11"/>
      <sheetName val="Chiet_tinh_dz3511"/>
      <sheetName val="Dispenser_Ruang_Classic11"/>
      <sheetName val="Mold_Efficiency_Form10"/>
      <sheetName val="ROLL_RUBBER10"/>
      <sheetName val="CSS_DATA10"/>
      <sheetName val="5_수정데이터통합12"/>
      <sheetName val="Raw_Data_Sheet12"/>
      <sheetName val="Cutting_Dies_12"/>
      <sheetName val="5_???????12"/>
      <sheetName val="overall_total_os12"/>
      <sheetName val="SHOX_REMID_II12"/>
      <sheetName val="BOLD_SISTER-STRONG_SISTER_-TO13"/>
      <sheetName val="SHOX_NAVINA_,_SHOX_REVEAL12"/>
      <sheetName val="3_I-Prefit_Stitching12"/>
      <sheetName val="5________12"/>
      <sheetName val="Injection_Phylon_Process12"/>
      <sheetName val="IP_(_Spray_)12"/>
      <sheetName val="Marking_Location(1)12"/>
      <sheetName val="Reinforcement_Placement_12"/>
      <sheetName val="Chiet_tinh_dz3512"/>
      <sheetName val="Dispenser_Ruang_Classic12"/>
      <sheetName val="Mold_Efficiency_Form11"/>
      <sheetName val="ROLL_RUBBER11"/>
      <sheetName val="CSS_DATA11"/>
      <sheetName val="5_수정데이터통합13"/>
      <sheetName val="Raw_Data_Sheet13"/>
      <sheetName val="Cutting_Dies_13"/>
      <sheetName val="5_???????13"/>
      <sheetName val="overall_total_os13"/>
      <sheetName val="SHOX_REMID_II13"/>
      <sheetName val="BOLD_SISTER-STRONG_SISTER_-TO14"/>
      <sheetName val="SHOX_NAVINA_,_SHOX_REVEAL13"/>
      <sheetName val="3_I-Prefit_Stitching13"/>
      <sheetName val="5________13"/>
      <sheetName val="Injection_Phylon_Process13"/>
      <sheetName val="IP_(_Spray_)13"/>
      <sheetName val="Marking_Location(1)13"/>
      <sheetName val="Reinforcement_Placement_13"/>
      <sheetName val="Chiet_tinh_dz3513"/>
      <sheetName val="Dispenser_Ruang_Classic13"/>
      <sheetName val="Mold_Efficiency_Form12"/>
      <sheetName val="ROLL_RUBBER12"/>
      <sheetName val="CSS_DATA12"/>
      <sheetName val="5_수정데이터통합14"/>
      <sheetName val="Raw_Data_Sheet14"/>
      <sheetName val="Cutting_Dies_14"/>
      <sheetName val="5_???????14"/>
      <sheetName val="overall_total_os14"/>
      <sheetName val="SHOX_REMID_II14"/>
      <sheetName val="BOLD_SISTER-STRONG_SISTER_-TO15"/>
      <sheetName val="SHOX_NAVINA_,_SHOX_REVEAL14"/>
      <sheetName val="3_I-Prefit_Stitching14"/>
      <sheetName val="5________14"/>
      <sheetName val="Injection_Phylon_Process14"/>
      <sheetName val="IP_(_Spray_)14"/>
      <sheetName val="Marking_Location(1)14"/>
      <sheetName val="Reinforcement_Placement_14"/>
      <sheetName val="Chiet_tinh_dz3514"/>
      <sheetName val="Dispenser_Ruang_Classic14"/>
      <sheetName val="Mold_Efficiency_Form13"/>
      <sheetName val="ROLL_RUBBER13"/>
      <sheetName val="CSS_DATA13"/>
      <sheetName val="5_수정데이터통합16"/>
      <sheetName val="Raw_Data_Sheet16"/>
      <sheetName val="Cutting_Dies_16"/>
      <sheetName val="5_???????16"/>
      <sheetName val="overall_total_os16"/>
      <sheetName val="SHOX_REMID_II16"/>
      <sheetName val="BOLD_SISTER-STRONG_SISTER_-TO17"/>
      <sheetName val="SHOX_NAVINA_,_SHOX_REVEAL16"/>
      <sheetName val="3_I-Prefit_Stitching16"/>
      <sheetName val="5________16"/>
      <sheetName val="IP CSS DATA"/>
      <sheetName val="Process Flow Chart"/>
      <sheetName val="Assembly Process (4)"/>
      <sheetName val="PU CSS DATA"/>
      <sheetName val="VAMP"/>
      <sheetName val="_x0000__x005f"/>
      <sheetName val="_"/>
      <sheetName val="Index"/>
      <sheetName val="0103"/>
      <sheetName val="IP ( UV )"/>
      <sheetName val="List"/>
      <sheetName val="Stitching(Upper)_x005f_x005f_x005f_x000a_"/>
      <sheetName val="MC+Allowance"/>
      <sheetName val="MC+Allowance "/>
      <sheetName val="MC+ Allowance"/>
      <sheetName val="Supplier List"/>
      <sheetName val="FOM labor process"/>
      <sheetName val="DPIP - CSS SCRIBELINE CONFIRM"/>
      <sheetName val="Transfer Print"/>
      <sheetName val="PIM Mold"/>
      <sheetName val="Vietnam Report"/>
      <sheetName val="MTO REV.0"/>
      <sheetName val="Out-Annalysis"/>
      <sheetName val="Stitching(Upper)_x005f_x005f_x005f_x005f_x0"/>
      <sheetName val="Assembly EST 288"/>
      <sheetName val="Vietcombank"/>
      <sheetName val="Salary sheet"/>
      <sheetName val="BangLuong"/>
      <sheetName val="_x005f"/>
      <sheetName val="5_수정데이터통합15"/>
      <sheetName val="Raw_Data_Sheet15"/>
      <sheetName val="Cutting_Dies_15"/>
      <sheetName val="5_???????15"/>
      <sheetName val="overall_total_os15"/>
      <sheetName val="SHOX_REMID_II15"/>
      <sheetName val="BOLD_SISTER-STRONG_SISTER_-TO16"/>
      <sheetName val="SHOX_NAVINA_,_SHOX_REVEAL15"/>
      <sheetName val="3_I-Prefit_Stitching15"/>
      <sheetName val="5________15"/>
      <sheetName val="Injection_Phylon_Process15"/>
      <sheetName val="IP_(_Spray_)15"/>
      <sheetName val="Marking_Location(1)15"/>
      <sheetName val="Reinforcement_Placement_15"/>
      <sheetName val="Chiet_tinh_dz3515"/>
      <sheetName val="Dispenser_Ruang_Classic15"/>
      <sheetName val="Mold_Efficiency_Form14"/>
      <sheetName val="ROLL_RUBBER14"/>
      <sheetName val="CSS_DATA14"/>
      <sheetName val="Rubber_Spec__(1)"/>
      <sheetName val="IP_CSS_DATA"/>
      <sheetName val="Process_Flow_Chart"/>
      <sheetName val="Assembly_Process_(4)"/>
      <sheetName val="PU_CSS_DATA"/>
      <sheetName val="SUMMARY_MACHINE"/>
      <sheetName val="IP_(_UV_)"/>
      <sheetName val="FOM_labor_process"/>
      <sheetName val="MC+Allowance_"/>
      <sheetName val="MC+_Allowance"/>
      <sheetName val="Supplier_List"/>
      <sheetName val="PIM_Mold"/>
      <sheetName val="Vietnam_Report"/>
      <sheetName val="MTO_REV_0"/>
      <sheetName val="map"/>
      <sheetName val="Chemical List"/>
      <sheetName val="5_수정데이터통합17"/>
      <sheetName val="Raw_Data_Sheet17"/>
      <sheetName val="Cutting_Dies_17"/>
      <sheetName val="5_???????17"/>
      <sheetName val="overall_total_os17"/>
      <sheetName val="SHOX_REMID_II17"/>
      <sheetName val="BOLD_SISTER-STRONG_SISTER_-TO18"/>
      <sheetName val="SHOX_NAVINA_,_SHOX_REVEAL17"/>
      <sheetName val="3_I-Prefit_Stitching17"/>
      <sheetName val="5________17"/>
      <sheetName val="Injection_Phylon_Process16"/>
      <sheetName val="IP_(_Spray_)16"/>
      <sheetName val="Marking_Location(1)16"/>
      <sheetName val="Reinforcement_Placement_16"/>
      <sheetName val="Chiet_tinh_dz3516"/>
      <sheetName val="Dispenser_Ruang_Classic16"/>
      <sheetName val="Mold_Efficiency_Form15"/>
      <sheetName val="ROLL_RUBBER15"/>
      <sheetName val="CSS_DATA15"/>
      <sheetName val="Rubber_Spec__(1)1"/>
      <sheetName val="IP_CSS_DATA1"/>
      <sheetName val="Process_Flow_Chart1"/>
      <sheetName val="Assembly_Process_(4)1"/>
      <sheetName val="PU_CSS_DATA1"/>
      <sheetName val="SUMMARY_MACHINE1"/>
      <sheetName val="IP_(_UV_)1"/>
      <sheetName val="FOM_labor_process1"/>
      <sheetName val="MC+Allowance_1"/>
      <sheetName val="MC+_Allowance1"/>
      <sheetName val="Supplier_List1"/>
      <sheetName val="PIM_Mold1"/>
      <sheetName val="Vietnam_Report1"/>
      <sheetName val="MTO_REV_01"/>
      <sheetName val="Assembly_EST_288"/>
      <sheetName val="Salary_sheet"/>
      <sheetName val="DPIP_-_CSS_SCRIBELINE_CONFIRM"/>
      <sheetName val="GVL"/>
      <sheetName val="H.YOUNG (2 JAM)Tailwind (assb)"/>
      <sheetName val="H.YOUNG (24 JAM)Tailwind (assb)"/>
      <sheetName val="H.YOUNG (2 JAM)NK IMP R (assb)"/>
      <sheetName val="H.YOUNG (24 JAM)NK IMP R (assb)"/>
      <sheetName val="HAN YOUNG (2 JAM)NK IMP RUN 3"/>
      <sheetName val="H.YOUNG (24 JAM)LT A TAILWIND"/>
      <sheetName val="HAN YOUNG (2 JAM)LT A MAX"/>
      <sheetName val="Stitching Instruction  (2)"/>
      <sheetName val="Skiving Instructions "/>
      <sheetName val="Key Manufacturing Details (1)"/>
      <sheetName val="Drop-down list"/>
      <sheetName val="Stitching Input"/>
      <sheetName val="List for Selection"/>
      <sheetName val="46"/>
      <sheetName val="truc tiep"/>
      <sheetName val="CF -Update 31Jul06"/>
      <sheetName val="consol"/>
      <sheetName val="INDEX TIME ANALYSIS (3)"/>
      <sheetName val="00000000"/>
      <sheetName val="TAM"/>
      <sheetName val="DL DANH MUC"/>
      <sheetName val="3-TH Nhan VT"/>
      <sheetName val="TL-DM SP"/>
      <sheetName val="TL-DM NCC"/>
      <sheetName val="MAIN GATE HOUSE"/>
      <sheetName val="DM-HANG HOA-NHA CC"/>
      <sheetName val="DU LIEU"/>
      <sheetName val="ms nhà máy"/>
      <sheetName val="Evaluation Result"/>
      <sheetName val="Data"/>
      <sheetName val="Menu"/>
      <sheetName val="Article name"/>
      <sheetName val="Defect code"/>
      <sheetName val="DATA TỔNG HỢP"/>
      <sheetName val="TỶ LỆ LỖI NHẸ - NẶNG - NTRỌNG"/>
      <sheetName val="TỶ LỆ LỖI NHẸ"/>
      <sheetName val="TỶ LỆ LỖI NẶNG"/>
      <sheetName val="TỶ LỆ LỖI NTRỌNG"/>
      <sheetName val="TỶ LỆ LỖI NHẸ- NẶNG- NTRỌNG  SP"/>
      <sheetName val="TỶ LỆ LỖI THEO TUẦN"/>
      <sheetName val="TY LE HANG HU THEO CHUYEN"/>
      <sheetName val="TY LE HANG KD THEO TUAN"/>
      <sheetName val="TL lỗi toàn nhà máy"/>
      <sheetName val="BIỂU ĐỒ TỶ LỆ LỖI CÁC CHUYỀN"/>
      <sheetName val="Pareto"/>
      <sheetName val="Pareto of Defect"/>
      <sheetName val="Thống kê 100% B và D"/>
      <sheetName val="Thống kê 100% A và C"/>
      <sheetName val="2SP 1 NGÀY H12 R08"/>
      <sheetName val="Danh muc NCC"/>
      <sheetName val="Danh muc TP"/>
      <sheetName val="List NCC"/>
      <sheetName val="List TP"/>
      <sheetName val="2"/>
      <sheetName val="BGTotal"/>
      <sheetName val="chitiet"/>
      <sheetName val="DONGIA"/>
      <sheetName val="Tiepdia"/>
      <sheetName val="CHITIET VL-NC"/>
      <sheetName val="TONG HOP"/>
      <sheetName val="Thong so"/>
      <sheetName val="GIAY BAO"/>
      <sheetName val="Bao cao"/>
      <sheetName val="월별 부하운영 계획  (3)"/>
      <sheetName val="REINFORC"/>
      <sheetName val="현금흐름표"/>
      <sheetName val="_x005f_x005f_x005F"/>
      <sheetName val="5_수정데이터통합19"/>
      <sheetName val="Raw_Data_Sheet19"/>
      <sheetName val="Cutting_Dies_19"/>
      <sheetName val="5_???????19"/>
      <sheetName val="overall_total_os19"/>
      <sheetName val="SHOX_REMID_II19"/>
      <sheetName val="BOLD_SISTER-STRONG_SISTER_-TO20"/>
      <sheetName val="SHOX_NAVINA_,_SHOX_REVEAL19"/>
      <sheetName val="3_I-Prefit_Stitching19"/>
      <sheetName val="5________19"/>
      <sheetName val="Injection_Phylon_Process17"/>
      <sheetName val="IP_(_Spray_)17"/>
      <sheetName val="Marking_Location(1)17"/>
      <sheetName val="Reinforcement_Placement_17"/>
      <sheetName val="Chiet_tinh_dz3517"/>
      <sheetName val="Dispenser_Ruang_Classic17"/>
      <sheetName val="Mold_Efficiency_Form16"/>
      <sheetName val="ROLL_RUBBER16"/>
      <sheetName val="CSS_DATA16"/>
      <sheetName val="Spray_Turbulence_163"/>
      <sheetName val="(Motion)_Stitching3"/>
      <sheetName val="Rubber_Spec__(1)2"/>
      <sheetName val="Stitching_Instruction_(7)2"/>
      <sheetName val="IP_CSS_DATA2"/>
      <sheetName val="Process_Flow_Chart2"/>
      <sheetName val="Assembly_Line_Layout2"/>
      <sheetName val="Assembly_Process_(4)2"/>
      <sheetName val="PU_CSS_DATA2"/>
      <sheetName val="SUMMARY_MACHINE2"/>
      <sheetName val="IP_(_UV_)2"/>
      <sheetName val="FOM_labor_process2"/>
      <sheetName val="MC+Allowance_2"/>
      <sheetName val="MC+_Allowance2"/>
      <sheetName val="Supplier_List2"/>
      <sheetName val="PIM_Mold2"/>
      <sheetName val="Vietnam_Report2"/>
      <sheetName val="MTO_REV_02"/>
      <sheetName val="Assembly_EST_2881"/>
      <sheetName val="Salary_sheet1"/>
      <sheetName val="DPIP_-_CSS_SCRIBELINE_CONFIRM1"/>
      <sheetName val="Transfer_Print"/>
      <sheetName val="Stitching(Upper)_x005f_x005f_x0"/>
      <sheetName val="5_수정데이터통합20"/>
      <sheetName val="Cutting_Dies_20"/>
      <sheetName val="Raw_Data_Sheet20"/>
      <sheetName val="5_???????20"/>
      <sheetName val="overall_total_os20"/>
      <sheetName val="SHOX_REMID_II20"/>
      <sheetName val="BOLD_SISTER-STRONG_SISTER_-TO21"/>
      <sheetName val="SHOX_NAVINA_,_SHOX_REVEAL20"/>
      <sheetName val="Injection_Phylon_Process19"/>
      <sheetName val="5________20"/>
      <sheetName val="3_I-Prefit_Stitching20"/>
      <sheetName val="IP_(_Spray_)19"/>
      <sheetName val="CAN_DOI_CHITIET2"/>
      <sheetName val="Marking_Location(1)19"/>
      <sheetName val="Reinforcement_Placement_19"/>
      <sheetName val="Chiet_tinh_dz3519"/>
      <sheetName val="ANLCTY01-02_XLS1"/>
      <sheetName val="Dispenser_Ruang_Classic19"/>
      <sheetName val="Mold_Efficiency_Form18"/>
      <sheetName val="ROLL_RUBBER18"/>
      <sheetName val="CSS_DATA18"/>
      <sheetName val="Spray_Turbulence_164"/>
      <sheetName val="Standard_Equipment"/>
      <sheetName val="(Motion)_Stitching4"/>
      <sheetName val="Stitching_Instruction_(7)3"/>
      <sheetName val="Assembly_Line_Layout3"/>
      <sheetName val="SUMMARY_MACHINE3"/>
      <sheetName val="Rubber_Spec__(1)3"/>
      <sheetName val="IP_CSS_DATA3"/>
      <sheetName val="Process_Flow_Chart3"/>
      <sheetName val="Assembly_Process_(4)3"/>
      <sheetName val="PU_CSS_DATA3"/>
      <sheetName val="IP_(_UV_)3"/>
      <sheetName val="truc_tiep"/>
      <sheetName val="CF_-Update_31Jul06"/>
      <sheetName val="INDEX_TIME_ANALYSIS_(3)"/>
      <sheetName val="DL_DANH_MUC"/>
      <sheetName val="3-TH_Nhan_VT"/>
      <sheetName val="TL-DM_SP"/>
      <sheetName val="TL-DM_NCC"/>
      <sheetName val="MAIN_GATE_HOUSE"/>
      <sheetName val="DM-HANG_HOA-NHA_CC"/>
      <sheetName val="DU_LIEU"/>
      <sheetName val="ms_nhà_máy"/>
      <sheetName val="Evaluation_Result"/>
      <sheetName val="Article_name"/>
      <sheetName val="Defect_code"/>
      <sheetName val="DATA_TỔNG_HỢP"/>
      <sheetName val="TỶ_LỆ_LỖI_NHẸ_-_NẶNG_-_NTRỌNG"/>
      <sheetName val="TỶ_LỆ_LỖI_NHẸ"/>
      <sheetName val="TỶ_LỆ_LỖI_NẶNG"/>
      <sheetName val="TỶ_LỆ_LỖI_NTRỌNG"/>
      <sheetName val="TỶ_LỆ_LỖI_NHẸ-_NẶNG-_NTRỌNG__SP"/>
      <sheetName val="TỶ_LỆ_LỖI_THEO_TUẦN"/>
      <sheetName val="TY_LE_HANG_HU_THEO_CHUYEN"/>
      <sheetName val="TY_LE_HANG_KD_THEO_TUAN"/>
      <sheetName val="TL_lỗi_toàn_nhà_máy"/>
      <sheetName val="BIỂU_ĐỒ_TỶ_LỆ_LỖI_CÁC_CHUYỀN"/>
      <sheetName val="Pareto_of_Defect"/>
      <sheetName val="Thống_kê_100%_B_và_D"/>
      <sheetName val="Thống_kê_100%_A_và_C"/>
      <sheetName val="2SP_1_NGÀY_H12_R08"/>
      <sheetName val="Danh_muc_NCC"/>
      <sheetName val="Danh_muc_TP"/>
      <sheetName val="List_NCC"/>
      <sheetName val="List_TP"/>
      <sheetName val="CHITIET_VL-NC"/>
      <sheetName val="TONG_HOP"/>
      <sheetName val="Thong_so"/>
      <sheetName val="GIAY_BAO"/>
      <sheetName val="Bao_cao"/>
      <sheetName val="MC+Allowance_3"/>
      <sheetName val="MC+_Allowance3"/>
      <sheetName val="Supplier_List3"/>
      <sheetName val="FOM_labor_process3"/>
      <sheetName val="DPIP_-_CSS_SCRIBELINE_CONFIRM2"/>
      <sheetName val="Transfer_Print1"/>
      <sheetName val="PIM_Mold3"/>
      <sheetName val="Vietnam_Report3"/>
      <sheetName val="MTO_REV_03"/>
      <sheetName val="Assembly_EST_2882"/>
      <sheetName val="Salary_sheet2"/>
      <sheetName val="Chemical_List"/>
      <sheetName val="H_YOUNG_(2_JAM)Tailwind_(assb)"/>
      <sheetName val="H_YOUNG_(24_JAM)Tailwind_(assb)"/>
      <sheetName val="H_YOUNG_(2_JAM)NK_IMP_R_(assb)"/>
      <sheetName val="H_YOUNG_(24_JAM)NK_IMP_R_(assb)"/>
      <sheetName val="HAN_YOUNG_(2_JAM)NK_IMP_RUN_3"/>
      <sheetName val="H_YOUNG_(24_JAM)LT_A_TAILWIND"/>
      <sheetName val="HAN_YOUNG_(2_JAM)LT_A_MAX"/>
      <sheetName val="Stitching_Instruction__(2)"/>
      <sheetName val="Skiving_Instructions_"/>
      <sheetName val="Key_Manufacturing_Details_(1)"/>
      <sheetName val="Drop-down_list"/>
      <sheetName val="Stitching_Input"/>
      <sheetName val="List_for_Selection"/>
      <sheetName val="BTRSS"/>
      <sheetName val="QUIMICOS"/>
      <sheetName val="Stockfit BPFC"/>
      <sheetName val="_x005f_x0000__x005f_x0000__x005f_x0000__x005f_x0000___2"/>
      <sheetName val="_x005f_x005f_x005f_x0000__x005f_x005f_x005f_x0000__x0_2"/>
      <sheetName val="_x005f_x005f_x005f_x005f_x005f_x005f_x005f_x0000__x00_2"/>
      <sheetName val="_x005f_x005f_x005f_x005f_x005f_x005f_x005f_x005f_x005_2"/>
      <sheetName val="_x005f_x005f_x005f_x005f_x005f_x005f_x005f_x005f_x005_3"/>
      <sheetName val="??_x005"/>
      <sheetName val="?_x005f"/>
      <sheetName val="DTCT"/>
      <sheetName val="_x005f_x0000__x005f_x0000__x0_2"/>
      <sheetName val="_x005f_x005f_x005f_x005F_x005f_x0000__x00_2"/>
      <sheetName val="_x005f_x005f_x005f_x005F_x005f_x005f_x005_2"/>
      <sheetName val="_x005f_x005f_x005f_x005F_x005f_x005f_x005_3"/>
      <sheetName val="FOM labor proce2"/>
      <sheetName val="Dchinh(chinhthuc)"/>
      <sheetName val="_x005f_x005f_x005f_x0000__x00_2"/>
      <sheetName val="_x005f_x005f_x005f_x005F_x005_2"/>
      <sheetName val="_x005f_x005f_x005f_x005F_x005_3"/>
      <sheetName val="_x005f_x0000__x00_2"/>
      <sheetName val="_x005f_x005f_x005_2"/>
      <sheetName val="_x005f_x005f_x005_3"/>
      <sheetName val="FOM labor proce(4"/>
      <sheetName val="FOM labor proceØQ"/>
      <sheetName val="PTRSS - Finished Shoe"/>
      <sheetName val="PTRSS - Sockliner"/>
      <sheetName val="FORCE I (DS)"/>
      <sheetName val="MAY"/>
      <sheetName val="SPM (Cutting&amp;Pre)"/>
      <sheetName val="WB Primer Shoe"/>
      <sheetName val="SOP"/>
      <sheetName val="WB 1st TRIAL"/>
      <sheetName val="H_YOUNG_(2_JAM)Tailwind_(assb)1"/>
      <sheetName val="H_YOUNG_(24_JAM)Tailwind_(assb1"/>
      <sheetName val="H_YOUNG_(2_JAM)NK_IMP_R_(assb)1"/>
      <sheetName val="H_YOUNG_(24_JAM)NK_IMP_R_(assb1"/>
      <sheetName val="HAN_YOUNG_(2_JAM)NK_IMP_RUN_31"/>
      <sheetName val="H_YOUNG_(24_JAM)LT_A_TAILWIND1"/>
      <sheetName val="HAN_YOUNG_(2_JAM)LT_A_MAX1"/>
      <sheetName val="Stitching_Instruction__(2)1"/>
      <sheetName val="Skiving_Instructions_1"/>
      <sheetName val="Key_Manufacturing_Details_(1)1"/>
      <sheetName val="PTRSS_-_Finished_Shoe"/>
      <sheetName val="PTRSS_-_Sockliner"/>
      <sheetName val="FORCE_I_(DS)"/>
      <sheetName val="SPM_(Cutting&amp;Pre)"/>
      <sheetName val="ESTI."/>
      <sheetName val="DI-ESTI"/>
      <sheetName val="Injection Phylon Process "/>
      <sheetName val="Upper Cutting Schedules (8)"/>
      <sheetName val="bUFING"/>
      <sheetName val="H_YOUNG_(2_JAM)Tailwind_(assb)2"/>
      <sheetName val="H_YOUNG_(24_JAM)Tailwind_(assb2"/>
      <sheetName val="H_YOUNG_(2_JAM)NK_IMP_R_(assb)2"/>
      <sheetName val="H_YOUNG_(24_JAM)NK_IMP_R_(assb2"/>
      <sheetName val="HAN_YOUNG_(2_JAM)NK_IMP_RUN_32"/>
      <sheetName val="H_YOUNG_(24_JAM)LT_A_TAILWIND2"/>
      <sheetName val="HAN_YOUNG_(2_JAM)LT_A_MAX2"/>
      <sheetName val="Stitching_Instruction__(2)2"/>
      <sheetName val="Skiving_Instructions_2"/>
      <sheetName val="Key_Manufacturing_Details_(1)2"/>
      <sheetName val="PTRSS_-_Finished_Shoe1"/>
      <sheetName val="PTRSS_-_Sockliner1"/>
      <sheetName val="FORCE_I_(DS)1"/>
      <sheetName val="SPM_(Cutting&amp;Pre)1"/>
      <sheetName val="WB_Primer_Shoe"/>
      <sheetName val="ESTI_"/>
      <sheetName val="PU CSS"/>
      <sheetName val="tuong"/>
      <sheetName val="Standard"/>
      <sheetName val="_x0000__x0000__x0000__x0000___2"/>
      <sheetName val="TONGUE"/>
      <sheetName val="TONGUE WEBBING"/>
      <sheetName val="Upper Logo Specification"/>
      <sheetName val="재단재고"/>
      <sheetName val="Stitching(Upper)_x0"/>
      <sheetName val="_x0000__x0000__x0_2"/>
      <sheetName val="RESULT B"/>
      <sheetName val="Sheet1 (2)"/>
      <sheetName val="_x005f_x005f_x005f_x005f_x005F"/>
      <sheetName val="SUMM LOADING "/>
      <sheetName val="_x005f_x005f_x005f_x005f_x005f_x005f_x005f_x005f_x005F"/>
      <sheetName val="Assembly Process(2)"/>
      <sheetName val="Assembly Process (1) "/>
      <sheetName val="Stockfit_BPFC"/>
      <sheetName val="RESULT_B"/>
      <sheetName val="FOM_labor_proce2"/>
      <sheetName val="TONGUE_WEBBING"/>
      <sheetName val="_x005f_x005f_x005f_x0000__x005f_x005f_x005f_x0000__x0_3"/>
      <sheetName val="_x005f_x005f_x005f_x0000__x005f_x005f_x005f_x0000__x0_4"/>
      <sheetName val="_x005f_x005f_x005f_x0000__x005f_x005f_x005f_x0000__x0_5"/>
      <sheetName val="_x005f_x005f_x005f_x0000__x005f_x005f_x005f_x0000__x0_6"/>
      <sheetName val="_x005f_x005f_x005f_x0000__x005f_x005f_x005f_x0000__x0_7"/>
      <sheetName val="_x005f_x005f_x005f_x0000__x005f_x005f_x005f_x0000__x0_8"/>
      <sheetName val="_x005f_x005f_x005f_x0000__x005f_x005f_x005f_x0000__x0_9"/>
      <sheetName val="_x005f_x005f_x005f_x0000__x005f_x005f_x005f_x0000__x_10"/>
      <sheetName val="_x005f_x005f_x005f_x0000__x005f_x005f_x005f_x0000__x_11"/>
      <sheetName val="_x005f_x005f_x005f_x0000__x005f_x005f_x005f_x0000__x_12"/>
      <sheetName val="_x005f_x005f_x005f_x0000__x005f_x005f_x005f_x0000__x_13"/>
      <sheetName val="_x005f_x005f_x005f_x0000__x005f_x005f_x005f_x0000__x_14"/>
      <sheetName val="_x005f_x005f_x005f_x0000__x005f_x005f_x005f_x0000__x_15"/>
      <sheetName val="_x005f_x005f_x005f_x0000__x005f_x005f_x005f_x0000__x_16"/>
      <sheetName val="_x005f_x005f_x005f_x0000__x005f_x005f_x005f_x0000__x_17"/>
      <sheetName val="_x005f_x005f_x005f_x0000__x005f_x005f_x005f_x0000__x_18"/>
      <sheetName val="_x005f_x005f_x005f_x0000__x005f_x005f_x005f_x0000__x_19"/>
      <sheetName val="_x005f_x005f_x005f_x0000__x005f_x005f_x005f_x0000__x_20"/>
      <sheetName val="_x005f_x005f_x005f_x0000__x005f_x005f_x005f_x0000__x_21"/>
      <sheetName val="_x005f_x005f_x005f_x0000__x005f_x005f_x005f_x0000__x_22"/>
      <sheetName val="_x005f_x005f_x005f_x0000__x005f_x005f_x005f_x0000__x_23"/>
      <sheetName val="_x005f_x005f_x005f_x0000__x005f_x005f_x005f_x0000__x_24"/>
      <sheetName val="_x005f_x005f_x005f_x0000__x005f_x005f_x005f_x0000__x_25"/>
      <sheetName val="_x005f_x005f_x005f_x0000__x005f_x005f_x005f_x0000__x_26"/>
      <sheetName val="_x005f_x005f_x005f_x0000__x005f_x005f_x005f_x0000__x_27"/>
      <sheetName val="_x005f_x005f_x005f_x0000__x005f_x005f_x005f_x0000__x_28"/>
      <sheetName val="_x005f_x005f_x005f_x0000__x005f_x005f_x005f_x0000__x_29"/>
      <sheetName val="_x005f_x005f_x005f_x0000__x005f_x005f_x005f_x0000__x_30"/>
      <sheetName val="_x005f_x005f_x005f_x0000__x005f_x005f_x005f_x0000__x_31"/>
      <sheetName val="_x005f_x005f_x005f_x0000__x005f_x005f_x005f_x0000__x_32"/>
      <sheetName val="_x005f_x005f_x005f_x0000__x005f_x005f_x005f_x0000__x_33"/>
      <sheetName val="_x005f_x005f_x005f_x0000__x005f_x005f_x005f_x0000__x_34"/>
      <sheetName val="_x005f_x005f_x005f_x0000__x005f_x005f_x005f_x0000__x_35"/>
      <sheetName val="_x005f_x005f_x005f_x0000__x005f_x005f_x005f_x0000__x_36"/>
      <sheetName val="_x005f_x005f_x005f_x0000__x005f_x005f_x005f_x0000__x_37"/>
      <sheetName val="_x005f_x005f_x005f_x0000__x005f_x005f_x005f_x0000__x_38"/>
      <sheetName val="_x005f_x005f_x005f_x0000__x005f_x005f_x005f_x0000__x_39"/>
      <sheetName val="_x005f_x005f_x005f_x0000__x005f_x005f_x005f_x0000__x_40"/>
      <sheetName val="_x005f_x005f_x005f_x0000__x005f_x005f_x005f_x0000__x_41"/>
      <sheetName val="_x005f_x005f_x005f_x0000__x005f_x005f_x005f_x0000__x_42"/>
      <sheetName val="_x005f_x005f_x005f_x0000__x005f_x005f_x005f_x0000__x_43"/>
      <sheetName val="_x005f_x005f_x005f_x0000__x005f_x005f_x005f_x0000__x_44"/>
      <sheetName val="_x005f_x005f_x005f_x0000__x005f_x005f_x005f_x0000__x_45"/>
      <sheetName val="_x005f_x005f_x005f_x0000__x005f_x005f_x005f_x0000__x_46"/>
      <sheetName val="_x005f_x005f_x005f_x0000__x005f_x005f_x005f_x0000__x_47"/>
      <sheetName val="_x005f_x005f_x005f_x0000__x005f_x005f_x005f_x0000__x_48"/>
      <sheetName val="_x005f_x005f_x005f_x0000__x005f_x005f_x005f_x0000__x_49"/>
      <sheetName val="_x005f_x005f_x005f_x0000__x005f_x005f_x005f_x0000__x_50"/>
      <sheetName val="_x005f_x005f_x005f_x0000__x005f_x005f_x005f_x0000__x_51"/>
      <sheetName val="_x005f_x005f_x005f_x0000__x005f_x005f_x005f_x0000__x_52"/>
      <sheetName val="_x005f_x005f_x005f_x0000__x005f_x005f_x005f_x0000__x_53"/>
      <sheetName val="_x005f_x005f_x005f_x0000__x005f_x005f_x005f_x0000__x_54"/>
      <sheetName val="_x005f_x005f_x005f_x0000__x005f_x005f_x005f_x0000__x_55"/>
      <sheetName val="_x005f_x005f_x005f_x0000__x005f_x005f_x005f_x0000__x_56"/>
      <sheetName val="_x005f_x005f_x005f_x0000__x005f_x005f_x005f_x0000__x_57"/>
      <sheetName val="_x005f_x005f_x005f_x0000__x005f_x005f_x005f_x0000__x_58"/>
      <sheetName val="_x005f_x005f_x005f_x0000__x005f_x005f_x005f_x0000__x_59"/>
      <sheetName val="_x005f_x005f_x005f_x0000__x005f_x005f_x005f_x0000__x_60"/>
      <sheetName val="_x005f_x005f_x005f_x0000__x005f_x005f_x005f_x0000__x_61"/>
      <sheetName val="_x005f_x005f_x005f_x0000__x005f_x005f_x005f_x0000__x_62"/>
      <sheetName val="_x005f_x005f_x005f_x0000__x005f_x005f_x005f_x0000__x_63"/>
      <sheetName val="_x005f_x005f_x005f_x0000__x005f_x005f_x005f_x0000__x_64"/>
      <sheetName val="_x005f_x005f_x005f_x0000__x005f_x005f_x005f_x0000__x_65"/>
      <sheetName val="_x005f_x005f_x005f_x0000__x005f_x005f_x005f_x0000__x_66"/>
      <sheetName val="_x005f_x005f_x005f_x0000__x005f_x005f_x005f_x0000__x_67"/>
      <sheetName val="_x005f_x005f_x005f_x0000__x005f_x005f_x005f_x0000__x_68"/>
      <sheetName val="_x005f_x005f_x005f_x0000__x005f_x005f_x005f_x0000__x_69"/>
      <sheetName val="_x005f_x005f_x005f_x0000__x005f_x005f_x005f_x0000__x_70"/>
      <sheetName val="_x005f_x005f_x005f_x0000__x005f_x005f_x005f_x0000__x_71"/>
      <sheetName val="_x005f_x005f_x005f_x0000__x005f_x005f_x005f_x0000__x_72"/>
      <sheetName val="_x005f_x005f_x005f_x0000__x005f_x005f_x005f_x0000__x_73"/>
      <sheetName val="_x005f_x005f_x005f_x0000__x005f_x005f_x005f_x0000__x_74"/>
      <sheetName val="_x005f_x005f_x005f_x0000__x005f_x005f_x005f_x0000__x_75"/>
      <sheetName val="_x005f_x005f_x005f_x0000__x005f_x005f_x005f_x0000__x_76"/>
      <sheetName val="_x005f_x005f_x005f_x0000__x005f_x005f_x005f_x0000__x_77"/>
      <sheetName val="_x005f_x005f_x005f_x0000__x005f_x005f_x005f_x0000__x_78"/>
      <sheetName val="_x005f_x005f_x005f_x0000__x005f_x005f_x005f_x0000__x_79"/>
      <sheetName val="_x005f_x005f_x005f_x0000__x005f_x005f_x005f_x0000__x_80"/>
      <sheetName val="_x005f_x005f_x005f_x0000__x005f_x005f_x005f_x0000__x_81"/>
      <sheetName val="_x005f_x005f_x005f_x0000__x005f_x005f_x005f_x0000__x_82"/>
      <sheetName val="_x005f_x005f_x005f_x0000__x005f_x005f_x005f_x0000__x_83"/>
      <sheetName val="_x005f_x005f_x005f_x0000__x005f_x005f_x005f_x0000__x_84"/>
      <sheetName val="_x005f_x005f_x005f_x0000__x005f_x005f_x005f_x0000__x_85"/>
      <sheetName val="_x005f_x005f_x005f_x0000__x005f_x005f_x005f_x0000__x_86"/>
      <sheetName val="_x005f_x005f_x005f_x0000__x005f_x005f_x005f_x0000__x_87"/>
      <sheetName val="_x005f_x005f_x005f_x0000__x005f_x005f_x005f_x0000__x_88"/>
      <sheetName val="_x005f_x005f_x005f_x0000__x005f_x005f_x005f_x0000__x_89"/>
      <sheetName val="_x005f_x005f_x005f_x0000__x005f_x005f_x005f_x0000__x_90"/>
      <sheetName val="_x005f_x005f_x005f_x0000__x005f_x005f_x005f_x0000__x_91"/>
      <sheetName val="_x005f_x005f_x005f_x0000__x005f_x005f_x005f_x0000__x_92"/>
      <sheetName val="_x005f_x005f_x005f_x0000__x005f_x005f_x005f_x0000__x_93"/>
      <sheetName val="_x005f_x005f_x005f_x0000__x005f_x005f_x005f_x0000__x_94"/>
      <sheetName val="_x005f_x005f_x005f_x0000__x005f_x005f_x005f_x0000__x_95"/>
      <sheetName val="_x005f_x005f_x005f_x0000__x005f_x005f_x005f_x0000__x_96"/>
      <sheetName val="_x005f_x005f_x005f_x0000__x005f_x005f_x005f_x0000__x_97"/>
      <sheetName val="_x005f_x005f_x005f_x0000__x005f_x005f_x005f_x0000__x_98"/>
      <sheetName val="_x005f_x005f_x005f_x0000__x005f_x005f_x005f_x0000__x_99"/>
      <sheetName val="_x005f_x005f_x005f_x0000__x005f_x005f_x005f_x0000___100"/>
      <sheetName val="_x005f_x005f_x005f_x0000__x005f_x005f_x005f_x0000___101"/>
      <sheetName val="_x005f_x005f_x005f_x0000__x005f_x005f_x005f_x0000___102"/>
      <sheetName val="_x005f_x005f_x005f_x0000__x005f_x005f_x005f_x0000___103"/>
      <sheetName val="_x005f_x005f_x005f_x0000__x005f_x005f_x005f_x0000___104"/>
      <sheetName val="_x005f_x005f_x005f_x0000__x005f_x005f_x005f_x0000___105"/>
      <sheetName val="_x005f_x005f_x005f_x0000__x005f_x005f_x005f_x0000___106"/>
      <sheetName val="_x005f_x005f_x005f_x0000__x005f_x005f_x005f_x0000___107"/>
      <sheetName val="_x005f_x005f_x005f_x0000__x005f_x005f_x005f_x0000___108"/>
      <sheetName val="_x005f_x005f_x005f_x0000__x005f_x005f_x005f_x0000___109"/>
      <sheetName val="_x005f_x005f_x005f_x0000__x005f_x005f_x005f_x0000___110"/>
      <sheetName val="_x005f_x005f_x005f_x0000__x005f_x005f_x005f_x0000___111"/>
      <sheetName val="_x005f_x005f_x005f_x0000__x005f_x005f_x005f_x0000___112"/>
      <sheetName val="_x005f_x005f_x005f_x0000__x005f_x005f_x005f_x0000___113"/>
      <sheetName val="_x005f_x005f_x005f_x0000__x005f_x005f_x005f_x0000___114"/>
      <sheetName val="_x005f_x005f_x005f_x0000__x005f_x005f_x005f_x0000___115"/>
      <sheetName val="_x005f_x005f_x005f_x0000__x005f_x005f_x005f_x0000___116"/>
      <sheetName val="_x005f_x005f_x005f_x0000__x005f_x005f_x005f_x0000___117"/>
      <sheetName val="_x005f_x005f_x005f_x0000__x005f_x005f_x005f_x0000___118"/>
      <sheetName val="_x005f_x005f_x005f_x0000__x005f_x005f_x005f_x0000___119"/>
      <sheetName val="_x005f_x005f_x005f_x0000__x005f_x005f_x005f_x0000___120"/>
      <sheetName val="_x005f_x005f_x005f_x0000__x005f_x005f_x005f_x0000___121"/>
      <sheetName val="_x005f_x005f_x005f_x0000__x005f_x005f_x005f_x0000___122"/>
      <sheetName val="_x005f_x005f_x005f_x0000__x005f_x005f_x005f_x0000___123"/>
      <sheetName val="_x005f_x005f_x005f_x0000__x005f_x005f_x005f_x0000___124"/>
      <sheetName val="_x005f_x005f_x005f_x0000__x005f_x005f_x005f_x0000___125"/>
      <sheetName val="_x005f_x005f_x005f_x0000__x005f_x005f_x005f_x0000___126"/>
      <sheetName val="_x005f_x005f_x005f_x0000__x005f_x005f_x005f_x0000___127"/>
      <sheetName val="_x005f_x005f_x005f_x0000__x005f_x005f_x005f_x0000___128"/>
      <sheetName val="_x005f_x005f_x005f_x0000__x005f_x005f_x005f_x0000___129"/>
      <sheetName val="_x005f_x005f_x005f_x0000__x005f_x005f_x005f_x0000___130"/>
      <sheetName val="_x005f_x005f_x005f_x0000__x005f_x005f_x005f_x0000___131"/>
      <sheetName val="_x005f_x005f_x005f_x0000__x005f_x005f_x005f_x0000___132"/>
      <sheetName val="_x005f_x005f_x005f_x0000__x005f_x005f_x005f_x0000___133"/>
      <sheetName val="_x005f_x005f_x005f_x0000__x005f_x005f_x005f_x0000___134"/>
      <sheetName val="_x005f_x005f_x005f_x0000__x005f_x005f_x005f_x0000___135"/>
      <sheetName val="_x005f_x005f_x005f_x0000__x005f_x005f_x005f_x0000___136"/>
      <sheetName val="_x005f_x005f_x005f_x0000__x005f_x005f_x005f_x0000___137"/>
      <sheetName val="_x005f_x005f_x005f_x0000__x005f_x005f_x005f_x0000___138"/>
      <sheetName val="_x005f_x005f_x005f_x0000__x005f_x005f_x005f_x0000___139"/>
      <sheetName val="_x005f_x005f_x005f_x0000__x005f_x005f_x005f_x0000___140"/>
      <sheetName val="_x005f_x005f_x005f_x0000__x005f_x005f_x005f_x0000___141"/>
      <sheetName val="_x005f_x005f_x005f_x0000__x005f_x005f_x005f_x0000___142"/>
      <sheetName val="_x005f_x005f_x005f_x0000__x005f_x005f_x005f_x0000___143"/>
      <sheetName val="_x005f_x005f_x005f_x0000__x005f_x005f_x005f_x0000___144"/>
      <sheetName val="_x005f_x005f_x005f_x0000__x005f_x005f_x005f_x0000___145"/>
      <sheetName val="_x005f_x005f_x005f_x0000__x005f_x005f_x005f_x0000___146"/>
      <sheetName val="_x005f_x005f_x005f_x0000__x005f_x005f_x005f_x0000___147"/>
      <sheetName val="_x005f_x005f_x005f_x0000__x005f_x005f_x005f_x0000___148"/>
      <sheetName val="_x005f_x005f_x005f_x0000__x005f_x005f_x005f_x0000___149"/>
      <sheetName val="_x005f_x005f_x005f_x0000__x005f_x005f_x005f_x0000___150"/>
      <sheetName val="_x005f_x005f_x005f_x0000__x005f_x005f_x005f_x0000___151"/>
      <sheetName val="_x005f_x005f_x005f_x0000__x005f_x005f_x005f_x0000___152"/>
      <sheetName val="_x005f_x005f_x005f_x0000__x005f_x005f_x005f_x0000___153"/>
      <sheetName val="_x005f_x005f_x005f_x0000__x005f_x005f_x005f_x0000___154"/>
      <sheetName val="_x005f_x005f_x005f_x0000__x005f_x005f_x005f_x0000___155"/>
      <sheetName val="_x005f_x005f_x005f_x0000__x005f_x005f_x005f_x0000___156"/>
      <sheetName val="_x005f_x005f_x005f_x0000__x005f_x005f_x005f_x0000___157"/>
      <sheetName val="_x005f_x005f_x005f_x0000__x005f_x005f_x005f_x0000___158"/>
      <sheetName val="_x005f_x005f_x005f_x0000__x005f_x005f_x005f_x0000___159"/>
      <sheetName val="_x005f_x005f_x005f_x0000__x005f_x005f_x005f_x0000___160"/>
      <sheetName val="_x005f_x005f_x005f_x0000__x005f_x005f_x005f_x0000___161"/>
      <sheetName val="_x005f_x005f_x005f_x0000__x005f_x005f_x005f_x0000___162"/>
      <sheetName val="_x005f_x005f_x005f_x0000__x005f_x005f_x005f_x0000___163"/>
      <sheetName val="_x005f_x005f_x005f_x0000__x005f_x005f_x005f_x0000___164"/>
      <sheetName val="_x005f_x005f_x005f_x0000__x005f_x005f_x005f_x0000___165"/>
      <sheetName val="_x005f_x005f_x005f_x0000__x005f_x005f_x005f_x0000___166"/>
      <sheetName val="_x005f_x005f_x005f_x0000__x005f_x005f_x005f_x0000___167"/>
      <sheetName val="_x005f_x005f_x005f_x0000__x005f_x005f_x005f_x0000___168"/>
      <sheetName val="_x005f_x005f_x005f_x0000__x005f_x005f_x005f_x0000___169"/>
      <sheetName val="_x005f_x005f_x005f_x0000__x005f_x005f_x005f_x0000___170"/>
      <sheetName val="_x005f_x005f_x005f_x0000__x005f_x005f_x005f_x0000___171"/>
      <sheetName val="_x005f_x005f_x005f_x0000__x005f_x005f_x005f_x0000___172"/>
      <sheetName val="_x005f_x005f_x005f_x0000__x005f_x005f_x005f_x0000___173"/>
      <sheetName val="_x005f_x005f_x005f_x0000__x005f_x005f_x005f_x0000___174"/>
      <sheetName val="_x005f_x005f_x005f_x0000__x005f_x005f_x005f_x0000___175"/>
      <sheetName val="_x005f_x005f_x005f_x0000__x005f_x005f_x005f_x0000___176"/>
      <sheetName val="_x005f_x005f_x005f_x0000__x005f_x005f_x005f_x0000___177"/>
      <sheetName val="_x005f_x005f_x005f_x0000__x005f_x005f_x005f_x0000___178"/>
      <sheetName val="_x005f_x005f_x005f_x0000__x005f_x005f_x005f_x0000___179"/>
      <sheetName val="_x005f_x005f_x005f_x0000__x005f_x005f_x005f_x0000___180"/>
      <sheetName val="_x005f_x005f_x005f_x0000__x005f_x005f_x005f_x0000___181"/>
      <sheetName val="_x005f_x005f_x005f_x0000__x005f_x005f_x005f_x0000___182"/>
      <sheetName val="_x005f_x005f_x005f_x0000__x005f_x005f_x005f_x0000___183"/>
      <sheetName val="_x005f_x005f_x005f_x0000__x005f_x005f_x005f_x0000___184"/>
      <sheetName val="_x005f_x005f_x005f_x0000__x005f_x005f_x005f_x0000___185"/>
      <sheetName val="_x005f_x005f_x005f_x0000__x005f_x005f_x005f_x0000___186"/>
      <sheetName val="_x005f_x005f_x005f_x0000__x005f_x005f_x005f_x0000___187"/>
      <sheetName val="_x005f_x005f_x005f_x0000__x005f_x005f_x005f_x0000___188"/>
      <sheetName val="_x005f_x005f_x005f_x0000__x005f_x005f_x005f_x0000___189"/>
      <sheetName val="_x005f_x005f_x005f_x0000__x005f_x005f_x005f_x0000___190"/>
      <sheetName val="_x005f_x005f_x005f_x0000__x005f_x005f_x005f_x0000___191"/>
      <sheetName val="_x005f_x005f_x005f_x0000__x005f_x005f_x005f_x0000___192"/>
      <sheetName val="_x005f_x005f_x005f_x0000__x005f_x005f_x005f_x0000___193"/>
      <sheetName val="_x005f_x005f_x005f_x0000__x005f_x005f_x005f_x0000___194"/>
      <sheetName val="_x005f_x005f_x005f_x0000__x005f_x005f_x005f_x0000___195"/>
      <sheetName val="_x005f_x005f_x005f_x0000__x005f_x005f_x005f_x0000___196"/>
      <sheetName val="_x005f_x005f_x005f_x0000__x005f_x005f_x005f_x0000___197"/>
      <sheetName val="_x005f_x005f_x005f_x0000__x005f_x005f_x005f_x0000___198"/>
      <sheetName val="_x005f_x005f_x005f_x0000__x005f_x005f_x005f_x0000___199"/>
      <sheetName val="_x005f_x005f_x005f_x0000__x005f_x005f_x005f_x0000___200"/>
      <sheetName val="_x005f_x005f_x005f_x0000__x005f_x005f_x005f_x0000___201"/>
      <sheetName val="_x005f_x005f_x005f_x0000__x005f_x005f_x005f_x0000___202"/>
      <sheetName val="_x005f_x005f_x005f_x0000__x005f_x005f_x005f_x0000___203"/>
      <sheetName val="_x005f_x005f_x005f_x0000__x005f_x005f_x005f_x0000___204"/>
      <sheetName val="_x005f_x005f_x005f_x0000__x005f_x005f_x005f_x0000___205"/>
      <sheetName val="_x005f_x005f_x005f_x0000__x005f_x005f_x005f_x0000___206"/>
      <sheetName val="_x005f_x005f_x005f_x0000__x005f_x005f_x005f_x0000___207"/>
      <sheetName val="_x005f_x005f_x005f_x0000__x005f_x005f_x005f_x0000___208"/>
      <sheetName val="_x005f_x005f_x005f_x0000__x005f_x005f_x005f_x0000___209"/>
      <sheetName val="_x005f_x005f_x005f_x0000__x005f_x005f_x005f_x0000___210"/>
      <sheetName val="_x005f_x005f_x005f_x0000__x005f_x005f_x005f_x0000___211"/>
      <sheetName val="_x005f_x005f_x005f_x0000__x005f_x005f_x005f_x0000___212"/>
      <sheetName val="_x005f_x005f_x005f_x0000__x005f_x005f_x005f_x0000___213"/>
      <sheetName val="_x005f_x005f_x005f_x0000__x005f_x005f_x005f_x0000___214"/>
      <sheetName val="_x005f_x005f_x005f_x0000__x005f_x005f_x005f_x0000___215"/>
      <sheetName val="_x005f_x005f_x005f_x0000__x005f_x005f_x005f_x0000___216"/>
      <sheetName val="_x005f_x005f_x005f_x0000__x005f_x005f_x005f_x0000___217"/>
      <sheetName val="_x005f_x005f_x005f_x0000__x005f_x005f_x005f_x0000___218"/>
      <sheetName val="_x005f_x005f_x005f_x0000__x005f_x005f_x005f_x0000___219"/>
      <sheetName val="_x005f_x005f_x005f_x0000__x005f_x005f_x005f_x0000___220"/>
      <sheetName val="_x005f_x005f_x005f_x0000__x005f_x005f_x005f_x0000___221"/>
      <sheetName val="_x005f_x005f_x005f_x0000__x005f_x005f_x005f_x0000___222"/>
      <sheetName val="_x005f_x005f_x005f_x0000__x005f_x005f_x005f_x0000___223"/>
      <sheetName val="_x005f_x005f_x005f_x0000__x005f_x005f_x005f_x0000___224"/>
      <sheetName val="_x005f_x005f_x005f_x0000__x005f_x005f_x005f_x0000___225"/>
      <sheetName val="_x005f_x005f_x005f_x0000__x005f_x005f_x005f_x0000___226"/>
      <sheetName val="_x005f_x005f_x005f_x0000__x005f_x005f_x005f_x0000___227"/>
      <sheetName val="_x005f_x005f_x005f_x0000__x005f_x005f_x005f_x0000___228"/>
      <sheetName val="_x005f_x005f_x005f_x0000__x005f_x005f_x005f_x0000___229"/>
      <sheetName val="_x005f_x005f_x005f_x0000__x005f_x005f_x005f_x0000___230"/>
      <sheetName val="_x005f_x005f_x005f_x0000__x005f_x005f_x005f_x0000___231"/>
      <sheetName val="_x005f_x005f_x005f_x0000__x005f_x005f_x005f_x0000___232"/>
      <sheetName val="_x005f_x005f_x005f_x0000__x005f_x005f_x005f_x0000___233"/>
      <sheetName val="_x005f_x005f_x005f_x0000__x005f_x005f_x005f_x0000___234"/>
      <sheetName val="_x005f_x005f_x005f_x0000__x005f_x005f_x005f_x0000___235"/>
      <sheetName val="_x005f_x005f_x005f_x0000__x005f_x005f_x005f_x0000___236"/>
      <sheetName val="_x005f_x005f_x005f_x0000__x005f_x005f_x005f_x0000___237"/>
      <sheetName val="_x005f_x005f_x005f_x0000__x005f_x005f_x005f_x0000___238"/>
      <sheetName val="_x005f_x005f_x005f_x0000__x005f_x005f_x005f_x0000___239"/>
      <sheetName val="_x005f_x005f_x005f_x0000__x005f_x005f_x005f_x0000___240"/>
      <sheetName val="_x005f_x005f_x005f_x0000__x005f_x005f_x005f_x0000___241"/>
      <sheetName val="_x005f_x005f_x005f_x0000__x005f_x005f_x005f_x0000___242"/>
      <sheetName val="_x005f_x005f_x005f_x0000__x005f_x005f_x005f_x0000___243"/>
      <sheetName val="_x005f_x005f_x005f_x0000__x005f_x005f_x005f_x0000___244"/>
      <sheetName val="_x005f_x005f_x005f_x0000__x005f_x005f_x005f_x0000___245"/>
      <sheetName val="_x005f_x005f_x005f_x0000__x005f_x005f_x005f_x0000___246"/>
      <sheetName val="_x005f_x005f_x005f_x0000__x005f_x005f_x005f_x0000___247"/>
      <sheetName val="_x005f_x005f_x005f_x0000__x005f_x005f_x005f_x0000___248"/>
      <sheetName val="_x005f_x005f_x005f_x0000__x005f_x005f_x005f_x0000___249"/>
      <sheetName val="_x005f_x005f_x005f_x0000__x005f_x005f_x005f_x0000___250"/>
      <sheetName val="_x005f_x005f_x005f_x0000__x005f_x005f_x005f_x0000___251"/>
      <sheetName val="_x005f_x005f_x005f_x0000__x005f_x005f_x005f_x0000___252"/>
      <sheetName val="_x005f_x005f_x005f_x0000__x005f_x005f_x005f_x0000___253"/>
      <sheetName val="_x005f_x005f_x005f_x0000__x005f_x005f_x005f_x0000___254"/>
      <sheetName val="_x005f_x005f_x005f_x0000__x005f_x005f_x005f_x0000___255"/>
      <sheetName val="_x005f_x005f_x005f_x0000__x005f_x005f_x005f_x0000___256"/>
      <sheetName val="_x005f_x005f_x005f_x0000__x005f_x005f_x005f_x0000___257"/>
      <sheetName val="_x005f_x005f_x005f_x0000__x005f_x005f_x005f_x0000___258"/>
      <sheetName val="_x005f_x005f_x005f_x0000__x005f_x005f_x005f_x0000___259"/>
      <sheetName val="_x005f_x005f_x005f_x0000__x005f_x005f_x005f_x0000___260"/>
      <sheetName val="_x005f_x005f_x005f_x0000__x005f_x005f_x005f_x0000___261"/>
      <sheetName val="_x005f_x005f_x005f_x0000__x005f_x005f_x005f_x0000___262"/>
      <sheetName val="_x005f_x005f_x005f_x0000__x005f_x005f_x005f_x0000___263"/>
      <sheetName val="_x005f_x005f_x005f_x0000__x005f_x005f_x005f_x0000___264"/>
      <sheetName val="_x005f_x005f_x005f_x0000__x005f_x005f_x005f_x0000___265"/>
      <sheetName val="_x005f_x005f_x005f_x0000__x005f_x005f_x005f_x0000___266"/>
      <sheetName val="_x005f_x005f_x005f_x0000__x005f_x005f_x005f_x0000___267"/>
      <sheetName val="_x005f_x005f_x005f_x0000__x005f_x005f_x005f_x0000___268"/>
      <sheetName val="_x005f_x005f_x005f_x0000__x005f_x005f_x005f_x0000___269"/>
      <sheetName val="_x005f_x005f_x005f_x0000__x005f_x005f_x005f_x0000___270"/>
      <sheetName val="_x005f_x005f_x005f_x0000__x005f_x005f_x005f_x0000___271"/>
      <sheetName val="_x005f_x005f_x005f_x0000__x005f_x005f_x005f_x0000___272"/>
      <sheetName val="_x005f_x005f_x005f_x0000__x005f_x005f_x005f_x0000___273"/>
      <sheetName val="_x005f_x005f_x005f_x0000__x005f_x005f_x005f_x0000___274"/>
      <sheetName val="_x005f_x005f_x005f_x0000__x005f_x005f_x005f_x0000___275"/>
      <sheetName val="_x005f_x005f_x005f_x0000__x005f_x005f_x005f_x0000___276"/>
      <sheetName val="_x005f_x005f_x005f_x0000__x005f_x005f_x005f_x0000___277"/>
      <sheetName val="_x005f_x005f_x005f_x0000__x005f_x005f_x005f_x0000___278"/>
      <sheetName val="_x005f_x005f_x005f_x0000__x005f_x005f_x005f_x0000___279"/>
      <sheetName val="_x005f_x005f_x005f_x0000__x005f_x005f_x005f_x0000___280"/>
      <sheetName val="_x005f_x005f_x005f_x0000__x005f_x005f_x005f_x0000___281"/>
      <sheetName val="_x005f_x005f_x005f_x0000__x005f_x005f_x005f_x0000___282"/>
      <sheetName val="_x005f_x005f_x005f_x0000__x005f_x005f_x005f_x0000___283"/>
      <sheetName val="_x005f_x005f_x005f_x0000__x005f_x005f_x005f_x0000___284"/>
      <sheetName val="_x005f_x005f_x005f_x0000__x005f_x005f_x005f_x0000___285"/>
      <sheetName val="_x005f_x005f_x005f_x0000__x005f_x005f_x005f_x0000___286"/>
      <sheetName val="_x005f_x005f_x005f_x0000__x005f_x005f_x005f_x0000___287"/>
      <sheetName val="_x005f_x005f_x005f_x0000__x005f_x005f_x005f_x0000___288"/>
      <sheetName val="_x005f_x005f_x005f_x0000__x005f_x005f_x005f_x0000___289"/>
      <sheetName val="_x005f_x005f_x005f_x0000__x005f_x005f_x005f_x0000___290"/>
      <sheetName val="_x005f_x005f_x005f_x0000__x005f_x005f_x005f_x0000___291"/>
      <sheetName val="_x005f_x005f_x005f_x0000__x005f_x005f_x005f_x0000___292"/>
      <sheetName val="_x005f_x005f_x005f_x0000__x005f_x005f_x005f_x0000___293"/>
      <sheetName val="_x005f_x005f_x005f_x0000__x005f_x005f_x005f_x0000___294"/>
      <sheetName val="_x005f_x005f_x005f_x0000__x005f_x005f_x005f_x0000___295"/>
      <sheetName val="_x005f_x005f_x005f_x0000__x005f_x005f_x005f_x0000___296"/>
      <sheetName val="_x005f_x005f_x005f_x0000__x005f_x005f_x005f_x0000___297"/>
      <sheetName val="_x005f_x005f_x005f_x0000__x005f_x005f_x005f_x0000___298"/>
      <sheetName val="_x005f_x005f_x005f_x0000__x005f_x005f_x005f_x0000___299"/>
      <sheetName val="_x005f_x005f_x005f_x0000__x005f_x005f_x005f_x0000___300"/>
      <sheetName val="_x005f_x005f_x005f_x0000__x005f_x005f_x005f_x0000___301"/>
      <sheetName val="_x005f_x005f_x005f_x0000__x005f_x005f_x005f_x0000___302"/>
      <sheetName val="_x005f_x005f_x005f_x0000__x005f_x005f_x005f_x0000___303"/>
      <sheetName val="_x005f_x005f_x005f_x0000__x005f_x005f_x005f_x0000___304"/>
      <sheetName val="_x005f_x005f_x005f_x0000__x005f_x005f_x005f_x0000___305"/>
      <sheetName val="_x005f_x005f_x005f_x0000__x005f_x005f_x005f_x0000___306"/>
      <sheetName val="_x005f_x005f_x005f_x0000__x005f_x005f_x005f_x0000___307"/>
      <sheetName val="_x005f_x005f_x005f_x0000__x005f_x005f_x005f_x0000___308"/>
      <sheetName val="_x005f_x005f_x005f_x0000__x005f_x005f_x005f_x0000___309"/>
      <sheetName val="_x005f_x005f_x005f_x0000__x005f_x005f_x005f_x0000___310"/>
      <sheetName val="_x005f_x005f_x005f_x0000__x005f_x005f_x005f_x0000___311"/>
      <sheetName val="_x005f_x005f_x005f_x0000__x005f_x005f_x005f_x0000___312"/>
      <sheetName val="_x005f_x005f_x005f_x0000__x005f_x005f_x005f_x0000___313"/>
      <sheetName val="_x005f_x005f_x005f_x0000__x005f_x005f_x005f_x0000___314"/>
      <sheetName val="_x005f_x005f_x005f_x0000__x005f_x005f_x005f_x0000___315"/>
      <sheetName val="_x005f_x005f_x005f_x0000__x005f_x005f_x005f_x0000___316"/>
      <sheetName val="_x005f_x005f_x005f_x0000__x005f_x005f_x005f_x0000___317"/>
      <sheetName val="_x005f_x005f_x005f_x0000__x005f_x005f_x005f_x0000___318"/>
      <sheetName val="_x005f_x005f_x005f_x0000__x005f_x005f_x005f_x0000___319"/>
      <sheetName val="_x005f_x005f_x005f_x0000__x005f_x005f_x005f_x0000___320"/>
      <sheetName val="_x005f_x005f_x005f_x0000__x005f_x005f_x005f_x0000___321"/>
      <sheetName val="__2"/>
      <sheetName val="_x0_2"/>
      <sheetName val="Toe Bumper Rand Preform"/>
      <sheetName val="_x005f_x005f_x005f_x005f_x005f_x005f_x005f_x005F_x005_4"/>
      <sheetName val="_x005f_x005f_x005f_x005f_x005f_x005f_x005f_x005F_x005_5"/>
      <sheetName val="_x005f_x005f_x005f_x005f_x005f_x005f_x005f_x005F_x005_6"/>
      <sheetName val="_x005f_x005f_x005f_x005f_x005f_x005f_x005f_x0000__x00_3"/>
      <sheetName val="DATABASE"/>
      <sheetName val="GRAFIK DEFECT+RETURN"/>
      <sheetName val="order"/>
      <sheetName val="danh sách sản phẩm "/>
      <sheetName val="9.11 "/>
      <sheetName val="#REF"/>
      <sheetName val="5_수정데이터통합21"/>
      <sheetName val="Raw_Data_Sheet21"/>
      <sheetName val="Cutting_Dies_21"/>
      <sheetName val="overall_total_os21"/>
      <sheetName val="5_???????21"/>
      <sheetName val="SHOX_REMID_II21"/>
      <sheetName val="BOLD_SISTER-STRONG_SISTER_-TO22"/>
      <sheetName val="SHOX_NAVINA_,_SHOX_REVEAL21"/>
      <sheetName val="3_I-Prefit_Stitching21"/>
      <sheetName val="IP_(_Spray_)20"/>
      <sheetName val="5________21"/>
      <sheetName val="Injection_Phylon_Process20"/>
      <sheetName val="Marking_Location(1)20"/>
      <sheetName val="Reinforcement_Placement_20"/>
      <sheetName val="Chiet_tinh_dz3520"/>
      <sheetName val="CAN_DOI_CHITIET3"/>
      <sheetName val="Dispenser_Ruang_Classic20"/>
      <sheetName val="Mold_Efficiency_Form19"/>
      <sheetName val="ROLL_RUBBER19"/>
      <sheetName val="CSS_DATA19"/>
      <sheetName val="ANLCTY01-02_XLS2"/>
      <sheetName val="Spray_Turbulence_165"/>
      <sheetName val="(Motion)_Stitching5"/>
      <sheetName val="Stitching_Instruction_(7)4"/>
      <sheetName val="Assembly_Line_Layout4"/>
      <sheetName val="Standard_Equipment1"/>
      <sheetName val="SUMMARY_MACHINE4"/>
      <sheetName val="Rubber_Spec__(1)4"/>
      <sheetName val="IP_CSS_DATA4"/>
      <sheetName val="Process_Flow_Chart4"/>
      <sheetName val="Assembly_Process_(4)4"/>
      <sheetName val="PU_CSS_DATA4"/>
      <sheetName val="IP_(_UV_)4"/>
      <sheetName val="MC+Allowance_4"/>
      <sheetName val="MC+_Allowance4"/>
      <sheetName val="Supplier_List4"/>
      <sheetName val="FOM_labor_process4"/>
      <sheetName val="DPIP_-_CSS_SCRIBELINE_CONFIRM3"/>
      <sheetName val="Transfer_Print2"/>
      <sheetName val="PIM_Mold4"/>
      <sheetName val="Vietnam_Report4"/>
      <sheetName val="MTO_REV_04"/>
      <sheetName val="Assembly_EST_2883"/>
      <sheetName val="Salary_sheet3"/>
      <sheetName val="Chemical_List1"/>
      <sheetName val="H_YOUNG_(2_JAM)Tailwind_(assb)3"/>
      <sheetName val="H_YOUNG_(24_JAM)Tailwind_(assb3"/>
      <sheetName val="H_YOUNG_(2_JAM)NK_IMP_R_(assb)3"/>
      <sheetName val="H_YOUNG_(24_JAM)NK_IMP_R_(assb3"/>
      <sheetName val="HAN_YOUNG_(2_JAM)NK_IMP_RUN_33"/>
      <sheetName val="H_YOUNG_(24_JAM)LT_A_TAILWIND3"/>
      <sheetName val="HAN_YOUNG_(2_JAM)LT_A_MAX3"/>
      <sheetName val="Stitching_Instruction__(2)3"/>
      <sheetName val="Skiving_Instructions_3"/>
      <sheetName val="Key_Manufacturing_Details_(1)3"/>
      <sheetName val="Drop-down_list1"/>
      <sheetName val="Stitching_Input1"/>
      <sheetName val="List_for_Selection1"/>
      <sheetName val="truc_tiep1"/>
      <sheetName val="CF_-Update_31Jul061"/>
      <sheetName val="INDEX_TIME_ANALYSIS_(3)1"/>
      <sheetName val="DL_DANH_MUC1"/>
      <sheetName val="3-TH_Nhan_VT1"/>
      <sheetName val="TL-DM_SP1"/>
      <sheetName val="TL-DM_NCC1"/>
      <sheetName val="MAIN_GATE_HOUSE1"/>
      <sheetName val="DM-HANG_HOA-NHA_CC1"/>
      <sheetName val="DU_LIEU1"/>
      <sheetName val="ms_nhà_máy1"/>
      <sheetName val="Evaluation_Result1"/>
      <sheetName val="Article_name1"/>
      <sheetName val="Defect_code1"/>
      <sheetName val="DATA_TỔNG_HỢP1"/>
      <sheetName val="TỶ_LỆ_LỖI_NHẸ_-_NẶNG_-_NTRỌNG1"/>
      <sheetName val="TỶ_LỆ_LỖI_NHẸ1"/>
      <sheetName val="TỶ_LỆ_LỖI_NẶNG1"/>
      <sheetName val="TỶ_LỆ_LỖI_NTRỌNG1"/>
      <sheetName val="TỶ_LỆ_LỖI_NHẸ-_NẶNG-_NTRỌNG__S1"/>
      <sheetName val="TỶ_LỆ_LỖI_THEO_TUẦN1"/>
      <sheetName val="TY_LE_HANG_HU_THEO_CHUYEN1"/>
      <sheetName val="TY_LE_HANG_KD_THEO_TUAN1"/>
      <sheetName val="TL_lỗi_toàn_nhà_máy1"/>
      <sheetName val="BIỂU_ĐỒ_TỶ_LỆ_LỖI_CÁC_CHUYỀN1"/>
      <sheetName val="Pareto_of_Defect1"/>
      <sheetName val="Thống_kê_100%_B_và_D1"/>
      <sheetName val="Thống_kê_100%_A_và_C1"/>
      <sheetName val="2SP_1_NGÀY_H12_R081"/>
      <sheetName val="Danh_muc_NCC1"/>
      <sheetName val="Danh_muc_TP1"/>
      <sheetName val="List_NCC1"/>
      <sheetName val="List_TP1"/>
      <sheetName val="CHITIET_VL-NC1"/>
      <sheetName val="TONG_HOP1"/>
      <sheetName val="Thong_so1"/>
      <sheetName val="GIAY_BAO1"/>
      <sheetName val="Bao_cao1"/>
      <sheetName val="월별_부하운영_계획__(3)"/>
      <sheetName val="Stockfit_BPFC1"/>
      <sheetName val="FOM_labor_proce21"/>
      <sheetName val="FOM_labor_proce(4"/>
      <sheetName val="FOM_labor_proceØQ"/>
      <sheetName val="PTRSS_-_Finished_Shoe2"/>
      <sheetName val="PTRSS_-_Sockliner2"/>
      <sheetName val="FORCE_I_(DS)2"/>
      <sheetName val="SPM_(Cutting&amp;Pre)2"/>
      <sheetName val="WB_Primer_Shoe1"/>
      <sheetName val="WB_1st_TRIAL"/>
      <sheetName val="ESTI_1"/>
      <sheetName val="Injection_Phylon_Process_"/>
      <sheetName val="Upper_Cutting_Schedules_(8)"/>
      <sheetName val="PU_CSS"/>
      <sheetName val="TONGUE_WEBBING1"/>
      <sheetName val="Upper_Logo_Specification"/>
      <sheetName val="RESULT_B1"/>
      <sheetName val="Sheet1_(2)"/>
      <sheetName val="SUMM_LOADING_"/>
      <sheetName val="Assembly_Process(2)"/>
      <sheetName val="Assembly_Process_(1)_"/>
      <sheetName val="Toe_Bumper_Rand_Preform"/>
      <sheetName val="GRAFIK_DEFECT+RETURN"/>
      <sheetName val="danh_sách_sản_phẩm_"/>
      <sheetName val="9_11_"/>
      <sheetName val="5_수정데이터통합22"/>
      <sheetName val="Raw_Data_Sheet22"/>
      <sheetName val="Cutting_Dies_22"/>
      <sheetName val="overall_total_os22"/>
      <sheetName val="5_???????22"/>
      <sheetName val="SHOX_REMID_II22"/>
      <sheetName val="BOLD_SISTER-STRONG_SISTER_-TO23"/>
      <sheetName val="SHOX_NAVINA_,_SHOX_REVEAL22"/>
      <sheetName val="3_I-Prefit_Stitching22"/>
      <sheetName val="IP_(_Spray_)21"/>
      <sheetName val="5________22"/>
      <sheetName val="Injection_Phylon_Process21"/>
      <sheetName val="Marking_Location(1)21"/>
      <sheetName val="Reinforcement_Placement_21"/>
      <sheetName val="Chiet_tinh_dz3521"/>
      <sheetName val="CAN_DOI_CHITIET4"/>
      <sheetName val="Dispenser_Ruang_Classic21"/>
      <sheetName val="Mold_Efficiency_Form20"/>
      <sheetName val="ROLL_RUBBER20"/>
      <sheetName val="CSS_DATA20"/>
      <sheetName val="ANLCTY01-02_XLS3"/>
      <sheetName val="Spray_Turbulence_166"/>
      <sheetName val="(Motion)_Stitching6"/>
      <sheetName val="Stitching_Instruction_(7)5"/>
      <sheetName val="Assembly_Line_Layout5"/>
      <sheetName val="Standard_Equipment2"/>
      <sheetName val="SUMMARY_MACHINE5"/>
      <sheetName val="Rubber_Spec__(1)5"/>
      <sheetName val="IP_CSS_DATA5"/>
      <sheetName val="Process_Flow_Chart5"/>
      <sheetName val="Assembly_Process_(4)5"/>
      <sheetName val="PU_CSS_DATA5"/>
      <sheetName val="IP_(_UV_)5"/>
      <sheetName val="MC+Allowance_5"/>
      <sheetName val="MC+_Allowance5"/>
      <sheetName val="Supplier_List5"/>
      <sheetName val="FOM_labor_process5"/>
      <sheetName val="DPIP_-_CSS_SCRIBELINE_CONFIRM4"/>
      <sheetName val="Transfer_Print3"/>
      <sheetName val="PIM_Mold5"/>
      <sheetName val="Vietnam_Report5"/>
      <sheetName val="MTO_REV_05"/>
      <sheetName val="Assembly_EST_2884"/>
      <sheetName val="Salary_sheet4"/>
      <sheetName val="Chemical_List2"/>
      <sheetName val="H_YOUNG_(2_JAM)Tailwind_(assb)4"/>
      <sheetName val="H_YOUNG_(24_JAM)Tailwind_(assb4"/>
      <sheetName val="H_YOUNG_(2_JAM)NK_IMP_R_(assb)4"/>
      <sheetName val="H_YOUNG_(24_JAM)NK_IMP_R_(assb4"/>
      <sheetName val="HAN_YOUNG_(2_JAM)NK_IMP_RUN_34"/>
      <sheetName val="H_YOUNG_(24_JAM)LT_A_TAILWIND4"/>
      <sheetName val="HAN_YOUNG_(2_JAM)LT_A_MAX4"/>
      <sheetName val="Stitching_Instruction__(2)4"/>
      <sheetName val="Skiving_Instructions_4"/>
      <sheetName val="Key_Manufacturing_Details_(1)4"/>
      <sheetName val="Drop-down_list2"/>
      <sheetName val="Stitching_Input2"/>
      <sheetName val="List_for_Selection2"/>
      <sheetName val="truc_tiep2"/>
      <sheetName val="CF_-Update_31Jul062"/>
      <sheetName val="INDEX_TIME_ANALYSIS_(3)2"/>
      <sheetName val="DL_DANH_MUC2"/>
      <sheetName val="3-TH_Nhan_VT2"/>
      <sheetName val="TL-DM_SP2"/>
      <sheetName val="TL-DM_NCC2"/>
      <sheetName val="MAIN_GATE_HOUSE2"/>
      <sheetName val="DM-HANG_HOA-NHA_CC2"/>
      <sheetName val="DU_LIEU2"/>
      <sheetName val="ms_nhà_máy2"/>
      <sheetName val="Evaluation_Result2"/>
      <sheetName val="Article_name2"/>
      <sheetName val="Defect_code2"/>
      <sheetName val="DATA_TỔNG_HỢP2"/>
      <sheetName val="TỶ_LỆ_LỖI_NHẸ_-_NẶNG_-_NTRỌNG2"/>
      <sheetName val="TỶ_LỆ_LỖI_NHẸ2"/>
      <sheetName val="TỶ_LỆ_LỖI_NẶNG2"/>
      <sheetName val="TỶ_LỆ_LỖI_NTRỌNG2"/>
      <sheetName val="TỶ_LỆ_LỖI_NHẸ-_NẶNG-_NTRỌNG__S2"/>
      <sheetName val="TỶ_LỆ_LỖI_THEO_TUẦN2"/>
      <sheetName val="TY_LE_HANG_HU_THEO_CHUYEN2"/>
      <sheetName val="TY_LE_HANG_KD_THEO_TUAN2"/>
      <sheetName val="TL_lỗi_toàn_nhà_máy2"/>
      <sheetName val="BIỂU_ĐỒ_TỶ_LỆ_LỖI_CÁC_CHUYỀN2"/>
      <sheetName val="Pareto_of_Defect2"/>
      <sheetName val="Thống_kê_100%_B_và_D2"/>
      <sheetName val="Thống_kê_100%_A_và_C2"/>
      <sheetName val="2SP_1_NGÀY_H12_R082"/>
      <sheetName val="Danh_muc_NCC2"/>
      <sheetName val="Danh_muc_TP2"/>
      <sheetName val="List_NCC2"/>
      <sheetName val="List_TP2"/>
      <sheetName val="CHITIET_VL-NC2"/>
      <sheetName val="TONG_HOP2"/>
      <sheetName val="Thong_so2"/>
      <sheetName val="GIAY_BAO2"/>
      <sheetName val="Bao_cao2"/>
      <sheetName val="월별_부하운영_계획__(3)1"/>
      <sheetName val="Stockfit_BPFC2"/>
      <sheetName val="FOM_labor_proce22"/>
      <sheetName val="FOM_labor_proce(41"/>
      <sheetName val="FOM_labor_proceØQ1"/>
      <sheetName val="PTRSS_-_Finished_Shoe3"/>
      <sheetName val="PTRSS_-_Sockliner3"/>
      <sheetName val="FORCE_I_(DS)3"/>
      <sheetName val="SPM_(Cutting&amp;Pre)3"/>
      <sheetName val="WB_Primer_Shoe2"/>
      <sheetName val="WB_1st_TRIAL1"/>
      <sheetName val="ESTI_2"/>
      <sheetName val="Injection_Phylon_Process_1"/>
      <sheetName val="Upper_Cutting_Schedules_(8)1"/>
      <sheetName val="PU_CSS1"/>
      <sheetName val="TONGUE_WEBBING2"/>
      <sheetName val="Upper_Logo_Specification1"/>
      <sheetName val="RESULT_B2"/>
      <sheetName val="Sheet1_(2)1"/>
      <sheetName val="SUMM_LOADING_1"/>
      <sheetName val="Assembly_Process(2)1"/>
      <sheetName val="Assembly_Process_(1)_1"/>
      <sheetName val="Toe_Bumper_Rand_Preform1"/>
      <sheetName val="GRAFIK_DEFECT+RETURN1"/>
      <sheetName val="danh_sách_sản_phẩm_1"/>
      <sheetName val="9_11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 refreshError="1"/>
      <sheetData sheetId="799" refreshError="1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电脑排刀表"/>
      <sheetName val="裁剪层数表"/>
      <sheetName val="裁刀明细"/>
      <sheetName val="规格明细"/>
      <sheetName val="高周波流程"/>
      <sheetName val="划线"/>
      <sheetName val="磨皮"/>
      <sheetName val="削皮 "/>
      <sheetName val="折边"/>
      <sheetName val="贴补强"/>
      <sheetName val="针车全图"/>
      <sheetName val="针车流程"/>
      <sheetName val="LOW POST MS皮141"/>
      <sheetName val="Cut Model 411 020413"/>
      <sheetName val="Stitch (California 78 TS)"/>
      <sheetName val="Stitch (GD Runner Mini Girl 2)"/>
      <sheetName val="削皮_"/>
      <sheetName val="LOW_POST_MS皮141"/>
      <sheetName val="Stitching (G-Flux)"/>
      <sheetName val="Cutting Dies "/>
      <sheetName val="削皮_1"/>
      <sheetName val="LOW_POST_MS皮1411"/>
      <sheetName val="LB (80)"/>
      <sheetName val="Sheet1"/>
      <sheetName val="削皮_2"/>
      <sheetName val="LOW_POST_MS皮1412"/>
      <sheetName val="Cutting_Dies_"/>
      <sheetName val="Cut_Model_411_020413"/>
      <sheetName val="LB_(80)"/>
    </sheetNames>
    <definedNames>
      <definedName name="直線55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178049A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kiving Instruction (2)"/>
      <sheetName val="Spliting "/>
      <sheetName val="Reinf. Placement (1)"/>
      <sheetName val="Reinf. Placement (2)"/>
      <sheetName val="Stitching Instructions (1)"/>
      <sheetName val="Stitching Instructions (2)"/>
      <sheetName val="Stitching Instructions (3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1"/>
      <sheetName val="Sheet2"/>
      <sheetName val="Sheet3"/>
      <sheetName val=" (6,7)"/>
      <sheetName val="(8,9,10)"/>
      <sheetName val="Cutting(1)"/>
      <sheetName val="Cutting(2)"/>
      <sheetName val="Cutting(3)"/>
      <sheetName val="Skiving Instruction (1)"/>
      <sheetName val="Spliting Instructions"/>
      <sheetName val="Tapering Instructions"/>
      <sheetName val="Marking Location (1)"/>
      <sheetName val="Marking Location (2)"/>
      <sheetName val="Trim &amp; Edge-painting"/>
      <sheetName val="Reinforcement Placement"/>
      <sheetName val="Folding Location"/>
      <sheetName val="Pre-Buffing Specification"/>
      <sheetName val="Stitching Instructions (4)"/>
      <sheetName val="Upper Laser Process- Spec."/>
      <sheetName val="Upper Laser Process-Spec (2)."/>
      <sheetName val="Upper Laser Process-Spec. (3)"/>
      <sheetName val="Sockliner  Process"/>
      <sheetName val="Outsole Color Schedule"/>
      <sheetName val="Outsole Preform Specification"/>
      <sheetName val="Outsole Pressing Process "/>
      <sheetName val="PU CSS CONFIRMATION"/>
      <sheetName val="PU CSS Schedules"/>
      <sheetName val="PU Midsole Spec.I"/>
      <sheetName val="Stock Fitting Process (8)"/>
      <sheetName val="Stock Fitting Process "/>
      <sheetName val="Stock Fitting Process"/>
      <sheetName val="Stock Fitting Process (2)"/>
      <sheetName val="Stock Fitting Process (3)"/>
      <sheetName val="Stockfit BPFC"/>
      <sheetName val="Assembling Process"/>
      <sheetName val="Assembling Process (2)"/>
      <sheetName val="Assembly BPFC"/>
      <sheetName val="Production Checklist"/>
      <sheetName val="Sockliner Specification"/>
      <sheetName val="Upper Measurement Spec.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Index (1)"/>
      <sheetName val="Logo Specification (2)"/>
      <sheetName val="Screen Printing (4)"/>
      <sheetName val="Upper HF Welding Process(5)"/>
      <sheetName val="Index (3)"/>
      <sheetName val="Bottom Component Process Spec."/>
      <sheetName val="Stock Fitting Process (4)"/>
      <sheetName val="Stock Fitting Process (5)"/>
      <sheetName val="Stockfit BPFC (2)"/>
      <sheetName val="Assembling Process (3)"/>
      <sheetName val="Assembly BPFC (2)"/>
      <sheetName val="Sockliner Sublimation Process"/>
      <sheetName val="Cutting D)e (1)"/>
      <sheetName val="Cutting D)e (2)"/>
      <sheetName val="Cutting D)e (3)"/>
      <sheetName val="Stitching Instructio.s (3)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kiving_Instruction_(2)"/>
      <sheetName val="Spliting_"/>
      <sheetName val="Reinf__Placement_(1)"/>
      <sheetName val="Reinf__Placement_(2)"/>
      <sheetName val="Stitching_Instructions_(1)"/>
      <sheetName val="Stitching_Instructions_(2)"/>
      <sheetName val="Stitching_Instructions_(3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Skiving_Instruction_(1)"/>
      <sheetName val="Spliting_Instructions"/>
      <sheetName val="Tapering_Instructions"/>
      <sheetName val="Marking_Location_(1)"/>
      <sheetName val="Marking_Location_(2)"/>
      <sheetName val="Trim_&amp;_Edge-painting"/>
      <sheetName val="Reinforcement_Placement"/>
      <sheetName val="Folding_Location"/>
      <sheetName val="Pre-Buffing_Specification"/>
      <sheetName val="Stitching_Instructions_(4)"/>
      <sheetName val="Upper_Laser_Process-_Spec_"/>
      <sheetName val="Upper_Laser_Process-Spec_(2)_"/>
      <sheetName val="Upper_Laser_Process-Spec__(3)"/>
      <sheetName val="Sockliner__Process"/>
      <sheetName val="Outsole_Color_Schedule"/>
      <sheetName val="Outsole_Preform_Specification"/>
      <sheetName val="Outsole_Pressing_Process_"/>
      <sheetName val="PU_CSS_CONFIRMATION"/>
      <sheetName val="PU_CSS_Schedules"/>
      <sheetName val="PU_Midsole_Spec_I"/>
      <sheetName val="Stock_Fitting_Process_(8)"/>
      <sheetName val="Stock_Fitting_Process_"/>
      <sheetName val="Stock_Fitting_Process"/>
      <sheetName val="Stock_Fitting_Process_(2)"/>
      <sheetName val="Stock_Fitting_Process_(3)"/>
      <sheetName val="Stockfit_BPFC"/>
      <sheetName val="Assembling_Process"/>
      <sheetName val="Assembling_Process_(2)"/>
      <sheetName val="Assembly_BPFC"/>
      <sheetName val="Production_Checklist"/>
      <sheetName val="Sockliner_Specification"/>
      <sheetName val="Upper_Measurement_Spec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Index_(1)"/>
      <sheetName val="Logo_Specification_(2)"/>
      <sheetName val="Screen_Printing_(4)"/>
      <sheetName val="Upper_HF_Welding_Process(5)"/>
      <sheetName val="Index_(3)"/>
      <sheetName val="Bottom_Component_Process_Spec_"/>
      <sheetName val="Stock_Fitting_Process_(4)"/>
      <sheetName val="Stock_Fitting_Process_(5)"/>
      <sheetName val="Stockfit_BPFC_(2)"/>
      <sheetName val="Assembling_Process_(3)"/>
      <sheetName val="Assembly_BPFC_(2)"/>
      <sheetName val="Sockliner_Sublimation_Process"/>
      <sheetName val="Cutting_D)e_(1)"/>
      <sheetName val="Cutting_D)e_(2)"/>
      <sheetName val="Cutting_D)e_(3)"/>
      <sheetName val="Stitching_Instructio_s_(3)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kiving_Instruction_(2)1"/>
      <sheetName val="Spliting_1"/>
      <sheetName val="Reinf__Placement_(1)1"/>
      <sheetName val="Reinf__Placement_(2)1"/>
      <sheetName val="Stitching_Instructions_(1)1"/>
      <sheetName val="Stitching_Instructions_(2)1"/>
      <sheetName val="Stitching_Instructions_(3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Skiving_Instruction_(1)1"/>
      <sheetName val="Spliting_Instructions1"/>
      <sheetName val="Tapering_Instructions1"/>
      <sheetName val="Marking_Location_(1)1"/>
      <sheetName val="Marking_Location_(2)1"/>
      <sheetName val="Trim_&amp;_Edge-painting1"/>
      <sheetName val="Reinforcement_Placement1"/>
      <sheetName val="Folding_Location1"/>
      <sheetName val="Pre-Buffing_Specification1"/>
      <sheetName val="Stitching_Instructions_(4)1"/>
      <sheetName val="Upper_Laser_Process-_Spec_1"/>
      <sheetName val="Upper_Laser_Process-Spec_(2)_1"/>
      <sheetName val="Upper_Laser_Process-Spec__(3)1"/>
      <sheetName val="Sockliner__Process1"/>
      <sheetName val="Outsole_Color_Schedule1"/>
      <sheetName val="Outsole_Preform_Specification1"/>
      <sheetName val="Outsole_Pressing_Process_1"/>
      <sheetName val="PU_CSS_CONFIRMATION1"/>
      <sheetName val="PU_CSS_Schedules1"/>
      <sheetName val="PU_Midsole_Spec_I1"/>
      <sheetName val="Stock_Fitting_Process_(8)1"/>
      <sheetName val="DG3285"/>
      <sheetName val="#REF"/>
      <sheetName val="LOB Auto CS 90"/>
      <sheetName val="Stock_Fitting_Process_1"/>
      <sheetName val="Stock_Fitting_Process1"/>
      <sheetName val="Stock_Fitting_Process_(2)1"/>
      <sheetName val="Stock_Fitting_Process_(3)1"/>
      <sheetName val="Stockfit_BPFC1"/>
      <sheetName val="Assembling_Process1"/>
      <sheetName val="Assembling_Process_(2)1"/>
      <sheetName val="Assembly_BPFC1"/>
      <sheetName val="Production_Checklist1"/>
      <sheetName val="Sockliner_Specification1"/>
      <sheetName val="Upper_Measurement_Spec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Index_(1)1"/>
      <sheetName val="Logo_Specification_(2)1"/>
      <sheetName val="Screen_Printing_(4)1"/>
      <sheetName val="Upper_HF_Welding_Process(5)1"/>
      <sheetName val="Index_(3)1"/>
      <sheetName val="Bottom_Component_Process_Spec_1"/>
      <sheetName val="Stock_Fitting_Process_(4)1"/>
      <sheetName val="Stock_Fitting_Process_(5)1"/>
      <sheetName val="Stockfit_BPFC_(2)1"/>
      <sheetName val="Assembling_Process_(3)1"/>
      <sheetName val="Assembly_BPFC_(2)1"/>
      <sheetName val="Sockliner_Sublimation_Process1"/>
      <sheetName val="Cutting_D)e_(1)1"/>
      <sheetName val="Cutting_D)e_(2)1"/>
      <sheetName val="Cutting_D)e_(3)1"/>
      <sheetName val="Stitching_Instructio_s_(3)1"/>
      <sheetName val="SPRAY (A MX PLUS)"/>
      <sheetName val="BOLD SISTER-STRONG SISTER -TOR6"/>
      <sheetName val="SHOX NAVINA , SHOX REVEAL"/>
      <sheetName val="MODEL SHOX TURBO OZ (PS+TD)"/>
      <sheetName val="Spray Tower Machine"/>
      <sheetName val="Sheet1 (2)"/>
      <sheetName val="Sum"/>
      <sheetName val="IBASE"/>
      <sheetName val="Raw Data Sheet"/>
      <sheetName val="LB (80)"/>
      <sheetName val="2"/>
      <sheetName val="2c"/>
      <sheetName val="5d"/>
      <sheetName val="6c"/>
      <sheetName val="Dispenser"/>
      <sheetName val="5a"/>
      <sheetName val="K2"/>
      <sheetName val="output per jam"/>
      <sheetName val="data Productivity"/>
      <sheetName val="MLT "/>
      <sheetName val="daily BEP"/>
      <sheetName val="178049A.XLS"/>
      <sheetName val="96-GS-C2"/>
      <sheetName val="LB CUTTING KUROBE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3)"/>
      <sheetName val="Skiving Instruction (4)"/>
      <sheetName val="Skiving Instruction (5)"/>
      <sheetName val="Tapering Instructions 3.13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Computer Stitching Schedule"/>
      <sheetName val="Stitching Overview Sketch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CMP PHYLON CSS CONFIRMATION"/>
      <sheetName val="Phylon Midsole Spec."/>
      <sheetName val="BTRSS"/>
      <sheetName val="Stock Fitting Process(3)"/>
      <sheetName val="Stock Fitting Process (6)"/>
      <sheetName val="Stock Fitting Process (7)"/>
      <sheetName val="Upper Weight Control"/>
      <sheetName val="Blank Form"/>
      <sheetName val="KPI-Desember"/>
      <sheetName val="0103"/>
      <sheetName val="output_per_jam1"/>
      <sheetName val="data_Productivity1"/>
      <sheetName val="MLT_1"/>
      <sheetName val="daily_BEP1"/>
      <sheetName val="178049A_XLS1"/>
      <sheetName val="LB_CUTTING_KUROBE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3)1"/>
      <sheetName val="Skiving_Instruction_(4)1"/>
      <sheetName val="Skiving_Instruction_(5)1"/>
      <sheetName val="Tapering_Instructions_3_13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Computer_Stitching_Schedule1"/>
      <sheetName val="Stitching_Overview_Sketch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CMP_PHYLON_CSS_CONFIRMATION1"/>
      <sheetName val="Phylon_Midsole_Spec_1"/>
      <sheetName val="Stock_Fitting_Process(3)1"/>
      <sheetName val="Stock_Fitting_Process_(6)1"/>
      <sheetName val="Stock_Fitting_Process_(7)1"/>
      <sheetName val="Upper_Weight_Control1"/>
      <sheetName val="Blank_Form1"/>
      <sheetName val="Raw_Data_Sheet1"/>
      <sheetName val="output_per_jam"/>
      <sheetName val="data_Productivity"/>
      <sheetName val="MLT_"/>
      <sheetName val="daily_BEP"/>
      <sheetName val="178049A_XLS"/>
      <sheetName val="LB_CUTTING_KUROBE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3)"/>
      <sheetName val="Skiving_Instruction_(4)"/>
      <sheetName val="Skiving_Instruction_(5)"/>
      <sheetName val="Tapering_Instructions_3_13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Computer_Stitching_Schedule"/>
      <sheetName val="Stitching_Overview_Sketch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CMP_PHYLON_CSS_CONFIRMATION"/>
      <sheetName val="Phylon_Midsole_Spec_"/>
      <sheetName val="Stock_Fitting_Process(3)"/>
      <sheetName val="Stock_Fitting_Process_(6)"/>
      <sheetName val="Stock_Fitting_Process_(7)"/>
      <sheetName val="Upper_Weight_Control"/>
      <sheetName val="Blank_Form"/>
      <sheetName val="Raw_Data_Sheet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kiving_Instruction_(2)2"/>
      <sheetName val="Spliting_2"/>
      <sheetName val="Reinf__Placement_(1)2"/>
      <sheetName val="Reinf__Placement_(2)2"/>
      <sheetName val="Stitching_Instructions_(1)2"/>
      <sheetName val="Stitching_Instructions_(2)2"/>
      <sheetName val="Stitching_Instructions_(3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Skiving_Instruction_(1)2"/>
      <sheetName val="Spliting_Instructions2"/>
      <sheetName val="Tapering_Instructions2"/>
      <sheetName val="Marking_Location_(1)2"/>
      <sheetName val="Marking_Location_(2)2"/>
      <sheetName val="Trim_&amp;_Edge-painting2"/>
      <sheetName val="Reinforcement_Placement2"/>
      <sheetName val="Folding_Location2"/>
      <sheetName val="Pre-Buffing_Specification2"/>
      <sheetName val="Stitching_Instructions_(4)2"/>
      <sheetName val="Upper_Laser_Process-_Spec_2"/>
      <sheetName val="Upper_Laser_Process-Spec_(2)_2"/>
      <sheetName val="Upper_Laser_Process-Spec__(3)2"/>
      <sheetName val="Sockliner__Process2"/>
      <sheetName val="Outsole_Color_Schedule2"/>
      <sheetName val="Outsole_Preform_Specification2"/>
      <sheetName val="Outsole_Pressing_Process_2"/>
      <sheetName val="PU_CSS_CONFIRMATION2"/>
      <sheetName val="PU_CSS_Schedules2"/>
      <sheetName val="PU_Midsole_Spec_I2"/>
      <sheetName val="Stock_Fitting_Process_(8)2"/>
      <sheetName val="Stock_Fitting_Process_2"/>
      <sheetName val="Stock_Fitting_Process2"/>
      <sheetName val="Stock_Fitting_Process_(2)2"/>
      <sheetName val="Stock_Fitting_Process_(3)2"/>
      <sheetName val="Stockfit_BPFC2"/>
      <sheetName val="Assembling_Process2"/>
      <sheetName val="Assembling_Process_(2)2"/>
      <sheetName val="Assembly_BPFC2"/>
      <sheetName val="Production_Checklist2"/>
      <sheetName val="Sockliner_Specification2"/>
      <sheetName val="Upper_Measurement_Spec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Index_(1)2"/>
      <sheetName val="Logo_Specification_(2)2"/>
      <sheetName val="Screen_Printing_(4)2"/>
      <sheetName val="Upper_HF_Welding_Process(5)2"/>
      <sheetName val="Index_(3)2"/>
      <sheetName val="Bottom_Component_Process_Spec_2"/>
      <sheetName val="Stock_Fitting_Process_(4)2"/>
      <sheetName val="Stock_Fitting_Process_(5)2"/>
      <sheetName val="Stockfit_BPFC_(2)2"/>
      <sheetName val="Assembling_Process_(3)2"/>
      <sheetName val="Assembly_BPFC_(2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3)2"/>
      <sheetName val="Skiving_Instruction_(4)2"/>
      <sheetName val="Skiving_Instruction_(5)2"/>
      <sheetName val="Tapering_Instructions_3_132"/>
      <sheetName val="Marking_Location_(3)2"/>
      <sheetName val="Triming_edge_Instructions2"/>
      <sheetName val="Reinforcement_Placement_(1)2"/>
      <sheetName val="Reinforcement_Placement_(2)2"/>
      <sheetName val="Reinforcement_Placement_(2)2_12"/>
      <sheetName val="Reinforcement_Placement_(3)2"/>
      <sheetName val="Computer_Stitching_Schedule2"/>
      <sheetName val="Stitching_Overview_Sketch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CMP_PHYLON_CSS_CONFIRMATION2"/>
      <sheetName val="Phylon_Midsole_Spec_2"/>
      <sheetName val="Stock_Fitting_Process(3)2"/>
      <sheetName val="Stock_Fitting_Process_(6)2"/>
      <sheetName val="Stock_Fitting_Process_(7)2"/>
      <sheetName val="Upper_Weight_Control2"/>
      <sheetName val="Blank_Form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Cover_19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TABLE OF CONTENTS"/>
      <sheetName val="5.수정데이터통합"/>
      <sheetName val="표2"/>
      <sheetName val="SHOX REMID II"/>
      <sheetName val="제조공정도5"/>
      <sheetName val="PU "/>
      <sheetName val="3.I-Prefit Stitching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assmb_1"/>
      <sheetName val="assmb_2"/>
      <sheetName val="assmb_3"/>
      <sheetName val="assmb_4"/>
      <sheetName val="assmb_5"/>
      <sheetName val="assmb_6"/>
      <sheetName val="assmb_7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Culture of Empowerment"/>
      <sheetName val="Score%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XL4Poppy"/>
      <sheetName val="Stitching Instruction  (2)"/>
      <sheetName val="Skiving Instructions "/>
      <sheetName val="Key Manufacturing Details (1)"/>
      <sheetName val="월별 부하운영 계획  (3)"/>
      <sheetName val="당월(1)"/>
      <sheetName val="신규DEP"/>
      <sheetName val="Stitching (G-Flux)"/>
      <sheetName val="Stitching (GD-Runner)"/>
      <sheetName val="Source"/>
      <sheetName val="Stock Fitting @_x001b__x000c_?????_x0001_??"/>
      <sheetName val="Stock Fitting @_x005f_x001b__x005f_x000c__x"/>
      <sheetName val="SPM (Cutting&amp;Pre)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79"/>
      <sheetName val="PIDATA"/>
      <sheetName val="#REF!"/>
      <sheetName val="gVL"/>
      <sheetName val="LINK"/>
      <sheetName val="Upper Measureme"/>
      <sheetName val=""/>
      <sheetName val="PERCELL"/>
      <sheetName val="FA-HO11 Feb 2010"/>
      <sheetName val="Upper Measureme?9!?6_x000f_pv"/>
      <sheetName val="?`"/>
      <sheetName val="NAME"/>
      <sheetName val="Form PDCA Single Project - IA"/>
      <sheetName val="2.대외공문"/>
      <sheetName val="Material name"/>
      <sheetName val="Mold Efficiency Form"/>
      <sheetName val="List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kiving_Instruction_(2)28"/>
      <sheetName val="Spliting_28"/>
      <sheetName val="Reinf__Placement_(1)28"/>
      <sheetName val="Reinf__Placement_(2)28"/>
      <sheetName val="Stitching_Instructions_(1)28"/>
      <sheetName val="Stitching_Instructions_(2)28"/>
      <sheetName val="Stitching_Instructions_(3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6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Skiving_Instruction_(1)28"/>
      <sheetName val="Spliting_Instructions28"/>
      <sheetName val="Tapering_Instructions28"/>
      <sheetName val="Marking_Location_(1)28"/>
      <sheetName val="Marking_Location_(2)28"/>
      <sheetName val="Trim_&amp;_Edge-painting28"/>
      <sheetName val="Reinforcement_Placement28"/>
      <sheetName val="Folding_Location28"/>
      <sheetName val="Pre-Buffing_Specification28"/>
      <sheetName val="Stitching_Instructions_(4)28"/>
      <sheetName val="Upper_Laser_Process-_Spec_28"/>
      <sheetName val="Upper_Laser_Process-Spec_(2)_28"/>
      <sheetName val="Upper_Laser_Process-Spec__(3)28"/>
      <sheetName val="Sockliner__Process28"/>
      <sheetName val="Outsole_Color_Schedule28"/>
      <sheetName val="Outsole_Preform_Specification47"/>
      <sheetName val="Outsole_Pressing_Process_28"/>
      <sheetName val="PU_CSS_CONFIRMATION28"/>
      <sheetName val="PU_CSS_Schedules28"/>
      <sheetName val="PU_Midsole_Spec_I28"/>
      <sheetName val="Stock_Fitting_Process_(8)28"/>
      <sheetName val="Stock_Fitting_Process_28"/>
      <sheetName val="Stock_Fitting_Process28"/>
      <sheetName val="Stock_Fitting_Process_(2)28"/>
      <sheetName val="Stock_Fitting_Process_(3)28"/>
      <sheetName val="Stockfit_BPFC28"/>
      <sheetName val="Assembling_Process28"/>
      <sheetName val="Assembling_Process_(2)28"/>
      <sheetName val="Assembly_BPFC28"/>
      <sheetName val="Production_Checklist28"/>
      <sheetName val="Sockliner_Specification28"/>
      <sheetName val="Upper_Measurement_Spec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Index_(1)28"/>
      <sheetName val="Logo_Specification_(2)28"/>
      <sheetName val="Screen_Printing_(4)28"/>
      <sheetName val="Upper_HF_Welding_Process(5)28"/>
      <sheetName val="Index_(3)28"/>
      <sheetName val="Bottom_Component_Process_Spec28"/>
      <sheetName val="Stock_Fitting_Process_(4)28"/>
      <sheetName val="Stock_Fitting_Process_(5)28"/>
      <sheetName val="Stockfit_BPFC_(2)28"/>
      <sheetName val="Assembling_Process_(3)28"/>
      <sheetName val="Assembly_BPFC_(2)28"/>
      <sheetName val="Sockliner_Sublimation_Process28"/>
      <sheetName val="Cutting_D)e_(1)28"/>
      <sheetName val="Cutting_D)e_(2)28"/>
      <sheetName val="Cutting_D)e_(3)28"/>
      <sheetName val="Stitching_Instructio_s_(3)28"/>
      <sheetName val="LOB_Auto_CS_90"/>
      <sheetName val="SPRAY_(A_MX_PLUS)1"/>
      <sheetName val="BOLD_SISTER-STRONG_SISTER_-TOR1"/>
      <sheetName val="SHOX_NAVINA_,_SHOX_REVEAL1"/>
      <sheetName val="MODEL_SHOX_TURBO_OZ_(PS+TD)1"/>
      <sheetName val="Spray_Tower_Machine"/>
      <sheetName val="Sheet1_(2)"/>
      <sheetName val="Raw_Data_Sheet28"/>
      <sheetName val="LB_(80)"/>
      <sheetName val="output_per_jam28"/>
      <sheetName val="data_Productivity28"/>
      <sheetName val="MLT_28"/>
      <sheetName val="daily_BEP28"/>
      <sheetName val="178049A_XLS28"/>
      <sheetName val="LB_CUTTING_KUROBE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3)28"/>
      <sheetName val="Skiving_Instruction_(4)28"/>
      <sheetName val="Skiving_Instruction_(5)28"/>
      <sheetName val="Tapering_Instructions_3_13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Computer_Stitching_Schedule28"/>
      <sheetName val="Stitching_Overview_Sketch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CMP_PHYLON_CSS_CONFIRMATION28"/>
      <sheetName val="Phylon_Midsole_Spec_28"/>
      <sheetName val="Stock_Fitting_Process(3)28"/>
      <sheetName val="Stock_Fitting_Process_(6)28"/>
      <sheetName val="Stock_Fitting_Process_(7)28"/>
      <sheetName val="Upper_Weight_Control28"/>
      <sheetName val="Blank_Form28"/>
      <sheetName val="TABLE_OF_CONTENTS"/>
      <sheetName val="5_수정데이터통합"/>
      <sheetName val="SHOX_REMID_II"/>
      <sheetName val="PU_"/>
      <sheetName val="3_I-Prefit_Stitching"/>
      <sheetName val="Upper_Measureme9!6pv"/>
      <sheetName val="`"/>
      <sheetName val="assmb_12"/>
      <sheetName val="assmb_22"/>
      <sheetName val="assmb_32"/>
      <sheetName val="assmb_42"/>
      <sheetName val="assmb_52"/>
      <sheetName val="assmb_62"/>
      <sheetName val="assmb_72"/>
      <sheetName val="Cutting_Dies_"/>
      <sheetName val="Culture_of_Empowerment"/>
      <sheetName val="A_TERRA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Dispenser_Ruang_Classic"/>
      <sheetName val="Stock_Fitting_@"/>
      <sheetName val="Stitching_Instruction__(2)"/>
      <sheetName val="Skiving_Instructions_"/>
      <sheetName val="Key_Manufacturing_Details_(1)"/>
      <sheetName val="월별_부하운영_계획__(3)"/>
      <sheetName val="Stitching_(G-Flux)"/>
      <sheetName val="Stitching_(GD-Runner)"/>
      <sheetName val="Stock_Fitting_@???????"/>
      <sheetName val="Stock_Fitting_@_x005f_x001b__x005f_x000c__x"/>
      <sheetName val="SPM_(Cutting&amp;Pre)"/>
      <sheetName val="Stock_Fitting_@_x005f_x001b__x005f_x000c_"/>
      <sheetName val="Upper_Measureme"/>
      <sheetName val="FA-HO11_Feb_2010"/>
      <sheetName val="Upper_Measureme?9!?6pv"/>
      <sheetName val="Form_PDCA_Single_Project_-_IA"/>
      <sheetName val="2_대외공문"/>
      <sheetName val="Material_name"/>
      <sheetName val="Mold_Efficiency_Form"/>
      <sheetName val="output"/>
      <sheetName val="Finding-out-Annalysis"/>
      <sheetName val="SPEC"/>
      <sheetName val="Process Flow Chart"/>
      <sheetName val="Stock Fitting @_x001b__x000c__x"/>
      <sheetName val="DTCT"/>
      <sheetName val="Vietnam Report"/>
      <sheetName val="87"/>
      <sheetName val="Flow Chart "/>
      <sheetName val="MAY"/>
      <sheetName val="기안"/>
      <sheetName val="Reff"/>
      <sheetName val="PAJAK THR (3)"/>
      <sheetName val="summary"/>
      <sheetName val="orderstatus"/>
      <sheetName val="Upper Measureme9!6_x000f_pv"/>
      <sheetName val="Stock Fitting @_x001b__x000c__x0001_"/>
      <sheetName val="Maroing_Location_(1)14"/>
      <sheetName val="Skiving_Insdruction_(5)14"/>
      <sheetName val="Cover_35"/>
      <sheetName val="Sheet1_35"/>
      <sheetName val="Index_35"/>
      <sheetName val="Spec1_35"/>
      <sheetName val="Spec__70"/>
      <sheetName val="Spec__71"/>
      <sheetName val="Spec_36"/>
      <sheetName val="Spec_635"/>
      <sheetName val="Spec7_35"/>
      <sheetName val="Spec8_35"/>
      <sheetName val="cutting___35"/>
      <sheetName val="Punch_Specification__35"/>
      <sheetName val="Logo_Specification35"/>
      <sheetName val="Strap_Specification35"/>
      <sheetName val="Part_&amp;_Group_Specification35"/>
      <sheetName val="Reinf_Placement35"/>
      <sheetName val="Skiving_instructions35"/>
      <sheetName val="Marking_locations35"/>
      <sheetName val="Folding_Locations35"/>
      <sheetName val="Stitching_Over_View35"/>
      <sheetName val="stitching_instructions_35"/>
      <sheetName val="Computer_stitched35"/>
      <sheetName val="Upper_Molded_Component_Spec__35"/>
      <sheetName val="Upper_Molded_Component_Proc__35"/>
      <sheetName val="Upper_Measurement_Spec35"/>
      <sheetName val="PFC_Revice35"/>
      <sheetName val="Cutting_Die_(1)35"/>
      <sheetName val="Cutting_Die_(2)35"/>
      <sheetName val="Cutting_Die_(3)35"/>
      <sheetName val="Perf_Specification35"/>
      <sheetName val="Marking_Location35"/>
      <sheetName val="Marking_Locations_(2)35"/>
      <sheetName val="Skiving_Instruction_(2)35"/>
      <sheetName val="Spliting_35"/>
      <sheetName val="Reinf__Placement_(1)35"/>
      <sheetName val="Reinf__Placement_(2)35"/>
      <sheetName val="Stitching_Instructions_(1)35"/>
      <sheetName val="Stitching_Instructions_(2)35"/>
      <sheetName val="Stitching_Instructions_(3)35"/>
      <sheetName val="Computer_Stitching_35"/>
      <sheetName val="Upper_Molded_Component_Spec_35"/>
      <sheetName val="PHYLON_CSS35"/>
      <sheetName val="PHYLON_CSS_SCHEDULES35"/>
      <sheetName val="PHYLON_CSS_CONFIRMATION35"/>
      <sheetName val="Outsole_Color_35"/>
      <sheetName val="Outsole_Preform_Specification60"/>
      <sheetName val="Outsole_Pressing_Process35"/>
      <sheetName val="Outsole_Degreasing_Process_35"/>
      <sheetName val="Stock_Fiting_UV-Light_Proce_35"/>
      <sheetName val="Stock_Fiting_Process_35"/>
      <sheetName val="IY_06_0735"/>
      <sheetName val="Assembly_UV-Light_Process__35"/>
      <sheetName val="Assembly_Process_6,7_35"/>
      <sheetName val="Assembly_Process_6,735"/>
      <sheetName val="IY08_09_1035"/>
      <sheetName val="Assembly_Process_8,9,10_35"/>
      <sheetName val="Assembly_Process_8,9,10_(2_)35"/>
      <sheetName val="Back_Part_Moulding_(Soccer_TP35"/>
      <sheetName val="Ecosole_Instructions_35"/>
      <sheetName val="Sockliner_Instructions35"/>
      <sheetName val="Sock_Liner_Spec_35"/>
      <sheetName val="_(6,7)35"/>
      <sheetName val="Skiving_Instruction_(1)35"/>
      <sheetName val="Spliting_Instructions35"/>
      <sheetName val="Tapering_Instructions35"/>
      <sheetName val="Marking_Location_(1)35"/>
      <sheetName val="Marking_Location_(2)35"/>
      <sheetName val="Trim_&amp;_Edge-painting35"/>
      <sheetName val="Reinforcement_Placement35"/>
      <sheetName val="Folding_Location35"/>
      <sheetName val="Pre-Buffing_Specification35"/>
      <sheetName val="Stitching_Instructions_(4)35"/>
      <sheetName val="Upper_Laser_Process-_Spec_35"/>
      <sheetName val="Upper_Laser_Process-Spec_(2)_35"/>
      <sheetName val="Upper_Laser_Process-Spec__(3)35"/>
      <sheetName val="Sockliner__Process35"/>
      <sheetName val="Outsole_Color_Schedule35"/>
      <sheetName val="Outsole_Preform_Specification61"/>
      <sheetName val="Outsole_Pressing_Process_35"/>
      <sheetName val="PU_CSS_CONFIRMATION35"/>
      <sheetName val="PU_CSS_Schedules35"/>
      <sheetName val="PU_Midsole_Spec_I35"/>
      <sheetName val="Stock_Fitting_Process_(8)35"/>
      <sheetName val="Stock_Fitting_Process_35"/>
      <sheetName val="Stock_Fitting_Process35"/>
      <sheetName val="Stock_Fitting_Process_(2)35"/>
      <sheetName val="Stock_Fitting_Process_(3)35"/>
      <sheetName val="Stockfit_BPFC35"/>
      <sheetName val="Assembling_Process35"/>
      <sheetName val="Assembling_Process_(2)35"/>
      <sheetName val="Assembly_BPFC35"/>
      <sheetName val="Production_Checklist35"/>
      <sheetName val="Sockliner_Specification35"/>
      <sheetName val="Upper_Measurement_Spec_35"/>
      <sheetName val="索引_(1)35"/>
      <sheetName val="沖孔規格說明_(2)35"/>
      <sheetName val="_削薄處指示說明35"/>
      <sheetName val="_削薄處指示說明_(2)35"/>
      <sheetName val="_削薄處指示說明_(3)35"/>
      <sheetName val="_削薄處指示說明_(4)35"/>
      <sheetName val="_削薄處指示說明_(5)35"/>
      <sheetName val="劃線印刷指示說明_(2)35"/>
      <sheetName val="劃線印刷指示說明_(3)35"/>
      <sheetName val="折邊指示說明_35"/>
      <sheetName val="針車流程_(2)35"/>
      <sheetName val="針車流程_(3)35"/>
      <sheetName val="針車流程_(4)35"/>
      <sheetName val="針車流程_(5)35"/>
      <sheetName val="針車流程_(6)35"/>
      <sheetName val="_鞋面印刷作業流程35"/>
      <sheetName val="_鞋面高週波作業流程_(2)35"/>
      <sheetName val="__鞋墊作業流程35"/>
      <sheetName val="Cover_313845-102((259_)_(2)35"/>
      <sheetName val="Index_(1)35"/>
      <sheetName val="Logo_Specification_(2)35"/>
      <sheetName val="Screen_Printing_(4)35"/>
      <sheetName val="Upper_HF_Welding_Process(5)35"/>
      <sheetName val="Index_(3)35"/>
      <sheetName val="Bottom_Component_Process_Spec35"/>
      <sheetName val="Stock_Fitting_Process_(4)35"/>
      <sheetName val="Stock_Fitting_Process_(5)35"/>
      <sheetName val="Stockfit_BPFC_(2)35"/>
      <sheetName val="Assembling_Process_(3)35"/>
      <sheetName val="Assembly_BPFC_(2)35"/>
      <sheetName val="Sockliner_Sublimation_Process35"/>
      <sheetName val="Cutting_D)e_(1)35"/>
      <sheetName val="Cutting_D)e_(2)35"/>
      <sheetName val="Cutting_D)e_(3)35"/>
      <sheetName val="Stitching_Instructio_s_(3)35"/>
      <sheetName val="output_per_jam35"/>
      <sheetName val="data_Productivity35"/>
      <sheetName val="MLT_35"/>
      <sheetName val="daily_BEP35"/>
      <sheetName val="178049A_XLS35"/>
      <sheetName val="LB_CUTTING_KUROBE35"/>
      <sheetName val="Cutting(3)_3_1735"/>
      <sheetName val="Cutting(5)_3_1335"/>
      <sheetName val="Cutting(6)3_1735"/>
      <sheetName val="Molding_Piece_Schedule35"/>
      <sheetName val="Perf_Specification_(1)35"/>
      <sheetName val="Perf_Specification_(2)35"/>
      <sheetName val="Skiving_Instruction_(3)35"/>
      <sheetName val="Skiving_Instruction_(4)35"/>
      <sheetName val="Skiving_Instruction_(5)35"/>
      <sheetName val="Tapering_Instructions_3_1335"/>
      <sheetName val="Marking_Location_(3)35"/>
      <sheetName val="Triming_edge_Instructions35"/>
      <sheetName val="Reinforcement_Placement_(1)35"/>
      <sheetName val="Reinforcement_Placement_(2)35"/>
      <sheetName val="Reinforcement_Placement_(2)2_45"/>
      <sheetName val="Reinforcement_Placement_(3)35"/>
      <sheetName val="Computer_Stitching_Schedule35"/>
      <sheetName val="Stitching_Overview_Sketch35"/>
      <sheetName val="Stitching_Instructions_(5)35"/>
      <sheetName val="Stitching_Instructions_(6)35"/>
      <sheetName val="Stitching_Instructions_(6)_3_45"/>
      <sheetName val="Stitching_Instructions_(7)35"/>
      <sheetName val="Upper_Injected_Compon_Pro__(135"/>
      <sheetName val="Upper_Injected_Compon_Pro__(235"/>
      <sheetName val="Upper_HF__Printing_Welding(1)35"/>
      <sheetName val="Upper_HF_Printing_Welding(2)35"/>
      <sheetName val="Upper_HF_Welding_Process_(3)35"/>
      <sheetName val="Upper_HF_Welding_Process_(4)35"/>
      <sheetName val="Upper_HF_Printing_Welding_(5)35"/>
      <sheetName val="Upper_HF_Welding_Process_(6)35"/>
      <sheetName val="CMP_PHYLON_CSS_CONFIRMATION35"/>
      <sheetName val="Phylon_Midsole_Spec_35"/>
      <sheetName val="Stock_Fitting_Process(3)35"/>
      <sheetName val="Stock_Fitting_Process_(6)35"/>
      <sheetName val="Stock_Fitting_Process_(7)35"/>
      <sheetName val="Upper_Weight_Control35"/>
      <sheetName val="Blank_Form35"/>
      <sheetName val="Raw_Data_Sheet35"/>
      <sheetName val="SPRAY_(A_MX_PLUS)8"/>
      <sheetName val="BOLD_SISTER-STRONG_SISTER_-TOR9"/>
      <sheetName val="SHOX_NAVINA_,_SHOX_REVEAL8"/>
      <sheetName val="MODEL_SHOX_TURBO_OZ_(PS+TD)8"/>
      <sheetName val="Spray_Tower_Machine7"/>
      <sheetName val="Sheet1_(2)7"/>
      <sheetName val="LOB_Auto_CS_907"/>
      <sheetName val="LB_(80)7"/>
      <sheetName val="TABLE_OF_CONTENTS7"/>
      <sheetName val="Dispenser_Ruang_Classic7"/>
      <sheetName val="Stock_Fitting_@_x005f_x001b__x005f_x000c__7"/>
      <sheetName val="SPM_(Cutting&amp;Pre)7"/>
      <sheetName val="Stock_Fitting_@_x005f_x001b__x005f_x000c_7"/>
      <sheetName val="5_수정데이터통합7"/>
      <sheetName val="SHOX_REMID_II7"/>
      <sheetName val="PU_7"/>
      <sheetName val="3_I-Prefit_Stitching7"/>
      <sheetName val="assmb_19"/>
      <sheetName val="assmb_29"/>
      <sheetName val="assmb_39"/>
      <sheetName val="assmb_49"/>
      <sheetName val="assmb_59"/>
      <sheetName val="assmb_69"/>
      <sheetName val="assmb_79"/>
      <sheetName val="Cutting_Dies_7"/>
      <sheetName val="Culture_of_Empowerment7"/>
      <sheetName val="A_TERRA7"/>
      <sheetName val="Cover_(2)7"/>
      <sheetName val="_Cutting(1)_7"/>
      <sheetName val="_Cutting__(2)7"/>
      <sheetName val="_Cutting__(3)7"/>
      <sheetName val="_Cutting__(4)7"/>
      <sheetName val="_Cutting__(5)7"/>
      <sheetName val="Reinf_Placement_(2)7"/>
      <sheetName val="Skiving_Instructions_(2)7"/>
      <sheetName val="Skiving_Instruction37"/>
      <sheetName val="Pre-Buffing_(2)7"/>
      <sheetName val="Tongue_Label7"/>
      <sheetName val="Stitching_Instructions(1)7"/>
      <sheetName val="Stitching_Instructions(2)7"/>
      <sheetName val="Stitching_Instructions(3)7"/>
      <sheetName val="Stitching_Instructions(4)7"/>
      <sheetName val="Stitching_Instructions(5)7"/>
      <sheetName val="Stitching_Instructions(6)7"/>
      <sheetName val="H_F__Welding_Proc7"/>
      <sheetName val="TPU_CLEANING&amp;SCREEN_PRINT_7"/>
      <sheetName val="Stitching_Instruction__(2)7"/>
      <sheetName val="Skiving_Instructions_7"/>
      <sheetName val="Key_Manufacturing_Details_(1)7"/>
      <sheetName val="월별_부하운영_계획__(3)7"/>
      <sheetName val="Upper_Measureme7"/>
      <sheetName val="Stitching_(G-Flux)7"/>
      <sheetName val="Stitching_(GD-Runner)7"/>
      <sheetName val="FA-HO11_Feb_20107"/>
      <sheetName val="Form_PDCA_Single_Project_-_IA7"/>
      <sheetName val="2_대외공문7"/>
      <sheetName val="Material_name7"/>
      <sheetName val="Mold_Efficiency_Form7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kiving_Instruction_(2)29"/>
      <sheetName val="Spliting_29"/>
      <sheetName val="Reinf__Placement_(1)29"/>
      <sheetName val="Reinf__Placement_(2)29"/>
      <sheetName val="Stitching_Instructions_(1)29"/>
      <sheetName val="Stitching_Instructions_(2)29"/>
      <sheetName val="Stitching_Instructions_(3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8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Skiving_Instruction_(1)29"/>
      <sheetName val="Spliting_Instructions29"/>
      <sheetName val="Tapering_Instructions29"/>
      <sheetName val="Marking_Location_(1)29"/>
      <sheetName val="Marking_Location_(2)29"/>
      <sheetName val="Trim_&amp;_Edge-painting29"/>
      <sheetName val="Reinforcement_Placement29"/>
      <sheetName val="Folding_Location29"/>
      <sheetName val="Pre-Buffing_Specification29"/>
      <sheetName val="Stitching_Instructions_(4)29"/>
      <sheetName val="Upper_Laser_Process-_Spec_29"/>
      <sheetName val="Upper_Laser_Process-Spec_(2)_29"/>
      <sheetName val="Upper_Laser_Process-Spec__(3)29"/>
      <sheetName val="Sockliner__Process29"/>
      <sheetName val="Outsole_Color_Schedule29"/>
      <sheetName val="Outsole_Preform_Specification49"/>
      <sheetName val="Outsole_Pressing_Process_29"/>
      <sheetName val="PU_CSS_CONFIRMATION29"/>
      <sheetName val="PU_CSS_Schedules29"/>
      <sheetName val="PU_Midsole_Spec_I29"/>
      <sheetName val="Stock_Fitting_Process_(8)29"/>
      <sheetName val="Stock_Fitting_Process_29"/>
      <sheetName val="Stock_Fitting_Process29"/>
      <sheetName val="Stock_Fitting_Process_(2)29"/>
      <sheetName val="Stock_Fitting_Process_(3)29"/>
      <sheetName val="Stockfit_BPFC29"/>
      <sheetName val="Assembling_Process29"/>
      <sheetName val="Assembling_Process_(2)29"/>
      <sheetName val="Assembly_BPFC29"/>
      <sheetName val="Production_Checklist29"/>
      <sheetName val="Sockliner_Specification29"/>
      <sheetName val="Upper_Measurement_Spec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Index_(1)29"/>
      <sheetName val="Logo_Specification_(2)29"/>
      <sheetName val="Screen_Printing_(4)29"/>
      <sheetName val="Upper_HF_Welding_Process(5)29"/>
      <sheetName val="Index_(3)29"/>
      <sheetName val="Bottom_Component_Process_Spec29"/>
      <sheetName val="Stock_Fitting_Process_(4)29"/>
      <sheetName val="Stock_Fitting_Process_(5)29"/>
      <sheetName val="Stockfit_BPFC_(2)29"/>
      <sheetName val="Assembling_Process_(3)29"/>
      <sheetName val="Assembly_BPFC_(2)29"/>
      <sheetName val="Sockliner_Sublimation_Process29"/>
      <sheetName val="Cutting_D)e_(1)29"/>
      <sheetName val="Cutting_D)e_(2)29"/>
      <sheetName val="Cutting_D)e_(3)29"/>
      <sheetName val="Stitching_Instructio_s_(3)29"/>
      <sheetName val="output_per_jam29"/>
      <sheetName val="data_Productivity29"/>
      <sheetName val="MLT_29"/>
      <sheetName val="daily_BEP29"/>
      <sheetName val="178049A_XLS29"/>
      <sheetName val="LB_CUTTING_KUROBE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3)29"/>
      <sheetName val="Skiving_Instruction_(4)29"/>
      <sheetName val="Skiving_Instruction_(5)29"/>
      <sheetName val="Tapering_Instructions_3_13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Computer_Stitching_Schedule29"/>
      <sheetName val="Stitching_Overview_Sketch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CMP_PHYLON_CSS_CONFIRMATION29"/>
      <sheetName val="Phylon_Midsole_Spec_29"/>
      <sheetName val="Stock_Fitting_Process(3)29"/>
      <sheetName val="Stock_Fitting_Process_(6)29"/>
      <sheetName val="Stock_Fitting_Process_(7)29"/>
      <sheetName val="Upper_Weight_Control29"/>
      <sheetName val="Blank_Form29"/>
      <sheetName val="Raw_Data_Sheet29"/>
      <sheetName val="SPRAY_(A_MX_PLUS)2"/>
      <sheetName val="BOLD_SISTER-STRONG_SISTER_-TOR2"/>
      <sheetName val="SHOX_NAVINA_,_SHOX_REVEAL2"/>
      <sheetName val="MODEL_SHOX_TURBO_OZ_(PS+TD)2"/>
      <sheetName val="Spray_Tower_Machine1"/>
      <sheetName val="Sheet1_(2)1"/>
      <sheetName val="LOB_Auto_CS_901"/>
      <sheetName val="LB_(80)1"/>
      <sheetName val="TABLE_OF_CONTENTS1"/>
      <sheetName val="Dispenser_Ruang_Classic1"/>
      <sheetName val="Stock_Fitting_@_x005f_x001b__x005f_x000c__1"/>
      <sheetName val="SPM_(Cutting&amp;Pre)1"/>
      <sheetName val="Stock_Fitting_@_x005f_x001b__x005f_x000c_1"/>
      <sheetName val="5_수정데이터통합1"/>
      <sheetName val="SHOX_REMID_II1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Culture_of_Empowerment1"/>
      <sheetName val="A_TERRA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Stitching_Instruction__(2)1"/>
      <sheetName val="Skiving_Instructions_1"/>
      <sheetName val="Key_Manufacturing_Details_(1)1"/>
      <sheetName val="월별_부하운영_계획__(3)1"/>
      <sheetName val="Upper_Measureme1"/>
      <sheetName val="Stitching_(G-Flux)1"/>
      <sheetName val="Stitching_(GD-Runner)1"/>
      <sheetName val="FA-HO11_Feb_20101"/>
      <sheetName val="Form_PDCA_Single_Project_-_IA1"/>
      <sheetName val="2_대외공문1"/>
      <sheetName val="Material_name1"/>
      <sheetName val="Mold_Efficiency_Form1"/>
      <sheetName val="Cover_32"/>
      <sheetName val="Sheet1_32"/>
      <sheetName val="Index_32"/>
      <sheetName val="Spec1_32"/>
      <sheetName val="Spec__64"/>
      <sheetName val="Spec__65"/>
      <sheetName val="Spec_33"/>
      <sheetName val="Spec_632"/>
      <sheetName val="Spec7_32"/>
      <sheetName val="Spec8_32"/>
      <sheetName val="cutting___32"/>
      <sheetName val="Punch_Specification__32"/>
      <sheetName val="Logo_Specification32"/>
      <sheetName val="Strap_Specification32"/>
      <sheetName val="Part_&amp;_Group_Specification32"/>
      <sheetName val="Reinf_Placement32"/>
      <sheetName val="Skiving_instructions32"/>
      <sheetName val="Marking_locations32"/>
      <sheetName val="Folding_Locations32"/>
      <sheetName val="Stitching_Over_View32"/>
      <sheetName val="stitching_instructions_32"/>
      <sheetName val="Computer_stitched32"/>
      <sheetName val="Upper_Molded_Component_Spec__32"/>
      <sheetName val="Upper_Molded_Component_Proc__32"/>
      <sheetName val="Upper_Measurement_Spec32"/>
      <sheetName val="PFC_Revice32"/>
      <sheetName val="Cutting_Die_(1)32"/>
      <sheetName val="Cutting_Die_(2)32"/>
      <sheetName val="Cutting_Die_(3)32"/>
      <sheetName val="Perf_Specification32"/>
      <sheetName val="Marking_Location32"/>
      <sheetName val="Marking_Locations_(2)32"/>
      <sheetName val="Skiving_Instruction_(2)32"/>
      <sheetName val="Spliting_32"/>
      <sheetName val="Reinf__Placement_(1)32"/>
      <sheetName val="Reinf__Placement_(2)32"/>
      <sheetName val="Stitching_Instructions_(1)32"/>
      <sheetName val="Stitching_Instructions_(2)32"/>
      <sheetName val="Stitching_Instructions_(3)32"/>
      <sheetName val="Computer_Stitching_32"/>
      <sheetName val="Upper_Molded_Component_Spec_32"/>
      <sheetName val="PHYLON_CSS32"/>
      <sheetName val="PHYLON_CSS_SCHEDULES32"/>
      <sheetName val="PHYLON_CSS_CONFIRMATION32"/>
      <sheetName val="Outsole_Color_32"/>
      <sheetName val="Outsole_Preform_Specification54"/>
      <sheetName val="Outsole_Pressing_Process32"/>
      <sheetName val="Outsole_Degreasing_Process_32"/>
      <sheetName val="Stock_Fiting_UV-Light_Proce_32"/>
      <sheetName val="Stock_Fiting_Process_32"/>
      <sheetName val="IY_06_0732"/>
      <sheetName val="Assembly_UV-Light_Process__32"/>
      <sheetName val="Assembly_Process_6,7_32"/>
      <sheetName val="Assembly_Process_6,732"/>
      <sheetName val="IY08_09_1032"/>
      <sheetName val="Assembly_Process_8,9,10_32"/>
      <sheetName val="Assembly_Process_8,9,10_(2_)32"/>
      <sheetName val="Back_Part_Moulding_(Soccer_TP32"/>
      <sheetName val="Ecosole_Instructions_32"/>
      <sheetName val="Sockliner_Instructions32"/>
      <sheetName val="Sock_Liner_Spec_32"/>
      <sheetName val="_(6,7)32"/>
      <sheetName val="Skiving_Instruction_(1)32"/>
      <sheetName val="Spliting_Instructions32"/>
      <sheetName val="Tapering_Instructions32"/>
      <sheetName val="Marking_Location_(1)32"/>
      <sheetName val="Marking_Location_(2)32"/>
      <sheetName val="Trim_&amp;_Edge-painting32"/>
      <sheetName val="Reinforcement_Placement32"/>
      <sheetName val="Folding_Location32"/>
      <sheetName val="Pre-Buffing_Specification32"/>
      <sheetName val="Stitching_Instructions_(4)32"/>
      <sheetName val="Upper_Laser_Process-_Spec_32"/>
      <sheetName val="Upper_Laser_Process-Spec_(2)_32"/>
      <sheetName val="Upper_Laser_Process-Spec__(3)32"/>
      <sheetName val="Sockliner__Process32"/>
      <sheetName val="Outsole_Color_Schedule32"/>
      <sheetName val="Outsole_Preform_Specification55"/>
      <sheetName val="Outsole_Pressing_Process_32"/>
      <sheetName val="PU_CSS_CONFIRMATION32"/>
      <sheetName val="PU_CSS_Schedules32"/>
      <sheetName val="PU_Midsole_Spec_I32"/>
      <sheetName val="Stock_Fitting_Process_(8)32"/>
      <sheetName val="Stock_Fitting_Process_32"/>
      <sheetName val="Stock_Fitting_Process32"/>
      <sheetName val="Stock_Fitting_Process_(2)32"/>
      <sheetName val="Stock_Fitting_Process_(3)32"/>
      <sheetName val="Stockfit_BPFC32"/>
      <sheetName val="Assembling_Process32"/>
      <sheetName val="Assembling_Process_(2)32"/>
      <sheetName val="Assembly_BPFC32"/>
      <sheetName val="Production_Checklist32"/>
      <sheetName val="Sockliner_Specification32"/>
      <sheetName val="Upper_Measurement_Spec_32"/>
      <sheetName val="索引_(1)32"/>
      <sheetName val="沖孔規格說明_(2)32"/>
      <sheetName val="_削薄處指示說明32"/>
      <sheetName val="_削薄處指示說明_(2)32"/>
      <sheetName val="_削薄處指示說明_(3)32"/>
      <sheetName val="_削薄處指示說明_(4)32"/>
      <sheetName val="_削薄處指示說明_(5)32"/>
      <sheetName val="劃線印刷指示說明_(2)32"/>
      <sheetName val="劃線印刷指示說明_(3)32"/>
      <sheetName val="折邊指示說明_32"/>
      <sheetName val="針車流程_(2)32"/>
      <sheetName val="針車流程_(3)32"/>
      <sheetName val="針車流程_(4)32"/>
      <sheetName val="針車流程_(5)32"/>
      <sheetName val="針車流程_(6)32"/>
      <sheetName val="_鞋面印刷作業流程32"/>
      <sheetName val="_鞋面高週波作業流程_(2)32"/>
      <sheetName val="__鞋墊作業流程32"/>
      <sheetName val="Cover_313845-102((259_)_(2)32"/>
      <sheetName val="Index_(1)32"/>
      <sheetName val="Logo_Specification_(2)32"/>
      <sheetName val="Screen_Printing_(4)32"/>
      <sheetName val="Upper_HF_Welding_Process(5)32"/>
      <sheetName val="Index_(3)32"/>
      <sheetName val="Bottom_Component_Process_Spec32"/>
      <sheetName val="Stock_Fitting_Process_(4)32"/>
      <sheetName val="Stock_Fitting_Process_(5)32"/>
      <sheetName val="Stockfit_BPFC_(2)32"/>
      <sheetName val="Assembling_Process_(3)32"/>
      <sheetName val="Assembly_BPFC_(2)32"/>
      <sheetName val="Sockliner_Sublimation_Process32"/>
      <sheetName val="Cutting_D)e_(1)32"/>
      <sheetName val="Cutting_D)e_(2)32"/>
      <sheetName val="Cutting_D)e_(3)32"/>
      <sheetName val="Stitching_Instructio_s_(3)32"/>
      <sheetName val="output_per_jam32"/>
      <sheetName val="data_Productivity32"/>
      <sheetName val="MLT_32"/>
      <sheetName val="daily_BEP32"/>
      <sheetName val="178049A_XLS32"/>
      <sheetName val="LB_CUTTING_KUROBE32"/>
      <sheetName val="Cutting(3)_3_1732"/>
      <sheetName val="Cutting(5)_3_1332"/>
      <sheetName val="Cutting(6)3_1732"/>
      <sheetName val="Molding_Piece_Schedule32"/>
      <sheetName val="Perf_Specification_(1)32"/>
      <sheetName val="Perf_Specification_(2)32"/>
      <sheetName val="Skiving_Instruction_(3)32"/>
      <sheetName val="Skiving_Instruction_(4)32"/>
      <sheetName val="Skiving_Instruction_(5)32"/>
      <sheetName val="Tapering_Instructions_3_1332"/>
      <sheetName val="Marking_Location_(3)32"/>
      <sheetName val="Triming_edge_Instructions32"/>
      <sheetName val="Reinforcement_Placement_(1)32"/>
      <sheetName val="Reinforcement_Placement_(2)32"/>
      <sheetName val="Reinforcement_Placement_(2)2_42"/>
      <sheetName val="Reinforcement_Placement_(3)32"/>
      <sheetName val="Computer_Stitching_Schedule32"/>
      <sheetName val="Stitching_Overview_Sketch32"/>
      <sheetName val="Stitching_Instructions_(5)32"/>
      <sheetName val="Stitching_Instructions_(6)32"/>
      <sheetName val="Stitching_Instructions_(6)_3_42"/>
      <sheetName val="Stitching_Instructions_(7)32"/>
      <sheetName val="Upper_Injected_Compon_Pro__(132"/>
      <sheetName val="Upper_Injected_Compon_Pro__(232"/>
      <sheetName val="Upper_HF__Printing_Welding(1)32"/>
      <sheetName val="Upper_HF_Printing_Welding(2)32"/>
      <sheetName val="Upper_HF_Welding_Process_(3)32"/>
      <sheetName val="Upper_HF_Welding_Process_(4)32"/>
      <sheetName val="Upper_HF_Printing_Welding_(5)32"/>
      <sheetName val="Upper_HF_Welding_Process_(6)32"/>
      <sheetName val="CMP_PHYLON_CSS_CONFIRMATION32"/>
      <sheetName val="Phylon_Midsole_Spec_32"/>
      <sheetName val="Stock_Fitting_Process(3)32"/>
      <sheetName val="Stock_Fitting_Process_(6)32"/>
      <sheetName val="Stock_Fitting_Process_(7)32"/>
      <sheetName val="Upper_Weight_Control32"/>
      <sheetName val="Blank_Form32"/>
      <sheetName val="Raw_Data_Sheet32"/>
      <sheetName val="SPRAY_(A_MX_PLUS)5"/>
      <sheetName val="BOLD_SISTER-STRONG_SISTER_-TOR5"/>
      <sheetName val="SHOX_NAVINA_,_SHOX_REVEAL5"/>
      <sheetName val="MODEL_SHOX_TURBO_OZ_(PS+TD)5"/>
      <sheetName val="Spray_Tower_Machine4"/>
      <sheetName val="Sheet1_(2)4"/>
      <sheetName val="LOB_Auto_CS_904"/>
      <sheetName val="LB_(80)4"/>
      <sheetName val="TABLE_OF_CONTENTS4"/>
      <sheetName val="Dispenser_Ruang_Classic4"/>
      <sheetName val="Stock_Fitting_@_x005f_x001b__x005f_x000c__4"/>
      <sheetName val="SPM_(Cutting&amp;Pre)4"/>
      <sheetName val="Stock_Fitting_@_x005f_x001b__x005f_x000c_4"/>
      <sheetName val="5_수정데이터통합4"/>
      <sheetName val="SHOX_REMID_II4"/>
      <sheetName val="PU_4"/>
      <sheetName val="3_I-Prefit_Stitching4"/>
      <sheetName val="assmb_16"/>
      <sheetName val="assmb_26"/>
      <sheetName val="assmb_36"/>
      <sheetName val="assmb_46"/>
      <sheetName val="assmb_56"/>
      <sheetName val="assmb_66"/>
      <sheetName val="assmb_76"/>
      <sheetName val="Cutting_Dies_4"/>
      <sheetName val="Culture_of_Empowerment4"/>
      <sheetName val="A_TERRA4"/>
      <sheetName val="Cover_(2)4"/>
      <sheetName val="_Cutting(1)_4"/>
      <sheetName val="_Cutting__(2)4"/>
      <sheetName val="_Cutting__(3)4"/>
      <sheetName val="_Cutting__(4)4"/>
      <sheetName val="_Cutting__(5)4"/>
      <sheetName val="Reinf_Placement_(2)4"/>
      <sheetName val="Skiving_Instructions_(2)4"/>
      <sheetName val="Skiving_Instruction34"/>
      <sheetName val="Pre-Buffing_(2)4"/>
      <sheetName val="Tongue_Label4"/>
      <sheetName val="Stitching_Instructions(1)4"/>
      <sheetName val="Stitching_Instructions(2)4"/>
      <sheetName val="Stitching_Instructions(3)4"/>
      <sheetName val="Stitching_Instructions(4)4"/>
      <sheetName val="Stitching_Instructions(5)4"/>
      <sheetName val="Stitching_Instructions(6)4"/>
      <sheetName val="H_F__Welding_Proc4"/>
      <sheetName val="TPU_CLEANING&amp;SCREEN_PRINT_4"/>
      <sheetName val="Stitching_Instruction__(2)4"/>
      <sheetName val="Skiving_Instructions_4"/>
      <sheetName val="Key_Manufacturing_Details_(1)4"/>
      <sheetName val="월별_부하운영_계획__(3)4"/>
      <sheetName val="Upper_Measureme4"/>
      <sheetName val="Stitching_(G-Flux)4"/>
      <sheetName val="Stitching_(GD-Runner)4"/>
      <sheetName val="FA-HO11_Feb_20104"/>
      <sheetName val="Form_PDCA_Single_Project_-_IA4"/>
      <sheetName val="2_대외공문4"/>
      <sheetName val="Material_name4"/>
      <sheetName val="Mold_Efficiency_Form4"/>
      <sheetName val="Cover_30"/>
      <sheetName val="Sheet1_30"/>
      <sheetName val="Index_30"/>
      <sheetName val="Spec1_30"/>
      <sheetName val="Spec__60"/>
      <sheetName val="Spec__61"/>
      <sheetName val="Spec_31"/>
      <sheetName val="Spec_630"/>
      <sheetName val="Spec7_30"/>
      <sheetName val="Spec8_30"/>
      <sheetName val="cutting___30"/>
      <sheetName val="Punch_Specification__30"/>
      <sheetName val="Logo_Specification30"/>
      <sheetName val="Strap_Specification30"/>
      <sheetName val="Part_&amp;_Group_Specification30"/>
      <sheetName val="Reinf_Placement30"/>
      <sheetName val="Skiving_instructions30"/>
      <sheetName val="Marking_locations30"/>
      <sheetName val="Folding_Locations30"/>
      <sheetName val="Stitching_Over_View30"/>
      <sheetName val="stitching_instructions_30"/>
      <sheetName val="Computer_stitched30"/>
      <sheetName val="Upper_Molded_Component_Spec__30"/>
      <sheetName val="Upper_Molded_Component_Proc__30"/>
      <sheetName val="Upper_Measurement_Spec30"/>
      <sheetName val="PFC_Revice30"/>
      <sheetName val="Cutting_Die_(1)30"/>
      <sheetName val="Cutting_Die_(2)30"/>
      <sheetName val="Cutting_Die_(3)30"/>
      <sheetName val="Perf_Specification30"/>
      <sheetName val="Marking_Location30"/>
      <sheetName val="Marking_Locations_(2)30"/>
      <sheetName val="Skiving_Instruction_(2)30"/>
      <sheetName val="Spliting_30"/>
      <sheetName val="Reinf__Placement_(1)30"/>
      <sheetName val="Reinf__Placement_(2)30"/>
      <sheetName val="Stitching_Instructions_(1)30"/>
      <sheetName val="Stitching_Instructions_(2)30"/>
      <sheetName val="Stitching_Instructions_(3)30"/>
      <sheetName val="Computer_Stitching_30"/>
      <sheetName val="Upper_Molded_Component_Spec_30"/>
      <sheetName val="PHYLON_CSS30"/>
      <sheetName val="PHYLON_CSS_SCHEDULES30"/>
      <sheetName val="PHYLON_CSS_CONFIRMATION30"/>
      <sheetName val="Outsole_Color_30"/>
      <sheetName val="Outsole_Preform_Specification50"/>
      <sheetName val="Outsole_Pressing_Process30"/>
      <sheetName val="Outsole_Degreasing_Process_30"/>
      <sheetName val="Stock_Fiting_UV-Light_Proce_30"/>
      <sheetName val="Stock_Fiting_Process_30"/>
      <sheetName val="IY_06_0730"/>
      <sheetName val="Assembly_UV-Light_Process__30"/>
      <sheetName val="Assembly_Process_6,7_30"/>
      <sheetName val="Assembly_Process_6,730"/>
      <sheetName val="IY08_09_1030"/>
      <sheetName val="Assembly_Process_8,9,10_30"/>
      <sheetName val="Assembly_Process_8,9,10_(2_)30"/>
      <sheetName val="Back_Part_Moulding_(Soccer_TP30"/>
      <sheetName val="Ecosole_Instructions_30"/>
      <sheetName val="Sockliner_Instructions30"/>
      <sheetName val="Sock_Liner_Spec_30"/>
      <sheetName val="_(6,7)30"/>
      <sheetName val="Skiving_Instruction_(1)30"/>
      <sheetName val="Spliting_Instructions30"/>
      <sheetName val="Tapering_Instructions30"/>
      <sheetName val="Marking_Location_(1)30"/>
      <sheetName val="Marking_Location_(2)30"/>
      <sheetName val="Trim_&amp;_Edge-painting30"/>
      <sheetName val="Reinforcement_Placement30"/>
      <sheetName val="Folding_Location30"/>
      <sheetName val="Pre-Buffing_Specification30"/>
      <sheetName val="Stitching_Instructions_(4)30"/>
      <sheetName val="Upper_Laser_Process-_Spec_30"/>
      <sheetName val="Upper_Laser_Process-Spec_(2)_30"/>
      <sheetName val="Upper_Laser_Process-Spec__(3)30"/>
      <sheetName val="Sockliner__Process30"/>
      <sheetName val="Outsole_Color_Schedule30"/>
      <sheetName val="Outsole_Preform_Specification51"/>
      <sheetName val="Outsole_Pressing_Process_30"/>
      <sheetName val="PU_CSS_CONFIRMATION30"/>
      <sheetName val="PU_CSS_Schedules30"/>
      <sheetName val="PU_Midsole_Spec_I30"/>
      <sheetName val="Stock_Fitting_Process_(8)30"/>
      <sheetName val="Stock_Fitting_Process_30"/>
      <sheetName val="Stock_Fitting_Process30"/>
      <sheetName val="Stock_Fitting_Process_(2)30"/>
      <sheetName val="Stock_Fitting_Process_(3)30"/>
      <sheetName val="Stockfit_BPFC30"/>
      <sheetName val="Assembling_Process30"/>
      <sheetName val="Assembling_Process_(2)30"/>
      <sheetName val="Assembly_BPFC30"/>
      <sheetName val="Production_Checklist30"/>
      <sheetName val="Sockliner_Specification30"/>
      <sheetName val="Upper_Measurement_Spec_30"/>
      <sheetName val="索引_(1)30"/>
      <sheetName val="沖孔規格說明_(2)30"/>
      <sheetName val="_削薄處指示說明30"/>
      <sheetName val="_削薄處指示說明_(2)30"/>
      <sheetName val="_削薄處指示說明_(3)30"/>
      <sheetName val="_削薄處指示說明_(4)30"/>
      <sheetName val="_削薄處指示說明_(5)30"/>
      <sheetName val="劃線印刷指示說明_(2)30"/>
      <sheetName val="劃線印刷指示說明_(3)30"/>
      <sheetName val="折邊指示說明_30"/>
      <sheetName val="針車流程_(2)30"/>
      <sheetName val="針車流程_(3)30"/>
      <sheetName val="針車流程_(4)30"/>
      <sheetName val="針車流程_(5)30"/>
      <sheetName val="針車流程_(6)30"/>
      <sheetName val="_鞋面印刷作業流程30"/>
      <sheetName val="_鞋面高週波作業流程_(2)30"/>
      <sheetName val="__鞋墊作業流程30"/>
      <sheetName val="Cover_313845-102((259_)_(2)30"/>
      <sheetName val="Index_(1)30"/>
      <sheetName val="Logo_Specification_(2)30"/>
      <sheetName val="Screen_Printing_(4)30"/>
      <sheetName val="Upper_HF_Welding_Process(5)30"/>
      <sheetName val="Index_(3)30"/>
      <sheetName val="Bottom_Component_Process_Spec30"/>
      <sheetName val="Stock_Fitting_Process_(4)30"/>
      <sheetName val="Stock_Fitting_Process_(5)30"/>
      <sheetName val="Stockfit_BPFC_(2)30"/>
      <sheetName val="Assembling_Process_(3)30"/>
      <sheetName val="Assembly_BPFC_(2)30"/>
      <sheetName val="Sockliner_Sublimation_Process30"/>
      <sheetName val="Cutting_D)e_(1)30"/>
      <sheetName val="Cutting_D)e_(2)30"/>
      <sheetName val="Cutting_D)e_(3)30"/>
      <sheetName val="Stitching_Instructio_s_(3)30"/>
      <sheetName val="output_per_jam30"/>
      <sheetName val="data_Productivity30"/>
      <sheetName val="MLT_30"/>
      <sheetName val="daily_BEP30"/>
      <sheetName val="178049A_XLS30"/>
      <sheetName val="LB_CUTTING_KUROBE30"/>
      <sheetName val="Cutting(3)_3_1730"/>
      <sheetName val="Cutting(5)_3_1330"/>
      <sheetName val="Cutting(6)3_1730"/>
      <sheetName val="Molding_Piece_Schedule30"/>
      <sheetName val="Perf_Specification_(1)30"/>
      <sheetName val="Perf_Specification_(2)30"/>
      <sheetName val="Skiving_Instruction_(3)30"/>
      <sheetName val="Skiving_Instruction_(4)30"/>
      <sheetName val="Skiving_Instruction_(5)30"/>
      <sheetName val="Tapering_Instructions_3_1330"/>
      <sheetName val="Marking_Location_(3)30"/>
      <sheetName val="Triming_edge_Instructions30"/>
      <sheetName val="Reinforcement_Placement_(1)30"/>
      <sheetName val="Reinforcement_Placement_(2)30"/>
      <sheetName val="Reinforcement_Placement_(2)2_40"/>
      <sheetName val="Reinforcement_Placement_(3)30"/>
      <sheetName val="Computer_Stitching_Schedule30"/>
      <sheetName val="Stitching_Overview_Sketch30"/>
      <sheetName val="Stitching_Instructions_(5)30"/>
      <sheetName val="Stitching_Instructions_(6)30"/>
      <sheetName val="Stitching_Instructions_(6)_3_40"/>
      <sheetName val="Stitching_Instructions_(7)30"/>
      <sheetName val="Upper_Injected_Compon_Pro__(130"/>
      <sheetName val="Upper_Injected_Compon_Pro__(230"/>
      <sheetName val="Upper_HF__Printing_Welding(1)30"/>
      <sheetName val="Upper_HF_Printing_Welding(2)30"/>
      <sheetName val="Upper_HF_Welding_Process_(3)30"/>
      <sheetName val="Upper_HF_Welding_Process_(4)30"/>
      <sheetName val="Upper_HF_Printing_Welding_(5)30"/>
      <sheetName val="Upper_HF_Welding_Process_(6)30"/>
      <sheetName val="CMP_PHYLON_CSS_CONFIRMATION30"/>
      <sheetName val="Phylon_Midsole_Spec_30"/>
      <sheetName val="Stock_Fitting_Process(3)30"/>
      <sheetName val="Stock_Fitting_Process_(6)30"/>
      <sheetName val="Stock_Fitting_Process_(7)30"/>
      <sheetName val="Upper_Weight_Control30"/>
      <sheetName val="Blank_Form30"/>
      <sheetName val="Raw_Data_Sheet30"/>
      <sheetName val="SPRAY_(A_MX_PLUS)3"/>
      <sheetName val="BOLD_SISTER-STRONG_SISTER_-TOR3"/>
      <sheetName val="SHOX_NAVINA_,_SHOX_REVEAL3"/>
      <sheetName val="MODEL_SHOX_TURBO_OZ_(PS+TD)3"/>
      <sheetName val="Spray_Tower_Machine2"/>
      <sheetName val="Sheet1_(2)2"/>
      <sheetName val="LOB_Auto_CS_902"/>
      <sheetName val="LB_(80)2"/>
      <sheetName val="TABLE_OF_CONTENTS2"/>
      <sheetName val="Dispenser_Ruang_Classic2"/>
      <sheetName val="Stock_Fitting_@_x005f_x001b__x005f_x000c__2"/>
      <sheetName val="SPM_(Cutting&amp;Pre)2"/>
      <sheetName val="Stock_Fitting_@_x005f_x001b__x005f_x000c_2"/>
      <sheetName val="5_수정데이터통합2"/>
      <sheetName val="SHOX_REMID_II2"/>
      <sheetName val="PU_2"/>
      <sheetName val="3_I-Prefit_Stitching2"/>
      <sheetName val="assmb_14"/>
      <sheetName val="assmb_24"/>
      <sheetName val="assmb_34"/>
      <sheetName val="assmb_44"/>
      <sheetName val="assmb_54"/>
      <sheetName val="assmb_64"/>
      <sheetName val="assmb_74"/>
      <sheetName val="Cutting_Dies_2"/>
      <sheetName val="Culture_of_Empowerment2"/>
      <sheetName val="A_TERRA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Stitching_Instruction__(2)2"/>
      <sheetName val="Skiving_Instructions_2"/>
      <sheetName val="Key_Manufacturing_Details_(1)2"/>
      <sheetName val="월별_부하운영_계획__(3)2"/>
      <sheetName val="Upper_Measureme2"/>
      <sheetName val="Stitching_(G-Flux)2"/>
      <sheetName val="Stitching_(GD-Runner)2"/>
      <sheetName val="FA-HO11_Feb_20102"/>
      <sheetName val="Form_PDCA_Single_Project_-_IA2"/>
      <sheetName val="2_대외공문2"/>
      <sheetName val="Material_name2"/>
      <sheetName val="Mold_Efficiency_Form2"/>
      <sheetName val="Cover_31"/>
      <sheetName val="Sheet1_31"/>
      <sheetName val="Index_31"/>
      <sheetName val="Spec1_31"/>
      <sheetName val="Spec__62"/>
      <sheetName val="Spec__63"/>
      <sheetName val="Spec_32"/>
      <sheetName val="Spec_631"/>
      <sheetName val="Spec7_31"/>
      <sheetName val="Spec8_31"/>
      <sheetName val="cutting___31"/>
      <sheetName val="Punch_Specification__31"/>
      <sheetName val="Logo_Specification31"/>
      <sheetName val="Strap_Specification31"/>
      <sheetName val="Part_&amp;_Group_Specification31"/>
      <sheetName val="Reinf_Placement31"/>
      <sheetName val="Skiving_instructions31"/>
      <sheetName val="Marking_locations31"/>
      <sheetName val="Folding_Locations31"/>
      <sheetName val="Stitching_Over_View31"/>
      <sheetName val="stitching_instructions_31"/>
      <sheetName val="Computer_stitched31"/>
      <sheetName val="Upper_Molded_Component_Spec__31"/>
      <sheetName val="Upper_Molded_Component_Proc__31"/>
      <sheetName val="Upper_Measurement_Spec31"/>
      <sheetName val="PFC_Revice31"/>
      <sheetName val="Cutting_Die_(1)31"/>
      <sheetName val="Cutting_Die_(2)31"/>
      <sheetName val="Cutting_Die_(3)31"/>
      <sheetName val="Perf_Specification31"/>
      <sheetName val="Marking_Location31"/>
      <sheetName val="Marking_Locations_(2)31"/>
      <sheetName val="Skiving_Instruction_(2)31"/>
      <sheetName val="Spliting_31"/>
      <sheetName val="Reinf__Placement_(1)31"/>
      <sheetName val="Reinf__Placement_(2)31"/>
      <sheetName val="Stitching_Instructions_(1)31"/>
      <sheetName val="Stitching_Instructions_(2)31"/>
      <sheetName val="Stitching_Instructions_(3)31"/>
      <sheetName val="Computer_Stitching_31"/>
      <sheetName val="Upper_Molded_Component_Spec_31"/>
      <sheetName val="PHYLON_CSS31"/>
      <sheetName val="PHYLON_CSS_SCHEDULES31"/>
      <sheetName val="PHYLON_CSS_CONFIRMATION31"/>
      <sheetName val="Outsole_Color_31"/>
      <sheetName val="Outsole_Preform_Specification52"/>
      <sheetName val="Outsole_Pressing_Process31"/>
      <sheetName val="Outsole_Degreasing_Process_31"/>
      <sheetName val="Stock_Fiting_UV-Light_Proce_31"/>
      <sheetName val="Stock_Fiting_Process_31"/>
      <sheetName val="IY_06_0731"/>
      <sheetName val="Assembly_UV-Light_Process__31"/>
      <sheetName val="Assembly_Process_6,7_31"/>
      <sheetName val="Assembly_Process_6,731"/>
      <sheetName val="IY08_09_1031"/>
      <sheetName val="Assembly_Process_8,9,10_31"/>
      <sheetName val="Assembly_Process_8,9,10_(2_)31"/>
      <sheetName val="Back_Part_Moulding_(Soccer_TP31"/>
      <sheetName val="Ecosole_Instructions_31"/>
      <sheetName val="Sockliner_Instructions31"/>
      <sheetName val="Sock_Liner_Spec_31"/>
      <sheetName val="_(6,7)31"/>
      <sheetName val="Skiving_Instruction_(1)31"/>
      <sheetName val="Spliting_Instructions31"/>
      <sheetName val="Tapering_Instructions31"/>
      <sheetName val="Marking_Location_(1)31"/>
      <sheetName val="Marking_Location_(2)31"/>
      <sheetName val="Trim_&amp;_Edge-painting31"/>
      <sheetName val="Reinforcement_Placement31"/>
      <sheetName val="Folding_Location31"/>
      <sheetName val="Pre-Buffing_Specification31"/>
      <sheetName val="Stitching_Instructions_(4)31"/>
      <sheetName val="Upper_Laser_Process-_Spec_31"/>
      <sheetName val="Upper_Laser_Process-Spec_(2)_31"/>
      <sheetName val="Upper_Laser_Process-Spec__(3)31"/>
      <sheetName val="Sockliner__Process31"/>
      <sheetName val="Outsole_Color_Schedule31"/>
      <sheetName val="Outsole_Preform_Specification53"/>
      <sheetName val="Outsole_Pressing_Process_31"/>
      <sheetName val="PU_CSS_CONFIRMATION31"/>
      <sheetName val="PU_CSS_Schedules31"/>
      <sheetName val="PU_Midsole_Spec_I31"/>
      <sheetName val="Stock_Fitting_Process_(8)31"/>
      <sheetName val="Stock_Fitting_Process_31"/>
      <sheetName val="Stock_Fitting_Process31"/>
      <sheetName val="Stock_Fitting_Process_(2)31"/>
      <sheetName val="Stock_Fitting_Process_(3)31"/>
      <sheetName val="Stockfit_BPFC31"/>
      <sheetName val="Assembling_Process31"/>
      <sheetName val="Assembling_Process_(2)31"/>
      <sheetName val="Assembly_BPFC31"/>
      <sheetName val="Production_Checklist31"/>
      <sheetName val="Sockliner_Specification31"/>
      <sheetName val="Upper_Measurement_Spec_31"/>
      <sheetName val="索引_(1)31"/>
      <sheetName val="沖孔規格說明_(2)31"/>
      <sheetName val="_削薄處指示說明31"/>
      <sheetName val="_削薄處指示說明_(2)31"/>
      <sheetName val="_削薄處指示說明_(3)31"/>
      <sheetName val="_削薄處指示說明_(4)31"/>
      <sheetName val="_削薄處指示說明_(5)31"/>
      <sheetName val="劃線印刷指示說明_(2)31"/>
      <sheetName val="劃線印刷指示說明_(3)31"/>
      <sheetName val="折邊指示說明_31"/>
      <sheetName val="針車流程_(2)31"/>
      <sheetName val="針車流程_(3)31"/>
      <sheetName val="針車流程_(4)31"/>
      <sheetName val="針車流程_(5)31"/>
      <sheetName val="針車流程_(6)31"/>
      <sheetName val="_鞋面印刷作業流程31"/>
      <sheetName val="_鞋面高週波作業流程_(2)31"/>
      <sheetName val="__鞋墊作業流程31"/>
      <sheetName val="Cover_313845-102((259_)_(2)31"/>
      <sheetName val="Index_(1)31"/>
      <sheetName val="Logo_Specification_(2)31"/>
      <sheetName val="Screen_Printing_(4)31"/>
      <sheetName val="Upper_HF_Welding_Process(5)31"/>
      <sheetName val="Index_(3)31"/>
      <sheetName val="Bottom_Component_Process_Spec31"/>
      <sheetName val="Stock_Fitting_Process_(4)31"/>
      <sheetName val="Stock_Fitting_Process_(5)31"/>
      <sheetName val="Stockfit_BPFC_(2)31"/>
      <sheetName val="Assembling_Process_(3)31"/>
      <sheetName val="Assembly_BPFC_(2)31"/>
      <sheetName val="Sockliner_Sublimation_Process31"/>
      <sheetName val="Cutting_D)e_(1)31"/>
      <sheetName val="Cutting_D)e_(2)31"/>
      <sheetName val="Cutting_D)e_(3)31"/>
      <sheetName val="Stitching_Instructio_s_(3)31"/>
      <sheetName val="output_per_jam31"/>
      <sheetName val="data_Productivity31"/>
      <sheetName val="MLT_31"/>
      <sheetName val="daily_BEP31"/>
      <sheetName val="178049A_XLS31"/>
      <sheetName val="LB_CUTTING_KUROBE31"/>
      <sheetName val="Cutting(3)_3_1731"/>
      <sheetName val="Cutting(5)_3_1331"/>
      <sheetName val="Cutting(6)3_1731"/>
      <sheetName val="Molding_Piece_Schedule31"/>
      <sheetName val="Perf_Specification_(1)31"/>
      <sheetName val="Perf_Specification_(2)31"/>
      <sheetName val="Skiving_Instruction_(3)31"/>
      <sheetName val="Skiving_Instruction_(4)31"/>
      <sheetName val="Skiving_Instruction_(5)31"/>
      <sheetName val="Tapering_Instructions_3_1331"/>
      <sheetName val="Marking_Location_(3)31"/>
      <sheetName val="Triming_edge_Instructions31"/>
      <sheetName val="Reinforcement_Placement_(1)31"/>
      <sheetName val="Reinforcement_Placement_(2)31"/>
      <sheetName val="Reinforcement_Placement_(2)2_41"/>
      <sheetName val="Reinforcement_Placement_(3)31"/>
      <sheetName val="Computer_Stitching_Schedule31"/>
      <sheetName val="Stitching_Overview_Sketch31"/>
      <sheetName val="Stitching_Instructions_(5)31"/>
      <sheetName val="Stitching_Instructions_(6)31"/>
      <sheetName val="Stitching_Instructions_(6)_3_41"/>
      <sheetName val="Stitching_Instructions_(7)31"/>
      <sheetName val="Upper_Injected_Compon_Pro__(131"/>
      <sheetName val="Upper_Injected_Compon_Pro__(231"/>
      <sheetName val="Upper_HF__Printing_Welding(1)31"/>
      <sheetName val="Upper_HF_Printing_Welding(2)31"/>
      <sheetName val="Upper_HF_Welding_Process_(3)31"/>
      <sheetName val="Upper_HF_Welding_Process_(4)31"/>
      <sheetName val="Upper_HF_Printing_Welding_(5)31"/>
      <sheetName val="Upper_HF_Welding_Process_(6)31"/>
      <sheetName val="CMP_PHYLON_CSS_CONFIRMATION31"/>
      <sheetName val="Phylon_Midsole_Spec_31"/>
      <sheetName val="Stock_Fitting_Process(3)31"/>
      <sheetName val="Stock_Fitting_Process_(6)31"/>
      <sheetName val="Stock_Fitting_Process_(7)31"/>
      <sheetName val="Upper_Weight_Control31"/>
      <sheetName val="Blank_Form31"/>
      <sheetName val="Raw_Data_Sheet31"/>
      <sheetName val="SPRAY_(A_MX_PLUS)4"/>
      <sheetName val="BOLD_SISTER-STRONG_SISTER_-TOR4"/>
      <sheetName val="SHOX_NAVINA_,_SHOX_REVEAL4"/>
      <sheetName val="MODEL_SHOX_TURBO_OZ_(PS+TD)4"/>
      <sheetName val="Spray_Tower_Machine3"/>
      <sheetName val="Sheet1_(2)3"/>
      <sheetName val="LOB_Auto_CS_903"/>
      <sheetName val="LB_(80)3"/>
      <sheetName val="TABLE_OF_CONTENTS3"/>
      <sheetName val="Dispenser_Ruang_Classic3"/>
      <sheetName val="Stock_Fitting_@_x005f_x001b__x005f_x000c__3"/>
      <sheetName val="SPM_(Cutting&amp;Pre)3"/>
      <sheetName val="Stock_Fitting_@_x005f_x001b__x005f_x000c_3"/>
      <sheetName val="5_수정데이터통합3"/>
      <sheetName val="SHOX_REMID_II3"/>
      <sheetName val="PU_3"/>
      <sheetName val="3_I-Prefit_Stitching3"/>
      <sheetName val="assmb_15"/>
      <sheetName val="assmb_25"/>
      <sheetName val="assmb_35"/>
      <sheetName val="assmb_45"/>
      <sheetName val="assmb_55"/>
      <sheetName val="assmb_65"/>
      <sheetName val="assmb_75"/>
      <sheetName val="Cutting_Dies_3"/>
      <sheetName val="Culture_of_Empowerment3"/>
      <sheetName val="A_TERRA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Stitching_Instruction__(2)3"/>
      <sheetName val="Skiving_Instructions_3"/>
      <sheetName val="Key_Manufacturing_Details_(1)3"/>
      <sheetName val="월별_부하운영_계획__(3)3"/>
      <sheetName val="Upper_Measureme3"/>
      <sheetName val="Stitching_(G-Flux)3"/>
      <sheetName val="Stitching_(GD-Runner)3"/>
      <sheetName val="FA-HO11_Feb_20103"/>
      <sheetName val="Form_PDCA_Single_Project_-_IA3"/>
      <sheetName val="2_대외공문3"/>
      <sheetName val="Material_name3"/>
      <sheetName val="Mold_Efficiency_Form3"/>
      <sheetName val="Cover_33"/>
      <sheetName val="Sheet1_33"/>
      <sheetName val="Index_33"/>
      <sheetName val="Spec1_33"/>
      <sheetName val="Spec__66"/>
      <sheetName val="Spec__67"/>
      <sheetName val="Spec_34"/>
      <sheetName val="Spec_633"/>
      <sheetName val="Spec7_33"/>
      <sheetName val="Spec8_33"/>
      <sheetName val="cutting___33"/>
      <sheetName val="Punch_Specification__33"/>
      <sheetName val="Logo_Specification33"/>
      <sheetName val="Strap_Specification33"/>
      <sheetName val="Part_&amp;_Group_Specification33"/>
      <sheetName val="Reinf_Placement33"/>
      <sheetName val="Skiving_instructions33"/>
      <sheetName val="Marking_locations33"/>
      <sheetName val="Folding_Locations33"/>
      <sheetName val="Stitching_Over_View33"/>
      <sheetName val="stitching_instructions_33"/>
      <sheetName val="Computer_stitched33"/>
      <sheetName val="Upper_Molded_Component_Spec__33"/>
      <sheetName val="Upper_Molded_Component_Proc__33"/>
      <sheetName val="Upper_Measurement_Spec33"/>
      <sheetName val="PFC_Revice33"/>
      <sheetName val="Cutting_Die_(1)33"/>
      <sheetName val="Cutting_Die_(2)33"/>
      <sheetName val="Cutting_Die_(3)33"/>
      <sheetName val="Perf_Specification33"/>
      <sheetName val="Marking_Location33"/>
      <sheetName val="Marking_Locations_(2)33"/>
      <sheetName val="Skiving_Instruction_(2)33"/>
      <sheetName val="Spliting_33"/>
      <sheetName val="Reinf__Placement_(1)33"/>
      <sheetName val="Reinf__Placement_(2)33"/>
      <sheetName val="Stitching_Instructions_(1)33"/>
      <sheetName val="Stitching_Instructions_(2)33"/>
      <sheetName val="Stitching_Instructions_(3)33"/>
      <sheetName val="Computer_Stitching_33"/>
      <sheetName val="Upper_Molded_Component_Spec_33"/>
      <sheetName val="PHYLON_CSS33"/>
      <sheetName val="PHYLON_CSS_SCHEDULES33"/>
      <sheetName val="PHYLON_CSS_CONFIRMATION33"/>
      <sheetName val="Outsole_Color_33"/>
      <sheetName val="Outsole_Preform_Specification56"/>
      <sheetName val="Outsole_Pressing_Process33"/>
      <sheetName val="Outsole_Degreasing_Process_33"/>
      <sheetName val="Stock_Fiting_UV-Light_Proce_33"/>
      <sheetName val="Stock_Fiting_Process_33"/>
      <sheetName val="IY_06_0733"/>
      <sheetName val="Assembly_UV-Light_Process__33"/>
      <sheetName val="Assembly_Process_6,7_33"/>
      <sheetName val="Assembly_Process_6,733"/>
      <sheetName val="IY08_09_1033"/>
      <sheetName val="Assembly_Process_8,9,10_33"/>
      <sheetName val="Assembly_Process_8,9,10_(2_)33"/>
      <sheetName val="Back_Part_Moulding_(Soccer_TP33"/>
      <sheetName val="Ecosole_Instructions_33"/>
      <sheetName val="Sockliner_Instructions33"/>
      <sheetName val="Sock_Liner_Spec_33"/>
      <sheetName val="_(6,7)33"/>
      <sheetName val="Skiving_Instruction_(1)33"/>
      <sheetName val="Spliting_Instructions33"/>
      <sheetName val="Tapering_Instructions33"/>
      <sheetName val="Marking_Location_(1)33"/>
      <sheetName val="Marking_Location_(2)33"/>
      <sheetName val="Trim_&amp;_Edge-painting33"/>
      <sheetName val="Reinforcement_Placement33"/>
      <sheetName val="Folding_Location33"/>
      <sheetName val="Pre-Buffing_Specification33"/>
      <sheetName val="Stitching_Instructions_(4)33"/>
      <sheetName val="Upper_Laser_Process-_Spec_33"/>
      <sheetName val="Upper_Laser_Process-Spec_(2)_33"/>
      <sheetName val="Upper_Laser_Process-Spec__(3)33"/>
      <sheetName val="Sockliner__Process33"/>
      <sheetName val="Outsole_Color_Schedule33"/>
      <sheetName val="Outsole_Preform_Specification57"/>
      <sheetName val="Outsole_Pressing_Process_33"/>
      <sheetName val="PU_CSS_CONFIRMATION33"/>
      <sheetName val="PU_CSS_Schedules33"/>
      <sheetName val="PU_Midsole_Spec_I33"/>
      <sheetName val="Stock_Fitting_Process_(8)33"/>
      <sheetName val="Stock_Fitting_Process_33"/>
      <sheetName val="Stock_Fitting_Process33"/>
      <sheetName val="Stock_Fitting_Process_(2)33"/>
      <sheetName val="Stock_Fitting_Process_(3)33"/>
      <sheetName val="Stockfit_BPFC33"/>
      <sheetName val="Assembling_Process33"/>
      <sheetName val="Assembling_Process_(2)33"/>
      <sheetName val="Assembly_BPFC33"/>
      <sheetName val="Production_Checklist33"/>
      <sheetName val="Sockliner_Specification33"/>
      <sheetName val="Upper_Measurement_Spec_33"/>
      <sheetName val="索引_(1)33"/>
      <sheetName val="沖孔規格說明_(2)33"/>
      <sheetName val="_削薄處指示說明33"/>
      <sheetName val="_削薄處指示說明_(2)33"/>
      <sheetName val="_削薄處指示說明_(3)33"/>
      <sheetName val="_削薄處指示說明_(4)33"/>
      <sheetName val="_削薄處指示說明_(5)33"/>
      <sheetName val="劃線印刷指示說明_(2)33"/>
      <sheetName val="劃線印刷指示說明_(3)33"/>
      <sheetName val="折邊指示說明_33"/>
      <sheetName val="針車流程_(2)33"/>
      <sheetName val="針車流程_(3)33"/>
      <sheetName val="針車流程_(4)33"/>
      <sheetName val="針車流程_(5)33"/>
      <sheetName val="針車流程_(6)33"/>
      <sheetName val="_鞋面印刷作業流程33"/>
      <sheetName val="_鞋面高週波作業流程_(2)33"/>
      <sheetName val="__鞋墊作業流程33"/>
      <sheetName val="Cover_313845-102((259_)_(2)33"/>
      <sheetName val="Index_(1)33"/>
      <sheetName val="Logo_Specification_(2)33"/>
      <sheetName val="Screen_Printing_(4)33"/>
      <sheetName val="Upper_HF_Welding_Process(5)33"/>
      <sheetName val="Index_(3)33"/>
      <sheetName val="Bottom_Component_Process_Spec33"/>
      <sheetName val="Stock_Fitting_Process_(4)33"/>
      <sheetName val="Stock_Fitting_Process_(5)33"/>
      <sheetName val="Stockfit_BPFC_(2)33"/>
      <sheetName val="Assembling_Process_(3)33"/>
      <sheetName val="Assembly_BPFC_(2)33"/>
      <sheetName val="Sockliner_Sublimation_Process33"/>
      <sheetName val="Cutting_D)e_(1)33"/>
      <sheetName val="Cutting_D)e_(2)33"/>
      <sheetName val="Cutting_D)e_(3)33"/>
      <sheetName val="Stitching_Instructio_s_(3)33"/>
      <sheetName val="output_per_jam33"/>
      <sheetName val="data_Productivity33"/>
      <sheetName val="MLT_33"/>
      <sheetName val="daily_BEP33"/>
      <sheetName val="178049A_XLS33"/>
      <sheetName val="LB_CUTTING_KUROBE33"/>
      <sheetName val="Cutting(3)_3_1733"/>
      <sheetName val="Cutting(5)_3_1333"/>
      <sheetName val="Cutting(6)3_1733"/>
      <sheetName val="Molding_Piece_Schedule33"/>
      <sheetName val="Perf_Specification_(1)33"/>
      <sheetName val="Perf_Specification_(2)33"/>
      <sheetName val="Skiving_Instruction_(3)33"/>
      <sheetName val="Skiving_Instruction_(4)33"/>
      <sheetName val="Skiving_Instruction_(5)33"/>
      <sheetName val="Tapering_Instructions_3_1333"/>
      <sheetName val="Marking_Location_(3)33"/>
      <sheetName val="Triming_edge_Instructions33"/>
      <sheetName val="Reinforcement_Placement_(1)33"/>
      <sheetName val="Reinforcement_Placement_(2)33"/>
      <sheetName val="Reinforcement_Placement_(2)2_43"/>
      <sheetName val="Reinforcement_Placement_(3)33"/>
      <sheetName val="Computer_Stitching_Schedule33"/>
      <sheetName val="Stitching_Overview_Sketch33"/>
      <sheetName val="Stitching_Instructions_(5)33"/>
      <sheetName val="Stitching_Instructions_(6)33"/>
      <sheetName val="Stitching_Instructions_(6)_3_43"/>
      <sheetName val="Stitching_Instructions_(7)33"/>
      <sheetName val="Upper_Injected_Compon_Pro__(133"/>
      <sheetName val="Upper_Injected_Compon_Pro__(233"/>
      <sheetName val="Upper_HF__Printing_Welding(1)33"/>
      <sheetName val="Upper_HF_Printing_Welding(2)33"/>
      <sheetName val="Upper_HF_Welding_Process_(3)33"/>
      <sheetName val="Upper_HF_Welding_Process_(4)33"/>
      <sheetName val="Upper_HF_Printing_Welding_(5)33"/>
      <sheetName val="Upper_HF_Welding_Process_(6)33"/>
      <sheetName val="CMP_PHYLON_CSS_CONFIRMATION33"/>
      <sheetName val="Phylon_Midsole_Spec_33"/>
      <sheetName val="Stock_Fitting_Process(3)33"/>
      <sheetName val="Stock_Fitting_Process_(6)33"/>
      <sheetName val="Stock_Fitting_Process_(7)33"/>
      <sheetName val="Upper_Weight_Control33"/>
      <sheetName val="Blank_Form33"/>
      <sheetName val="Raw_Data_Sheet33"/>
      <sheetName val="SPRAY_(A_MX_PLUS)6"/>
      <sheetName val="BOLD_SISTER-STRONG_SISTER_-TOR7"/>
      <sheetName val="SHOX_NAVINA_,_SHOX_REVEAL6"/>
      <sheetName val="MODEL_SHOX_TURBO_OZ_(PS+TD)6"/>
      <sheetName val="Spray_Tower_Machine5"/>
      <sheetName val="Sheet1_(2)5"/>
      <sheetName val="LOB_Auto_CS_905"/>
      <sheetName val="LB_(80)5"/>
      <sheetName val="TABLE_OF_CONTENTS5"/>
      <sheetName val="Dispenser_Ruang_Classic5"/>
      <sheetName val="Stock_Fitting_@_x005f_x001b__x005f_x000c__5"/>
      <sheetName val="SPM_(Cutting&amp;Pre)5"/>
      <sheetName val="Stock_Fitting_@_x005f_x001b__x005f_x000c_5"/>
      <sheetName val="5_수정데이터통합5"/>
      <sheetName val="SHOX_REMID_II5"/>
      <sheetName val="PU_5"/>
      <sheetName val="3_I-Prefit_Stitching5"/>
      <sheetName val="assmb_17"/>
      <sheetName val="assmb_27"/>
      <sheetName val="assmb_37"/>
      <sheetName val="assmb_47"/>
      <sheetName val="assmb_57"/>
      <sheetName val="assmb_67"/>
      <sheetName val="assmb_77"/>
      <sheetName val="Cutting_Dies_5"/>
      <sheetName val="Culture_of_Empowerment5"/>
      <sheetName val="A_TERRA5"/>
      <sheetName val="Cover_(2)5"/>
      <sheetName val="_Cutting(1)_5"/>
      <sheetName val="_Cutting__(2)5"/>
      <sheetName val="_Cutting__(3)5"/>
      <sheetName val="_Cutting__(4)5"/>
      <sheetName val="_Cutting__(5)5"/>
      <sheetName val="Reinf_Placement_(2)5"/>
      <sheetName val="Skiving_Instructions_(2)5"/>
      <sheetName val="Skiving_Instruction35"/>
      <sheetName val="Pre-Buffing_(2)5"/>
      <sheetName val="Tongue_Label5"/>
      <sheetName val="Stitching_Instructions(1)5"/>
      <sheetName val="Stitching_Instructions(2)5"/>
      <sheetName val="Stitching_Instructions(3)5"/>
      <sheetName val="Stitching_Instructions(4)5"/>
      <sheetName val="Stitching_Instructions(5)5"/>
      <sheetName val="Stitching_Instructions(6)5"/>
      <sheetName val="H_F__Welding_Proc5"/>
      <sheetName val="TPU_CLEANING&amp;SCREEN_PRINT_5"/>
      <sheetName val="Stitching_Instruction__(2)5"/>
      <sheetName val="Skiving_Instructions_5"/>
      <sheetName val="Key_Manufacturing_Details_(1)5"/>
      <sheetName val="월별_부하운영_계획__(3)5"/>
      <sheetName val="Upper_Measureme5"/>
      <sheetName val="Stitching_(G-Flux)5"/>
      <sheetName val="Stitching_(GD-Runner)5"/>
      <sheetName val="FA-HO11_Feb_20105"/>
      <sheetName val="Form_PDCA_Single_Project_-_IA5"/>
      <sheetName val="2_대외공문5"/>
      <sheetName val="Material_name5"/>
      <sheetName val="Mold_Efficiency_Form5"/>
      <sheetName val="Cover_34"/>
      <sheetName val="Sheet1_34"/>
      <sheetName val="Index_34"/>
      <sheetName val="Spec1_34"/>
      <sheetName val="Spec__68"/>
      <sheetName val="Spec__69"/>
      <sheetName val="Spec_35"/>
      <sheetName val="Spec_634"/>
      <sheetName val="Spec7_34"/>
      <sheetName val="Spec8_34"/>
      <sheetName val="cutting___34"/>
      <sheetName val="Punch_Specification__34"/>
      <sheetName val="Logo_Specification34"/>
      <sheetName val="Strap_Specification34"/>
      <sheetName val="Part_&amp;_Group_Specification34"/>
      <sheetName val="Reinf_Placement34"/>
      <sheetName val="Skiving_instructions34"/>
      <sheetName val="Marking_locations34"/>
      <sheetName val="Folding_Locations34"/>
      <sheetName val="Stitching_Over_View34"/>
      <sheetName val="stitching_instructions_34"/>
      <sheetName val="Computer_stitched34"/>
      <sheetName val="Upper_Molded_Component_Spec__34"/>
      <sheetName val="Upper_Molded_Component_Proc__34"/>
      <sheetName val="Upper_Measurement_Spec34"/>
      <sheetName val="PFC_Revice34"/>
      <sheetName val="Cutting_Die_(1)34"/>
      <sheetName val="Cutting_Die_(2)34"/>
      <sheetName val="Cutting_Die_(3)34"/>
      <sheetName val="Perf_Specification34"/>
      <sheetName val="Marking_Location34"/>
      <sheetName val="Marking_Locations_(2)34"/>
      <sheetName val="Skiving_Instruction_(2)34"/>
      <sheetName val="Spliting_34"/>
      <sheetName val="Reinf__Placement_(1)34"/>
      <sheetName val="Reinf__Placement_(2)34"/>
      <sheetName val="Stitching_Instructions_(1)34"/>
      <sheetName val="Stitching_Instructions_(2)34"/>
      <sheetName val="Stitching_Instructions_(3)34"/>
      <sheetName val="Computer_Stitching_34"/>
      <sheetName val="Upper_Molded_Component_Spec_34"/>
      <sheetName val="PHYLON_CSS34"/>
      <sheetName val="PHYLON_CSS_SCHEDULES34"/>
      <sheetName val="PHYLON_CSS_CONFIRMATION34"/>
      <sheetName val="Outsole_Color_34"/>
      <sheetName val="Outsole_Preform_Specification58"/>
      <sheetName val="Outsole_Pressing_Process34"/>
      <sheetName val="Outsole_Degreasing_Process_34"/>
      <sheetName val="Stock_Fiting_UV-Light_Proce_34"/>
      <sheetName val="Stock_Fiting_Process_34"/>
      <sheetName val="IY_06_0734"/>
      <sheetName val="Assembly_UV-Light_Process__34"/>
      <sheetName val="Assembly_Process_6,7_34"/>
      <sheetName val="Assembly_Process_6,734"/>
      <sheetName val="IY08_09_1034"/>
      <sheetName val="Assembly_Process_8,9,10_34"/>
      <sheetName val="Assembly_Process_8,9,10_(2_)34"/>
      <sheetName val="Back_Part_Moulding_(Soccer_TP34"/>
      <sheetName val="Ecosole_Instructions_34"/>
      <sheetName val="Sockliner_Instructions34"/>
      <sheetName val="Sock_Liner_Spec_34"/>
      <sheetName val="_(6,7)34"/>
      <sheetName val="Skiving_Instruction_(1)34"/>
      <sheetName val="Spliting_Instructions34"/>
      <sheetName val="Tapering_Instructions34"/>
      <sheetName val="Marking_Location_(1)34"/>
      <sheetName val="Marking_Location_(2)34"/>
      <sheetName val="Trim_&amp;_Edge-painting34"/>
      <sheetName val="Reinforcement_Placement34"/>
      <sheetName val="Folding_Location34"/>
      <sheetName val="Pre-Buffing_Specification34"/>
      <sheetName val="Stitching_Instructions_(4)34"/>
      <sheetName val="Upper_Laser_Process-_Spec_34"/>
      <sheetName val="Upper_Laser_Process-Spec_(2)_34"/>
      <sheetName val="Upper_Laser_Process-Spec__(3)34"/>
      <sheetName val="Sockliner__Process34"/>
      <sheetName val="Outsole_Color_Schedule34"/>
      <sheetName val="Outsole_Preform_Specification59"/>
      <sheetName val="Outsole_Pressing_Process_34"/>
      <sheetName val="PU_CSS_CONFIRMATION34"/>
      <sheetName val="PU_CSS_Schedules34"/>
      <sheetName val="PU_Midsole_Spec_I34"/>
      <sheetName val="Stock_Fitting_Process_(8)34"/>
      <sheetName val="Stock_Fitting_Process_34"/>
      <sheetName val="Stock_Fitting_Process34"/>
      <sheetName val="Stock_Fitting_Process_(2)34"/>
      <sheetName val="Stock_Fitting_Process_(3)34"/>
      <sheetName val="Stockfit_BPFC34"/>
      <sheetName val="Assembling_Process34"/>
      <sheetName val="Assembling_Process_(2)34"/>
      <sheetName val="Assembly_BPFC34"/>
      <sheetName val="Production_Checklist34"/>
      <sheetName val="Sockliner_Specification34"/>
      <sheetName val="Upper_Measurement_Spec_34"/>
      <sheetName val="索引_(1)34"/>
      <sheetName val="沖孔規格說明_(2)34"/>
      <sheetName val="_削薄處指示說明34"/>
      <sheetName val="_削薄處指示說明_(2)34"/>
      <sheetName val="_削薄處指示說明_(3)34"/>
      <sheetName val="_削薄處指示說明_(4)34"/>
      <sheetName val="_削薄處指示說明_(5)34"/>
      <sheetName val="劃線印刷指示說明_(2)34"/>
      <sheetName val="劃線印刷指示說明_(3)34"/>
      <sheetName val="折邊指示說明_34"/>
      <sheetName val="針車流程_(2)34"/>
      <sheetName val="針車流程_(3)34"/>
      <sheetName val="針車流程_(4)34"/>
      <sheetName val="針車流程_(5)34"/>
      <sheetName val="針車流程_(6)34"/>
      <sheetName val="_鞋面印刷作業流程34"/>
      <sheetName val="_鞋面高週波作業流程_(2)34"/>
      <sheetName val="__鞋墊作業流程34"/>
      <sheetName val="Cover_313845-102((259_)_(2)34"/>
      <sheetName val="Index_(1)34"/>
      <sheetName val="Logo_Specification_(2)34"/>
      <sheetName val="Screen_Printing_(4)34"/>
      <sheetName val="Upper_HF_Welding_Process(5)34"/>
      <sheetName val="Index_(3)34"/>
      <sheetName val="Bottom_Component_Process_Spec34"/>
      <sheetName val="Stock_Fitting_Process_(4)34"/>
      <sheetName val="Stock_Fitting_Process_(5)34"/>
      <sheetName val="Stockfit_BPFC_(2)34"/>
      <sheetName val="Assembling_Process_(3)34"/>
      <sheetName val="Assembly_BPFC_(2)34"/>
      <sheetName val="Sockliner_Sublimation_Process34"/>
      <sheetName val="Cutting_D)e_(1)34"/>
      <sheetName val="Cutting_D)e_(2)34"/>
      <sheetName val="Cutting_D)e_(3)34"/>
      <sheetName val="Stitching_Instructio_s_(3)34"/>
      <sheetName val="output_per_jam34"/>
      <sheetName val="data_Productivity34"/>
      <sheetName val="MLT_34"/>
      <sheetName val="daily_BEP34"/>
      <sheetName val="178049A_XLS34"/>
      <sheetName val="LB_CUTTING_KUROBE34"/>
      <sheetName val="Cutting(3)_3_1734"/>
      <sheetName val="Cutting(5)_3_1334"/>
      <sheetName val="Cutting(6)3_1734"/>
      <sheetName val="Molding_Piece_Schedule34"/>
      <sheetName val="Perf_Specification_(1)34"/>
      <sheetName val="Perf_Specification_(2)34"/>
      <sheetName val="Skiving_Instruction_(3)34"/>
      <sheetName val="Skiving_Instruction_(4)34"/>
      <sheetName val="Skiving_Instruction_(5)34"/>
      <sheetName val="Tapering_Instructions_3_1334"/>
      <sheetName val="Marking_Location_(3)34"/>
      <sheetName val="Triming_edge_Instructions34"/>
      <sheetName val="Reinforcement_Placement_(1)34"/>
      <sheetName val="Reinforcement_Placement_(2)34"/>
      <sheetName val="Reinforcement_Placement_(2)2_44"/>
      <sheetName val="Reinforcement_Placement_(3)34"/>
      <sheetName val="Computer_Stitching_Schedule34"/>
      <sheetName val="Stitching_Overview_Sketch34"/>
      <sheetName val="Stitching_Instructions_(5)34"/>
      <sheetName val="Stitching_Instructions_(6)34"/>
      <sheetName val="Stitching_Instructions_(6)_3_44"/>
      <sheetName val="Stitching_Instructions_(7)34"/>
      <sheetName val="Upper_Injected_Compon_Pro__(134"/>
      <sheetName val="Upper_Injected_Compon_Pro__(234"/>
      <sheetName val="Upper_HF__Printing_Welding(1)34"/>
      <sheetName val="Upper_HF_Printing_Welding(2)34"/>
      <sheetName val="Upper_HF_Welding_Process_(3)34"/>
      <sheetName val="Upper_HF_Welding_Process_(4)34"/>
      <sheetName val="Upper_HF_Printing_Welding_(5)34"/>
      <sheetName val="Upper_HF_Welding_Process_(6)34"/>
      <sheetName val="CMP_PHYLON_CSS_CONFIRMATION34"/>
      <sheetName val="Phylon_Midsole_Spec_34"/>
      <sheetName val="Stock_Fitting_Process(3)34"/>
      <sheetName val="Stock_Fitting_Process_(6)34"/>
      <sheetName val="Stock_Fitting_Process_(7)34"/>
      <sheetName val="Upper_Weight_Control34"/>
      <sheetName val="Blank_Form34"/>
      <sheetName val="Raw_Data_Sheet34"/>
      <sheetName val="SPRAY_(A_MX_PLUS)7"/>
      <sheetName val="BOLD_SISTER-STRONG_SISTER_-TOR8"/>
      <sheetName val="SHOX_NAVINA_,_SHOX_REVEAL7"/>
      <sheetName val="MODEL_SHOX_TURBO_OZ_(PS+TD)7"/>
      <sheetName val="Spray_Tower_Machine6"/>
      <sheetName val="Sheet1_(2)6"/>
      <sheetName val="LOB_Auto_CS_906"/>
      <sheetName val="LB_(80)6"/>
      <sheetName val="TABLE_OF_CONTENTS6"/>
      <sheetName val="Dispenser_Ruang_Classic6"/>
      <sheetName val="Stock_Fitting_@_x005f_x001b__x005f_x000c__6"/>
      <sheetName val="SPM_(Cutting&amp;Pre)6"/>
      <sheetName val="Stock_Fitting_@_x005f_x001b__x005f_x000c_6"/>
      <sheetName val="5_수정데이터통합6"/>
      <sheetName val="SHOX_REMID_II6"/>
      <sheetName val="PU_6"/>
      <sheetName val="3_I-Prefit_Stitching6"/>
      <sheetName val="assmb_18"/>
      <sheetName val="assmb_28"/>
      <sheetName val="assmb_38"/>
      <sheetName val="assmb_48"/>
      <sheetName val="assmb_58"/>
      <sheetName val="assmb_68"/>
      <sheetName val="assmb_78"/>
      <sheetName val="Cutting_Dies_6"/>
      <sheetName val="Culture_of_Empowerment6"/>
      <sheetName val="A_TERRA6"/>
      <sheetName val="Cover_(2)6"/>
      <sheetName val="_Cutting(1)_6"/>
      <sheetName val="_Cutting__(2)6"/>
      <sheetName val="_Cutting__(3)6"/>
      <sheetName val="_Cutting__(4)6"/>
      <sheetName val="_Cutting__(5)6"/>
      <sheetName val="Reinf_Placement_(2)6"/>
      <sheetName val="Skiving_Instructions_(2)6"/>
      <sheetName val="Skiving_Instruction36"/>
      <sheetName val="Pre-Buffing_(2)6"/>
      <sheetName val="Tongue_Label6"/>
      <sheetName val="Stitching_Instructions(1)6"/>
      <sheetName val="Stitching_Instructions(2)6"/>
      <sheetName val="Stitching_Instructions(3)6"/>
      <sheetName val="Stitching_Instructions(4)6"/>
      <sheetName val="Stitching_Instructions(5)6"/>
      <sheetName val="Stitching_Instructions(6)6"/>
      <sheetName val="H_F__Welding_Proc6"/>
      <sheetName val="TPU_CLEANING&amp;SCREEN_PRINT_6"/>
      <sheetName val="Stitching_Instruction__(2)6"/>
      <sheetName val="Skiving_Instructions_6"/>
      <sheetName val="Key_Manufacturing_Details_(1)6"/>
      <sheetName val="월별_부하운영_계획__(3)6"/>
      <sheetName val="Upper_Measureme6"/>
      <sheetName val="Stitching_(G-Flux)6"/>
      <sheetName val="Stitching_(GD-Runner)6"/>
      <sheetName val="FA-HO11_Feb_20106"/>
      <sheetName val="Form_PDCA_Single_Project_-_IA6"/>
      <sheetName val="2_대외공문6"/>
      <sheetName val="Material_name6"/>
      <sheetName val="Mold_Efficiency_Form6"/>
      <sheetName val="Cover_41"/>
      <sheetName val="Sheet1_41"/>
      <sheetName val="Index_41"/>
      <sheetName val="Spec1_41"/>
      <sheetName val="Spec__82"/>
      <sheetName val="Spec__83"/>
      <sheetName val="Spec_42"/>
      <sheetName val="Spec_641"/>
      <sheetName val="Spec7_41"/>
      <sheetName val="Spec8_41"/>
      <sheetName val="cutting___41"/>
      <sheetName val="Punch_Specification__41"/>
      <sheetName val="Logo_Specification41"/>
      <sheetName val="Strap_Specification41"/>
      <sheetName val="Part_&amp;_Group_Specification41"/>
      <sheetName val="Reinf_Placement41"/>
      <sheetName val="Skiving_instructions41"/>
      <sheetName val="Marking_locations41"/>
      <sheetName val="Folding_Locations41"/>
      <sheetName val="Stitching_Over_View41"/>
      <sheetName val="stitching_instructions_41"/>
      <sheetName val="Computer_stitched41"/>
      <sheetName val="Upper_Molded_Component_Spec__41"/>
      <sheetName val="Upper_Molded_Component_Proc__41"/>
      <sheetName val="Upper_Measurement_Spec41"/>
      <sheetName val="PFC_Revice41"/>
      <sheetName val="Cutting_Die_(1)41"/>
      <sheetName val="Cutting_Die_(2)41"/>
      <sheetName val="Cutting_Die_(3)41"/>
      <sheetName val="Perf_Specification41"/>
      <sheetName val="Marking_Location41"/>
      <sheetName val="Marking_Locations_(2)41"/>
      <sheetName val="Skiving_Instruction_(2)41"/>
      <sheetName val="Spliting_41"/>
      <sheetName val="Reinf__Placement_(1)41"/>
      <sheetName val="Reinf__Placement_(2)41"/>
      <sheetName val="Stitching_Instructions_(1)41"/>
      <sheetName val="Stitching_Instructions_(2)41"/>
      <sheetName val="Stitching_Instructions_(3)41"/>
      <sheetName val="Computer_Stitching_41"/>
      <sheetName val="Upper_Molded_Component_Spec_41"/>
      <sheetName val="PHYLON_CSS41"/>
      <sheetName val="PHYLON_CSS_SCHEDULES41"/>
      <sheetName val="PHYLON_CSS_CONFIRMATION41"/>
      <sheetName val="Outsole_Color_41"/>
      <sheetName val="Outsole_Preform_Specification72"/>
      <sheetName val="Outsole_Pressing_Process41"/>
      <sheetName val="Outsole_Degreasing_Process_41"/>
      <sheetName val="Stock_Fiting_UV-Light_Proce_41"/>
      <sheetName val="Stock_Fiting_Process_41"/>
      <sheetName val="IY_06_0741"/>
      <sheetName val="Assembly_UV-Light_Process__41"/>
      <sheetName val="Assembly_Process_6,7_41"/>
      <sheetName val="Assembly_Process_6,741"/>
      <sheetName val="IY08_09_1041"/>
      <sheetName val="Assembly_Process_8,9,10_41"/>
      <sheetName val="Assembly_Process_8,9,10_(2_)41"/>
      <sheetName val="Back_Part_Moulding_(Soccer_TP41"/>
      <sheetName val="Ecosole_Instructions_41"/>
      <sheetName val="Sockliner_Instructions41"/>
      <sheetName val="Sock_Liner_Spec_41"/>
      <sheetName val="_(6,7)41"/>
      <sheetName val="Skiving_Instruction_(1)41"/>
      <sheetName val="Spliting_Instructions41"/>
      <sheetName val="Tapering_Instructions41"/>
      <sheetName val="Marking_Location_(1)41"/>
      <sheetName val="Marking_Location_(2)41"/>
      <sheetName val="Trim_&amp;_Edge-painting41"/>
      <sheetName val="Reinforcement_Placement41"/>
      <sheetName val="Folding_Location41"/>
      <sheetName val="Pre-Buffing_Specification41"/>
      <sheetName val="Stitching_Instructions_(4)41"/>
      <sheetName val="Upper_Laser_Process-_Spec_41"/>
      <sheetName val="Upper_Laser_Process-Spec_(2)_41"/>
      <sheetName val="Upper_Laser_Process-Spec__(3)41"/>
      <sheetName val="Sockliner__Process41"/>
      <sheetName val="Outsole_Color_Schedule41"/>
      <sheetName val="Outsole_Preform_Specification73"/>
      <sheetName val="Outsole_Pressing_Process_41"/>
      <sheetName val="PU_CSS_CONFIRMATION41"/>
      <sheetName val="PU_CSS_Schedules41"/>
      <sheetName val="PU_Midsole_Spec_I41"/>
      <sheetName val="Stock_Fitting_Process_(8)41"/>
      <sheetName val="Stock_Fitting_Process_41"/>
      <sheetName val="Stock_Fitting_Process41"/>
      <sheetName val="Stock_Fitting_Process_(2)41"/>
      <sheetName val="Stock_Fitting_Process_(3)41"/>
      <sheetName val="Stockfit_BPFC41"/>
      <sheetName val="Assembling_Process41"/>
      <sheetName val="Assembling_Process_(2)41"/>
      <sheetName val="Assembly_BPFC41"/>
      <sheetName val="Production_Checklist41"/>
      <sheetName val="Sockliner_Specification41"/>
      <sheetName val="Upper_Measurement_Spec_41"/>
      <sheetName val="索引_(1)41"/>
      <sheetName val="沖孔規格說明_(2)41"/>
      <sheetName val="_削薄處指示說明41"/>
      <sheetName val="_削薄處指示說明_(2)41"/>
      <sheetName val="_削薄處指示說明_(3)41"/>
      <sheetName val="_削薄處指示說明_(4)41"/>
      <sheetName val="_削薄處指示說明_(5)41"/>
      <sheetName val="劃線印刷指示說明_(2)41"/>
      <sheetName val="劃線印刷指示說明_(3)41"/>
      <sheetName val="折邊指示說明_41"/>
      <sheetName val="針車流程_(2)41"/>
      <sheetName val="針車流程_(3)41"/>
      <sheetName val="針車流程_(4)41"/>
      <sheetName val="針車流程_(5)41"/>
      <sheetName val="針車流程_(6)41"/>
      <sheetName val="_鞋面印刷作業流程41"/>
      <sheetName val="_鞋面高週波作業流程_(2)41"/>
      <sheetName val="__鞋墊作業流程41"/>
      <sheetName val="Cover_313845-102((259_)_(2)41"/>
      <sheetName val="Index_(1)41"/>
      <sheetName val="Logo_Specification_(2)41"/>
      <sheetName val="Screen_Printing_(4)41"/>
      <sheetName val="Upper_HF_Welding_Process(5)41"/>
      <sheetName val="Index_(3)41"/>
      <sheetName val="Bottom_Component_Process_Spec41"/>
      <sheetName val="Stock_Fitting_Process_(4)41"/>
      <sheetName val="Stock_Fitting_Process_(5)41"/>
      <sheetName val="Stockfit_BPFC_(2)41"/>
      <sheetName val="Assembling_Process_(3)41"/>
      <sheetName val="Assembly_BPFC_(2)41"/>
      <sheetName val="Sockliner_Sublimation_Process41"/>
      <sheetName val="Cutting_D)e_(1)41"/>
      <sheetName val="Cutting_D)e_(2)41"/>
      <sheetName val="Cutting_D)e_(3)41"/>
      <sheetName val="Stitching_Instructio_s_(3)41"/>
      <sheetName val="output_per_jam41"/>
      <sheetName val="data_Productivity41"/>
      <sheetName val="MLT_41"/>
      <sheetName val="daily_BEP41"/>
      <sheetName val="178049A_XLS41"/>
      <sheetName val="LB_CUTTING_KUROBE41"/>
      <sheetName val="Cutting(3)_3_1741"/>
      <sheetName val="Cutting(5)_3_1341"/>
      <sheetName val="Cutting(6)3_1741"/>
      <sheetName val="Molding_Piece_Schedule41"/>
      <sheetName val="Perf_Specification_(1)41"/>
      <sheetName val="Perf_Specification_(2)41"/>
      <sheetName val="Skiving_Instruction_(3)41"/>
      <sheetName val="Skiving_Instruction_(4)41"/>
      <sheetName val="Skiving_Instruction_(5)41"/>
      <sheetName val="Tapering_Instructions_3_1341"/>
      <sheetName val="Marking_Location_(3)41"/>
      <sheetName val="Triming_edge_Instructions41"/>
      <sheetName val="Reinforcement_Placement_(1)41"/>
      <sheetName val="Reinforcement_Placement_(2)41"/>
      <sheetName val="Reinforcement_Placement_(2)2_51"/>
      <sheetName val="Reinforcement_Placement_(3)41"/>
      <sheetName val="Computer_Stitching_Schedule41"/>
      <sheetName val="Stitching_Overview_Sketch41"/>
      <sheetName val="Stitching_Instructions_(5)41"/>
      <sheetName val="Stitching_Instructions_(6)41"/>
      <sheetName val="Stitching_Instructions_(6)_3_51"/>
      <sheetName val="Stitching_Instructions_(7)41"/>
      <sheetName val="Upper_Injected_Compon_Pro__(141"/>
      <sheetName val="Upper_Injected_Compon_Pro__(241"/>
      <sheetName val="Upper_HF__Printing_Welding(1)41"/>
      <sheetName val="Upper_HF_Printing_Welding(2)41"/>
      <sheetName val="Upper_HF_Welding_Process_(3)41"/>
      <sheetName val="Upper_HF_Welding_Process_(4)41"/>
      <sheetName val="Upper_HF_Printing_Welding_(5)41"/>
      <sheetName val="Upper_HF_Welding_Process_(6)41"/>
      <sheetName val="CMP_PHYLON_CSS_CONFIRMATION41"/>
      <sheetName val="Phylon_Midsole_Spec_41"/>
      <sheetName val="Stock_Fitting_Process(3)41"/>
      <sheetName val="Stock_Fitting_Process_(6)41"/>
      <sheetName val="Stock_Fitting_Process_(7)41"/>
      <sheetName val="Upper_Weight_Control41"/>
      <sheetName val="Blank_Form41"/>
      <sheetName val="Raw_Data_Sheet41"/>
      <sheetName val="SPRAY_(A_MX_PLUS)14"/>
      <sheetName val="BOLD_SISTER-STRONG_SISTER_-TO15"/>
      <sheetName val="SHOX_NAVINA_,_SHOX_REVEAL14"/>
      <sheetName val="MODEL_SHOX_TURBO_OZ_(PS+TD)14"/>
      <sheetName val="Spray_Tower_Machine13"/>
      <sheetName val="Sheet1_(2)13"/>
      <sheetName val="LOB_Auto_CS_9013"/>
      <sheetName val="LB_(80)13"/>
      <sheetName val="TABLE_OF_CONTENTS13"/>
      <sheetName val="Dispenser_Ruang_Classic13"/>
      <sheetName val="Stock_Fitting_@_x005f_x001b__x005f_x000c_16"/>
      <sheetName val="SPM_(Cutting&amp;Pre)13"/>
      <sheetName val="Stock_Fitting_@_x005f_x001b__x005f_x000c_17"/>
      <sheetName val="5_수정데이터통합13"/>
      <sheetName val="SHOX_REMID_II13"/>
      <sheetName val="PU_13"/>
      <sheetName val="3_I-Prefit_Stitching13"/>
      <sheetName val="assmb_115"/>
      <sheetName val="assmb_215"/>
      <sheetName val="assmb_315"/>
      <sheetName val="assmb_415"/>
      <sheetName val="assmb_515"/>
      <sheetName val="assmb_615"/>
      <sheetName val="assmb_715"/>
      <sheetName val="Cutting_Dies_13"/>
      <sheetName val="Culture_of_Empowerment13"/>
      <sheetName val="A_TERRA13"/>
      <sheetName val="Cover_(2)13"/>
      <sheetName val="_Cutting(1)_13"/>
      <sheetName val="_Cutting__(2)13"/>
      <sheetName val="_Cutting__(3)13"/>
      <sheetName val="_Cutting__(4)13"/>
      <sheetName val="_Cutting__(5)13"/>
      <sheetName val="Reinf_Placement_(2)13"/>
      <sheetName val="Skiving_Instructions_(2)13"/>
      <sheetName val="Skiving_Instruction313"/>
      <sheetName val="Pre-Buffing_(2)13"/>
      <sheetName val="Tongue_Label13"/>
      <sheetName val="Stitching_Instructions(1)13"/>
      <sheetName val="Stitching_Instructions(2)13"/>
      <sheetName val="Stitching_Instructions(3)13"/>
      <sheetName val="Stitching_Instructions(4)13"/>
      <sheetName val="Stitching_Instructions(5)13"/>
      <sheetName val="Stitching_Instructions(6)13"/>
      <sheetName val="H_F__Welding_Proc13"/>
      <sheetName val="TPU_CLEANING&amp;SCREEN_PRINT_13"/>
      <sheetName val="Stitching_Instruction__(2)13"/>
      <sheetName val="Skiving_Instructions_13"/>
      <sheetName val="Key_Manufacturing_Details_(1)13"/>
      <sheetName val="월별_부하운영_계획__(3)13"/>
      <sheetName val="Upper_Measureme13"/>
      <sheetName val="Stitching_(G-Flux)13"/>
      <sheetName val="Stitching_(GD-Runner)13"/>
      <sheetName val="FA-HO11_Feb_201013"/>
      <sheetName val="Form_PDCA_Single_Project_-_IA13"/>
      <sheetName val="2_대외공문13"/>
      <sheetName val="Material_name13"/>
      <sheetName val="Mold_Efficiency_Form13"/>
      <sheetName val="Cover_36"/>
      <sheetName val="Sheet1_36"/>
      <sheetName val="Index_36"/>
      <sheetName val="Spec1_36"/>
      <sheetName val="Spec__72"/>
      <sheetName val="Spec__73"/>
      <sheetName val="Spec_37"/>
      <sheetName val="Spec_636"/>
      <sheetName val="Spec7_36"/>
      <sheetName val="Spec8_36"/>
      <sheetName val="cutting___36"/>
      <sheetName val="Punch_Specification__36"/>
      <sheetName val="Logo_Specification36"/>
      <sheetName val="Strap_Specification36"/>
      <sheetName val="Part_&amp;_Group_Specification36"/>
      <sheetName val="Reinf_Placement36"/>
      <sheetName val="Skiving_instructions36"/>
      <sheetName val="Marking_locations36"/>
      <sheetName val="Folding_Locations36"/>
      <sheetName val="Stitching_Over_View36"/>
      <sheetName val="stitching_instructions_36"/>
      <sheetName val="Computer_stitched36"/>
      <sheetName val="Upper_Molded_Component_Spec__36"/>
      <sheetName val="Upper_Molded_Component_Proc__36"/>
      <sheetName val="Upper_Measurement_Spec36"/>
      <sheetName val="PFC_Revice36"/>
      <sheetName val="Cutting_Die_(1)36"/>
      <sheetName val="Cutting_Die_(2)36"/>
      <sheetName val="Cutting_Die_(3)36"/>
      <sheetName val="Perf_Specification36"/>
      <sheetName val="Marking_Location36"/>
      <sheetName val="Marking_Locations_(2)36"/>
      <sheetName val="Skiving_Instruction_(2)36"/>
      <sheetName val="Spliting_36"/>
      <sheetName val="Reinf__Placement_(1)36"/>
      <sheetName val="Reinf__Placement_(2)36"/>
      <sheetName val="Stitching_Instructions_(1)36"/>
      <sheetName val="Stitching_Instructions_(2)36"/>
      <sheetName val="Stitching_Instructions_(3)36"/>
      <sheetName val="Computer_Stitching_36"/>
      <sheetName val="Upper_Molded_Component_Spec_36"/>
      <sheetName val="PHYLON_CSS36"/>
      <sheetName val="PHYLON_CSS_SCHEDULES36"/>
      <sheetName val="PHYLON_CSS_CONFIRMATION36"/>
      <sheetName val="Outsole_Color_36"/>
      <sheetName val="Outsole_Preform_Specification62"/>
      <sheetName val="Outsole_Pressing_Process36"/>
      <sheetName val="Outsole_Degreasing_Process_36"/>
      <sheetName val="Stock_Fiting_UV-Light_Proce_36"/>
      <sheetName val="Stock_Fiting_Process_36"/>
      <sheetName val="IY_06_0736"/>
      <sheetName val="Assembly_UV-Light_Process__36"/>
      <sheetName val="Assembly_Process_6,7_36"/>
      <sheetName val="Assembly_Process_6,736"/>
      <sheetName val="IY08_09_1036"/>
      <sheetName val="Assembly_Process_8,9,10_36"/>
      <sheetName val="Assembly_Process_8,9,10_(2_)36"/>
      <sheetName val="Back_Part_Moulding_(Soccer_TP36"/>
      <sheetName val="Ecosole_Instructions_36"/>
      <sheetName val="Sockliner_Instructions36"/>
      <sheetName val="Sock_Liner_Spec_36"/>
      <sheetName val="_(6,7)36"/>
      <sheetName val="Skiving_Instruction_(1)36"/>
      <sheetName val="Spliting_Instructions36"/>
      <sheetName val="Tapering_Instructions36"/>
      <sheetName val="Marking_Location_(1)36"/>
      <sheetName val="Marking_Location_(2)36"/>
      <sheetName val="Trim_&amp;_Edge-painting36"/>
      <sheetName val="Reinforcement_Placement36"/>
      <sheetName val="Folding_Location36"/>
      <sheetName val="Pre-Buffing_Specification36"/>
      <sheetName val="Stitching_Instructions_(4)36"/>
      <sheetName val="Upper_Laser_Process-_Spec_36"/>
      <sheetName val="Upper_Laser_Process-Spec_(2)_36"/>
      <sheetName val="Upper_Laser_Process-Spec__(3)36"/>
      <sheetName val="Sockliner__Process36"/>
      <sheetName val="Outsole_Color_Schedule36"/>
      <sheetName val="Outsole_Preform_Specification63"/>
      <sheetName val="Outsole_Pressing_Process_36"/>
      <sheetName val="PU_CSS_CONFIRMATION36"/>
      <sheetName val="PU_CSS_Schedules36"/>
      <sheetName val="PU_Midsole_Spec_I36"/>
      <sheetName val="Stock_Fitting_Process_(8)36"/>
      <sheetName val="Stock_Fitting_Process_36"/>
      <sheetName val="Stock_Fitting_Process36"/>
      <sheetName val="Stock_Fitting_Process_(2)36"/>
      <sheetName val="Stock_Fitting_Process_(3)36"/>
      <sheetName val="Stockfit_BPFC36"/>
      <sheetName val="Assembling_Process36"/>
      <sheetName val="Assembling_Process_(2)36"/>
      <sheetName val="Assembly_BPFC36"/>
      <sheetName val="Production_Checklist36"/>
      <sheetName val="Sockliner_Specification36"/>
      <sheetName val="Upper_Measurement_Spec_36"/>
      <sheetName val="索引_(1)36"/>
      <sheetName val="沖孔規格說明_(2)36"/>
      <sheetName val="_削薄處指示說明36"/>
      <sheetName val="_削薄處指示說明_(2)36"/>
      <sheetName val="_削薄處指示說明_(3)36"/>
      <sheetName val="_削薄處指示說明_(4)36"/>
      <sheetName val="_削薄處指示說明_(5)36"/>
      <sheetName val="劃線印刷指示說明_(2)36"/>
      <sheetName val="劃線印刷指示說明_(3)36"/>
      <sheetName val="折邊指示說明_36"/>
      <sheetName val="針車流程_(2)36"/>
      <sheetName val="針車流程_(3)36"/>
      <sheetName val="針車流程_(4)36"/>
      <sheetName val="針車流程_(5)36"/>
      <sheetName val="針車流程_(6)36"/>
      <sheetName val="_鞋面印刷作業流程36"/>
      <sheetName val="_鞋面高週波作業流程_(2)36"/>
      <sheetName val="__鞋墊作業流程36"/>
      <sheetName val="Cover_313845-102((259_)_(2)36"/>
      <sheetName val="Index_(1)36"/>
      <sheetName val="Logo_Specification_(2)36"/>
      <sheetName val="Screen_Printing_(4)36"/>
      <sheetName val="Upper_HF_Welding_Process(5)36"/>
      <sheetName val="Index_(3)36"/>
      <sheetName val="Bottom_Component_Process_Spec36"/>
      <sheetName val="Stock_Fitting_Process_(4)36"/>
      <sheetName val="Stock_Fitting_Process_(5)36"/>
      <sheetName val="Stockfit_BPFC_(2)36"/>
      <sheetName val="Assembling_Process_(3)36"/>
      <sheetName val="Assembly_BPFC_(2)36"/>
      <sheetName val="Sockliner_Sublimation_Process36"/>
      <sheetName val="Cutting_D)e_(1)36"/>
      <sheetName val="Cutting_D)e_(2)36"/>
      <sheetName val="Cutting_D)e_(3)36"/>
      <sheetName val="Stitching_Instructio_s_(3)36"/>
      <sheetName val="output_per_jam36"/>
      <sheetName val="data_Productivity36"/>
      <sheetName val="MLT_36"/>
      <sheetName val="daily_BEP36"/>
      <sheetName val="178049A_XLS36"/>
      <sheetName val="LB_CUTTING_KUROBE36"/>
      <sheetName val="Cutting(3)_3_1736"/>
      <sheetName val="Cutting(5)_3_1336"/>
      <sheetName val="Cutting(6)3_1736"/>
      <sheetName val="Molding_Piece_Schedule36"/>
      <sheetName val="Perf_Specification_(1)36"/>
      <sheetName val="Perf_Specification_(2)36"/>
      <sheetName val="Skiving_Instruction_(3)36"/>
      <sheetName val="Skiving_Instruction_(4)36"/>
      <sheetName val="Skiving_Instruction_(5)36"/>
      <sheetName val="Tapering_Instructions_3_1336"/>
      <sheetName val="Marking_Location_(3)36"/>
      <sheetName val="Triming_edge_Instructions36"/>
      <sheetName val="Reinforcement_Placement_(1)36"/>
      <sheetName val="Reinforcement_Placement_(2)36"/>
      <sheetName val="Reinforcement_Placement_(2)2_46"/>
      <sheetName val="Reinforcement_Placement_(3)36"/>
      <sheetName val="Computer_Stitching_Schedule36"/>
      <sheetName val="Stitching_Overview_Sketch36"/>
      <sheetName val="Stitching_Instructions_(5)36"/>
      <sheetName val="Stitching_Instructions_(6)36"/>
      <sheetName val="Stitching_Instructions_(6)_3_46"/>
      <sheetName val="Stitching_Instructions_(7)36"/>
      <sheetName val="Upper_Injected_Compon_Pro__(136"/>
      <sheetName val="Upper_Injected_Compon_Pro__(236"/>
      <sheetName val="Upper_HF__Printing_Welding(1)36"/>
      <sheetName val="Upper_HF_Printing_Welding(2)36"/>
      <sheetName val="Upper_HF_Welding_Process_(3)36"/>
      <sheetName val="Upper_HF_Welding_Process_(4)36"/>
      <sheetName val="Upper_HF_Printing_Welding_(5)36"/>
      <sheetName val="Upper_HF_Welding_Process_(6)36"/>
      <sheetName val="CMP_PHYLON_CSS_CONFIRMATION36"/>
      <sheetName val="Phylon_Midsole_Spec_36"/>
      <sheetName val="Stock_Fitting_Process(3)36"/>
      <sheetName val="Stock_Fitting_Process_(6)36"/>
      <sheetName val="Stock_Fitting_Process_(7)36"/>
      <sheetName val="Upper_Weight_Control36"/>
      <sheetName val="Blank_Form36"/>
      <sheetName val="Raw_Data_Sheet36"/>
      <sheetName val="SPRAY_(A_MX_PLUS)9"/>
      <sheetName val="BOLD_SISTER-STRONG_SISTER_-TO10"/>
      <sheetName val="SHOX_NAVINA_,_SHOX_REVEAL9"/>
      <sheetName val="MODEL_SHOX_TURBO_OZ_(PS+TD)9"/>
      <sheetName val="Spray_Tower_Machine8"/>
      <sheetName val="Sheet1_(2)8"/>
      <sheetName val="LOB_Auto_CS_908"/>
      <sheetName val="LB_(80)8"/>
      <sheetName val="TABLE_OF_CONTENTS8"/>
      <sheetName val="Dispenser_Ruang_Classic8"/>
      <sheetName val="Stock_Fitting_@_x005f_x001b__x005f_x000c__8"/>
      <sheetName val="SPM_(Cutting&amp;Pre)8"/>
      <sheetName val="Stock_Fitting_@_x005f_x001b__x005f_x000c_8"/>
      <sheetName val="5_수정데이터통합8"/>
      <sheetName val="SHOX_REMID_II8"/>
      <sheetName val="PU_8"/>
      <sheetName val="3_I-Prefit_Stitching8"/>
      <sheetName val="assmb_110"/>
      <sheetName val="assmb_210"/>
      <sheetName val="assmb_310"/>
      <sheetName val="assmb_410"/>
      <sheetName val="assmb_510"/>
      <sheetName val="assmb_610"/>
      <sheetName val="assmb_710"/>
      <sheetName val="Cutting_Dies_8"/>
      <sheetName val="Culture_of_Empowerment8"/>
      <sheetName val="A_TERRA8"/>
      <sheetName val="Cover_(2)8"/>
      <sheetName val="_Cutting(1)_8"/>
      <sheetName val="_Cutting__(2)8"/>
      <sheetName val="_Cutting__(3)8"/>
      <sheetName val="_Cutting__(4)8"/>
      <sheetName val="_Cutting__(5)8"/>
      <sheetName val="Reinf_Placement_(2)8"/>
      <sheetName val="Skiving_Instructions_(2)8"/>
      <sheetName val="Skiving_Instruction38"/>
      <sheetName val="Pre-Buffing_(2)8"/>
      <sheetName val="Tongue_Label8"/>
      <sheetName val="Stitching_Instructions(1)8"/>
      <sheetName val="Stitching_Instructions(2)8"/>
      <sheetName val="Stitching_Instructions(3)8"/>
      <sheetName val="Stitching_Instructions(4)8"/>
      <sheetName val="Stitching_Instructions(5)8"/>
      <sheetName val="Stitching_Instructions(6)8"/>
      <sheetName val="H_F__Welding_Proc8"/>
      <sheetName val="TPU_CLEANING&amp;SCREEN_PRINT_8"/>
      <sheetName val="Stitching_Instruction__(2)8"/>
      <sheetName val="Skiving_Instructions_8"/>
      <sheetName val="Key_Manufacturing_Details_(1)8"/>
      <sheetName val="월별_부하운영_계획__(3)8"/>
      <sheetName val="Upper_Measureme8"/>
      <sheetName val="Stitching_(G-Flux)8"/>
      <sheetName val="Stitching_(GD-Runner)8"/>
      <sheetName val="FA-HO11_Feb_20108"/>
      <sheetName val="Form_PDCA_Single_Project_-_IA8"/>
      <sheetName val="2_대외공문8"/>
      <sheetName val="Material_name8"/>
      <sheetName val="Mold_Efficiency_Form8"/>
      <sheetName val="Cover_37"/>
      <sheetName val="Sheet1_37"/>
      <sheetName val="Index_37"/>
      <sheetName val="Spec1_37"/>
      <sheetName val="Spec__74"/>
      <sheetName val="Spec__75"/>
      <sheetName val="Spec_38"/>
      <sheetName val="Spec_637"/>
      <sheetName val="Spec7_37"/>
      <sheetName val="Spec8_37"/>
      <sheetName val="cutting___37"/>
      <sheetName val="Punch_Specification__37"/>
      <sheetName val="Logo_Specification37"/>
      <sheetName val="Strap_Specification37"/>
      <sheetName val="Part_&amp;_Group_Specification37"/>
      <sheetName val="Reinf_Placement37"/>
      <sheetName val="Skiving_instructions37"/>
      <sheetName val="Marking_locations37"/>
      <sheetName val="Folding_Locations37"/>
      <sheetName val="Stitching_Over_View37"/>
      <sheetName val="stitching_instructions_37"/>
      <sheetName val="Computer_stitched37"/>
      <sheetName val="Upper_Molded_Component_Spec__37"/>
      <sheetName val="Upper_Molded_Component_Proc__37"/>
      <sheetName val="Upper_Measurement_Spec37"/>
      <sheetName val="PFC_Revice37"/>
      <sheetName val="Cutting_Die_(1)37"/>
      <sheetName val="Cutting_Die_(2)37"/>
      <sheetName val="Cutting_Die_(3)37"/>
      <sheetName val="Perf_Specification37"/>
      <sheetName val="Marking_Location37"/>
      <sheetName val="Marking_Locations_(2)37"/>
      <sheetName val="Skiving_Instruction_(2)37"/>
      <sheetName val="Spliting_37"/>
      <sheetName val="Reinf__Placement_(1)37"/>
      <sheetName val="Reinf__Placement_(2)37"/>
      <sheetName val="Stitching_Instructions_(1)37"/>
      <sheetName val="Stitching_Instructions_(2)37"/>
      <sheetName val="Stitching_Instructions_(3)37"/>
      <sheetName val="Computer_Stitching_37"/>
      <sheetName val="Upper_Molded_Component_Spec_37"/>
      <sheetName val="PHYLON_CSS37"/>
      <sheetName val="PHYLON_CSS_SCHEDULES37"/>
      <sheetName val="PHYLON_CSS_CONFIRMATION37"/>
      <sheetName val="Outsole_Color_37"/>
      <sheetName val="Outsole_Preform_Specification64"/>
      <sheetName val="Outsole_Pressing_Process37"/>
      <sheetName val="Outsole_Degreasing_Process_37"/>
      <sheetName val="Stock_Fiting_UV-Light_Proce_37"/>
      <sheetName val="Stock_Fiting_Process_37"/>
      <sheetName val="IY_06_0737"/>
      <sheetName val="Assembly_UV-Light_Process__37"/>
      <sheetName val="Assembly_Process_6,7_37"/>
      <sheetName val="Assembly_Process_6,737"/>
      <sheetName val="IY08_09_1037"/>
      <sheetName val="Assembly_Process_8,9,10_37"/>
      <sheetName val="Assembly_Process_8,9,10_(2_)37"/>
      <sheetName val="Back_Part_Moulding_(Soccer_TP37"/>
      <sheetName val="Ecosole_Instructions_37"/>
      <sheetName val="Sockliner_Instructions37"/>
      <sheetName val="Sock_Liner_Spec_37"/>
      <sheetName val="_(6,7)37"/>
      <sheetName val="Skiving_Instruction_(1)37"/>
      <sheetName val="Spliting_Instructions37"/>
      <sheetName val="Tapering_Instructions37"/>
      <sheetName val="Marking_Location_(1)37"/>
      <sheetName val="Marking_Location_(2)37"/>
      <sheetName val="Trim_&amp;_Edge-painting37"/>
      <sheetName val="Reinforcement_Placement37"/>
      <sheetName val="Folding_Location37"/>
      <sheetName val="Pre-Buffing_Specification37"/>
      <sheetName val="Stitching_Instructions_(4)37"/>
      <sheetName val="Upper_Laser_Process-_Spec_37"/>
      <sheetName val="Upper_Laser_Process-Spec_(2)_37"/>
      <sheetName val="Upper_Laser_Process-Spec__(3)37"/>
      <sheetName val="Sockliner__Process37"/>
      <sheetName val="Outsole_Color_Schedule37"/>
      <sheetName val="Outsole_Preform_Specification65"/>
      <sheetName val="Outsole_Pressing_Process_37"/>
      <sheetName val="PU_CSS_CONFIRMATION37"/>
      <sheetName val="PU_CSS_Schedules37"/>
      <sheetName val="PU_Midsole_Spec_I37"/>
      <sheetName val="Stock_Fitting_Process_(8)37"/>
      <sheetName val="Stock_Fitting_Process_37"/>
      <sheetName val="Stock_Fitting_Process37"/>
      <sheetName val="Stock_Fitting_Process_(2)37"/>
      <sheetName val="Stock_Fitting_Process_(3)37"/>
      <sheetName val="Stockfit_BPFC37"/>
      <sheetName val="Assembling_Process37"/>
      <sheetName val="Assembling_Process_(2)37"/>
      <sheetName val="Assembly_BPFC37"/>
      <sheetName val="Production_Checklist37"/>
      <sheetName val="Sockliner_Specification37"/>
      <sheetName val="Upper_Measurement_Spec_37"/>
      <sheetName val="索引_(1)37"/>
      <sheetName val="沖孔規格說明_(2)37"/>
      <sheetName val="_削薄處指示說明37"/>
      <sheetName val="_削薄處指示說明_(2)37"/>
      <sheetName val="_削薄處指示說明_(3)37"/>
      <sheetName val="_削薄處指示說明_(4)37"/>
      <sheetName val="_削薄處指示說明_(5)37"/>
      <sheetName val="劃線印刷指示說明_(2)37"/>
      <sheetName val="劃線印刷指示說明_(3)37"/>
      <sheetName val="折邊指示說明_37"/>
      <sheetName val="針車流程_(2)37"/>
      <sheetName val="針車流程_(3)37"/>
      <sheetName val="針車流程_(4)37"/>
      <sheetName val="針車流程_(5)37"/>
      <sheetName val="針車流程_(6)37"/>
      <sheetName val="_鞋面印刷作業流程37"/>
      <sheetName val="_鞋面高週波作業流程_(2)37"/>
      <sheetName val="__鞋墊作業流程37"/>
      <sheetName val="Cover_313845-102((259_)_(2)37"/>
      <sheetName val="Index_(1)37"/>
      <sheetName val="Logo_Specification_(2)37"/>
      <sheetName val="Screen_Printing_(4)37"/>
      <sheetName val="Upper_HF_Welding_Process(5)37"/>
      <sheetName val="Index_(3)37"/>
      <sheetName val="Bottom_Component_Process_Spec37"/>
      <sheetName val="Stock_Fitting_Process_(4)37"/>
      <sheetName val="Stock_Fitting_Process_(5)37"/>
      <sheetName val="Stockfit_BPFC_(2)37"/>
      <sheetName val="Assembling_Process_(3)37"/>
      <sheetName val="Assembly_BPFC_(2)37"/>
      <sheetName val="Sockliner_Sublimation_Process37"/>
      <sheetName val="Cutting_D)e_(1)37"/>
      <sheetName val="Cutting_D)e_(2)37"/>
      <sheetName val="Cutting_D)e_(3)37"/>
      <sheetName val="Stitching_Instructio_s_(3)37"/>
      <sheetName val="output_per_jam37"/>
      <sheetName val="data_Productivity37"/>
      <sheetName val="MLT_37"/>
      <sheetName val="daily_BEP37"/>
      <sheetName val="178049A_XLS37"/>
      <sheetName val="LB_CUTTING_KUROBE37"/>
      <sheetName val="Cutting(3)_3_1737"/>
      <sheetName val="Cutting(5)_3_1337"/>
      <sheetName val="Cutting(6)3_1737"/>
      <sheetName val="Molding_Piece_Schedule37"/>
      <sheetName val="Perf_Specification_(1)37"/>
      <sheetName val="Perf_Specification_(2)37"/>
      <sheetName val="Skiving_Instruction_(3)37"/>
      <sheetName val="Skiving_Instruction_(4)37"/>
      <sheetName val="Skiving_Instruction_(5)37"/>
      <sheetName val="Tapering_Instructions_3_1337"/>
      <sheetName val="Marking_Location_(3)37"/>
      <sheetName val="Triming_edge_Instructions37"/>
      <sheetName val="Reinforcement_Placement_(1)37"/>
      <sheetName val="Reinforcement_Placement_(2)37"/>
      <sheetName val="Reinforcement_Placement_(2)2_47"/>
      <sheetName val="Reinforcement_Placement_(3)37"/>
      <sheetName val="Computer_Stitching_Schedule37"/>
      <sheetName val="Stitching_Overview_Sketch37"/>
      <sheetName val="Stitching_Instructions_(5)37"/>
      <sheetName val="Stitching_Instructions_(6)37"/>
      <sheetName val="Stitching_Instructions_(6)_3_47"/>
      <sheetName val="Stitching_Instructions_(7)37"/>
      <sheetName val="Upper_Injected_Compon_Pro__(137"/>
      <sheetName val="Upper_Injected_Compon_Pro__(237"/>
      <sheetName val="Upper_HF__Printing_Welding(1)37"/>
      <sheetName val="Upper_HF_Printing_Welding(2)37"/>
      <sheetName val="Upper_HF_Welding_Process_(3)37"/>
      <sheetName val="Upper_HF_Welding_Process_(4)37"/>
      <sheetName val="Upper_HF_Printing_Welding_(5)37"/>
      <sheetName val="Upper_HF_Welding_Process_(6)37"/>
      <sheetName val="CMP_PHYLON_CSS_CONFIRMATION37"/>
      <sheetName val="Phylon_Midsole_Spec_37"/>
      <sheetName val="Stock_Fitting_Process(3)37"/>
      <sheetName val="Stock_Fitting_Process_(6)37"/>
      <sheetName val="Stock_Fitting_Process_(7)37"/>
      <sheetName val="Upper_Weight_Control37"/>
      <sheetName val="Blank_Form37"/>
      <sheetName val="Raw_Data_Sheet37"/>
      <sheetName val="SPRAY_(A_MX_PLUS)10"/>
      <sheetName val="BOLD_SISTER-STRONG_SISTER_-TO11"/>
      <sheetName val="SHOX_NAVINA_,_SHOX_REVEAL10"/>
      <sheetName val="MODEL_SHOX_TURBO_OZ_(PS+TD)10"/>
      <sheetName val="Spray_Tower_Machine9"/>
      <sheetName val="Sheet1_(2)9"/>
      <sheetName val="LOB_Auto_CS_909"/>
      <sheetName val="LB_(80)9"/>
      <sheetName val="TABLE_OF_CONTENTS9"/>
      <sheetName val="Dispenser_Ruang_Classic9"/>
      <sheetName val="Stock_Fitting_@_x005f_x001b__x005f_x000c__9"/>
      <sheetName val="SPM_(Cutting&amp;Pre)9"/>
      <sheetName val="Stock_Fitting_@_x005f_x001b__x005f_x000c_9"/>
      <sheetName val="5_수정데이터통합9"/>
      <sheetName val="SHOX_REMID_II9"/>
      <sheetName val="PU_9"/>
      <sheetName val="3_I-Prefit_Stitching9"/>
      <sheetName val="assmb_111"/>
      <sheetName val="assmb_211"/>
      <sheetName val="assmb_311"/>
      <sheetName val="assmb_411"/>
      <sheetName val="assmb_511"/>
      <sheetName val="assmb_611"/>
      <sheetName val="assmb_711"/>
      <sheetName val="Cutting_Dies_9"/>
      <sheetName val="Culture_of_Empowerment9"/>
      <sheetName val="A_TERRA9"/>
      <sheetName val="Cover_(2)9"/>
      <sheetName val="_Cutting(1)_9"/>
      <sheetName val="_Cutting__(2)9"/>
      <sheetName val="_Cutting__(3)9"/>
      <sheetName val="_Cutting__(4)9"/>
      <sheetName val="_Cutting__(5)9"/>
      <sheetName val="Reinf_Placement_(2)9"/>
      <sheetName val="Skiving_Instructions_(2)9"/>
      <sheetName val="Skiving_Instruction39"/>
      <sheetName val="Pre-Buffing_(2)9"/>
      <sheetName val="Tongue_Label9"/>
      <sheetName val="Stitching_Instructions(1)9"/>
      <sheetName val="Stitching_Instructions(2)9"/>
      <sheetName val="Stitching_Instructions(3)9"/>
      <sheetName val="Stitching_Instructions(4)9"/>
      <sheetName val="Stitching_Instructions(5)9"/>
      <sheetName val="Stitching_Instructions(6)9"/>
      <sheetName val="H_F__Welding_Proc9"/>
      <sheetName val="TPU_CLEANING&amp;SCREEN_PRINT_9"/>
      <sheetName val="Stitching_Instruction__(2)9"/>
      <sheetName val="Skiving_Instructions_9"/>
      <sheetName val="Key_Manufacturing_Details_(1)9"/>
      <sheetName val="월별_부하운영_계획__(3)9"/>
      <sheetName val="Upper_Measureme9"/>
      <sheetName val="Stitching_(G-Flux)9"/>
      <sheetName val="Stitching_(GD-Runner)9"/>
      <sheetName val="FA-HO11_Feb_20109"/>
      <sheetName val="Form_PDCA_Single_Project_-_IA9"/>
      <sheetName val="2_대외공문9"/>
      <sheetName val="Material_name9"/>
      <sheetName val="Mold_Efficiency_Form9"/>
      <sheetName val="Cover_38"/>
      <sheetName val="Sheet1_38"/>
      <sheetName val="Index_38"/>
      <sheetName val="Spec1_38"/>
      <sheetName val="Spec__76"/>
      <sheetName val="Spec__77"/>
      <sheetName val="Spec_39"/>
      <sheetName val="Spec_638"/>
      <sheetName val="Spec7_38"/>
      <sheetName val="Spec8_38"/>
      <sheetName val="cutting___38"/>
      <sheetName val="Punch_Specification__38"/>
      <sheetName val="Logo_Specification38"/>
      <sheetName val="Strap_Specification38"/>
      <sheetName val="Part_&amp;_Group_Specification38"/>
      <sheetName val="Reinf_Placement38"/>
      <sheetName val="Skiving_instructions38"/>
      <sheetName val="Marking_locations38"/>
      <sheetName val="Folding_Locations38"/>
      <sheetName val="Stitching_Over_View38"/>
      <sheetName val="stitching_instructions_38"/>
      <sheetName val="Computer_stitched38"/>
      <sheetName val="Upper_Molded_Component_Spec__38"/>
      <sheetName val="Upper_Molded_Component_Proc__38"/>
      <sheetName val="Upper_Measurement_Spec38"/>
      <sheetName val="PFC_Revice38"/>
      <sheetName val="Cutting_Die_(1)38"/>
      <sheetName val="Cutting_Die_(2)38"/>
      <sheetName val="Cutting_Die_(3)38"/>
      <sheetName val="Perf_Specification38"/>
      <sheetName val="Marking_Location38"/>
      <sheetName val="Marking_Locations_(2)38"/>
      <sheetName val="Skiving_Instruction_(2)38"/>
      <sheetName val="Spliting_38"/>
      <sheetName val="Reinf__Placement_(1)38"/>
      <sheetName val="Reinf__Placement_(2)38"/>
      <sheetName val="Stitching_Instructions_(1)38"/>
      <sheetName val="Stitching_Instructions_(2)38"/>
      <sheetName val="Stitching_Instructions_(3)38"/>
      <sheetName val="Computer_Stitching_38"/>
      <sheetName val="Upper_Molded_Component_Spec_38"/>
      <sheetName val="PHYLON_CSS38"/>
      <sheetName val="PHYLON_CSS_SCHEDULES38"/>
      <sheetName val="PHYLON_CSS_CONFIRMATION38"/>
      <sheetName val="Outsole_Color_38"/>
      <sheetName val="Outsole_Preform_Specification66"/>
      <sheetName val="Outsole_Pressing_Process38"/>
      <sheetName val="Outsole_Degreasing_Process_38"/>
      <sheetName val="Stock_Fiting_UV-Light_Proce_38"/>
      <sheetName val="Stock_Fiting_Process_38"/>
      <sheetName val="IY_06_0738"/>
      <sheetName val="Assembly_UV-Light_Process__38"/>
      <sheetName val="Assembly_Process_6,7_38"/>
      <sheetName val="Assembly_Process_6,738"/>
      <sheetName val="IY08_09_1038"/>
      <sheetName val="Assembly_Process_8,9,10_38"/>
      <sheetName val="Assembly_Process_8,9,10_(2_)38"/>
      <sheetName val="Back_Part_Moulding_(Soccer_TP38"/>
      <sheetName val="Ecosole_Instructions_38"/>
      <sheetName val="Sockliner_Instructions38"/>
      <sheetName val="Sock_Liner_Spec_38"/>
      <sheetName val="_(6,7)38"/>
      <sheetName val="Skiving_Instruction_(1)38"/>
      <sheetName val="Spliting_Instructions38"/>
      <sheetName val="Tapering_Instructions38"/>
      <sheetName val="Marking_Location_(1)38"/>
      <sheetName val="Marking_Location_(2)38"/>
      <sheetName val="Trim_&amp;_Edge-painting38"/>
      <sheetName val="Reinforcement_Placement38"/>
      <sheetName val="Folding_Location38"/>
      <sheetName val="Pre-Buffing_Specification38"/>
      <sheetName val="Stitching_Instructions_(4)38"/>
      <sheetName val="Upper_Laser_Process-_Spec_38"/>
      <sheetName val="Upper_Laser_Process-Spec_(2)_38"/>
      <sheetName val="Upper_Laser_Process-Spec__(3)38"/>
      <sheetName val="Sockliner__Process38"/>
      <sheetName val="Outsole_Color_Schedule38"/>
      <sheetName val="Outsole_Preform_Specification67"/>
      <sheetName val="Outsole_Pressing_Process_38"/>
      <sheetName val="PU_CSS_CONFIRMATION38"/>
      <sheetName val="PU_CSS_Schedules38"/>
      <sheetName val="PU_Midsole_Spec_I38"/>
      <sheetName val="Stock_Fitting_Process_(8)38"/>
      <sheetName val="Stock_Fitting_Process_38"/>
      <sheetName val="Stock_Fitting_Process38"/>
      <sheetName val="Stock_Fitting_Process_(2)38"/>
      <sheetName val="Stock_Fitting_Process_(3)38"/>
      <sheetName val="Stockfit_BPFC38"/>
      <sheetName val="Assembling_Process38"/>
      <sheetName val="Assembling_Process_(2)38"/>
      <sheetName val="Assembly_BPFC38"/>
      <sheetName val="Production_Checklist38"/>
      <sheetName val="Sockliner_Specification38"/>
      <sheetName val="Upper_Measurement_Spec_38"/>
      <sheetName val="索引_(1)38"/>
      <sheetName val="沖孔規格說明_(2)38"/>
      <sheetName val="_削薄處指示說明38"/>
      <sheetName val="_削薄處指示說明_(2)38"/>
      <sheetName val="_削薄處指示說明_(3)38"/>
      <sheetName val="_削薄處指示說明_(4)38"/>
      <sheetName val="_削薄處指示說明_(5)38"/>
      <sheetName val="劃線印刷指示說明_(2)38"/>
      <sheetName val="劃線印刷指示說明_(3)38"/>
      <sheetName val="折邊指示說明_38"/>
      <sheetName val="針車流程_(2)38"/>
      <sheetName val="針車流程_(3)38"/>
      <sheetName val="針車流程_(4)38"/>
      <sheetName val="針車流程_(5)38"/>
      <sheetName val="針車流程_(6)38"/>
      <sheetName val="_鞋面印刷作業流程38"/>
      <sheetName val="_鞋面高週波作業流程_(2)38"/>
      <sheetName val="__鞋墊作業流程38"/>
      <sheetName val="Cover_313845-102((259_)_(2)38"/>
      <sheetName val="Index_(1)38"/>
      <sheetName val="Logo_Specification_(2)38"/>
      <sheetName val="Screen_Printing_(4)38"/>
      <sheetName val="Upper_HF_Welding_Process(5)38"/>
      <sheetName val="Index_(3)38"/>
      <sheetName val="Bottom_Component_Process_Spec38"/>
      <sheetName val="Stock_Fitting_Process_(4)38"/>
      <sheetName val="Stock_Fitting_Process_(5)38"/>
      <sheetName val="Stockfit_BPFC_(2)38"/>
      <sheetName val="Assembling_Process_(3)38"/>
      <sheetName val="Assembly_BPFC_(2)38"/>
      <sheetName val="Sockliner_Sublimation_Process38"/>
      <sheetName val="Cutting_D)e_(1)38"/>
      <sheetName val="Cutting_D)e_(2)38"/>
      <sheetName val="Cutting_D)e_(3)38"/>
      <sheetName val="Stitching_Instructio_s_(3)38"/>
      <sheetName val="output_per_jam38"/>
      <sheetName val="data_Productivity38"/>
      <sheetName val="MLT_38"/>
      <sheetName val="daily_BEP38"/>
      <sheetName val="178049A_XLS38"/>
      <sheetName val="LB_CUTTING_KUROBE38"/>
      <sheetName val="Cutting(3)_3_1738"/>
      <sheetName val="Cutting(5)_3_1338"/>
      <sheetName val="Cutting(6)3_1738"/>
      <sheetName val="Molding_Piece_Schedule38"/>
      <sheetName val="Perf_Specification_(1)38"/>
      <sheetName val="Perf_Specification_(2)38"/>
      <sheetName val="Skiving_Instruction_(3)38"/>
      <sheetName val="Skiving_Instruction_(4)38"/>
      <sheetName val="Skiving_Instruction_(5)38"/>
      <sheetName val="Tapering_Instructions_3_1338"/>
      <sheetName val="Marking_Location_(3)38"/>
      <sheetName val="Triming_edge_Instructions38"/>
      <sheetName val="Reinforcement_Placement_(1)38"/>
      <sheetName val="Reinforcement_Placement_(2)38"/>
      <sheetName val="Reinforcement_Placement_(2)2_48"/>
      <sheetName val="Reinforcement_Placement_(3)38"/>
      <sheetName val="Computer_Stitching_Schedule38"/>
      <sheetName val="Stitching_Overview_Sketch38"/>
      <sheetName val="Stitching_Instructions_(5)38"/>
      <sheetName val="Stitching_Instructions_(6)38"/>
      <sheetName val="Stitching_Instructions_(6)_3_48"/>
      <sheetName val="Stitching_Instructions_(7)38"/>
      <sheetName val="Upper_Injected_Compon_Pro__(138"/>
      <sheetName val="Upper_Injected_Compon_Pro__(238"/>
      <sheetName val="Upper_HF__Printing_Welding(1)38"/>
      <sheetName val="Upper_HF_Printing_Welding(2)38"/>
      <sheetName val="Upper_HF_Welding_Process_(3)38"/>
      <sheetName val="Upper_HF_Welding_Process_(4)38"/>
      <sheetName val="Upper_HF_Printing_Welding_(5)38"/>
      <sheetName val="Upper_HF_Welding_Process_(6)38"/>
      <sheetName val="CMP_PHYLON_CSS_CONFIRMATION38"/>
      <sheetName val="Phylon_Midsole_Spec_38"/>
      <sheetName val="Stock_Fitting_Process(3)38"/>
      <sheetName val="Stock_Fitting_Process_(6)38"/>
      <sheetName val="Stock_Fitting_Process_(7)38"/>
      <sheetName val="Upper_Weight_Control38"/>
      <sheetName val="Blank_Form38"/>
      <sheetName val="Raw_Data_Sheet38"/>
      <sheetName val="SPRAY_(A_MX_PLUS)11"/>
      <sheetName val="BOLD_SISTER-STRONG_SISTER_-TO12"/>
      <sheetName val="SHOX_NAVINA_,_SHOX_REVEAL11"/>
      <sheetName val="MODEL_SHOX_TURBO_OZ_(PS+TD)11"/>
      <sheetName val="Spray_Tower_Machine10"/>
      <sheetName val="Sheet1_(2)10"/>
      <sheetName val="LOB_Auto_CS_9010"/>
      <sheetName val="LB_(80)10"/>
      <sheetName val="TABLE_OF_CONTENTS10"/>
      <sheetName val="Dispenser_Ruang_Classic10"/>
      <sheetName val="Stock_Fitting_@_x005f_x001b__x005f_x000c_10"/>
      <sheetName val="SPM_(Cutting&amp;Pre)10"/>
      <sheetName val="Stock_Fitting_@_x005f_x001b__x005f_x000c_11"/>
      <sheetName val="5_수정데이터통합10"/>
      <sheetName val="SHOX_REMID_II10"/>
      <sheetName val="PU_10"/>
      <sheetName val="3_I-Prefit_Stitching10"/>
      <sheetName val="assmb_112"/>
      <sheetName val="assmb_212"/>
      <sheetName val="assmb_312"/>
      <sheetName val="assmb_412"/>
      <sheetName val="assmb_512"/>
      <sheetName val="assmb_612"/>
      <sheetName val="assmb_712"/>
      <sheetName val="Cutting_Dies_10"/>
      <sheetName val="Culture_of_Empowerment10"/>
      <sheetName val="A_TERRA10"/>
      <sheetName val="Cover_(2)10"/>
      <sheetName val="_Cutting(1)_10"/>
      <sheetName val="_Cutting__(2)10"/>
      <sheetName val="_Cutting__(3)10"/>
      <sheetName val="_Cutting__(4)10"/>
      <sheetName val="_Cutting__(5)10"/>
      <sheetName val="Reinf_Placement_(2)10"/>
      <sheetName val="Skiving_Instructions_(2)10"/>
      <sheetName val="Skiving_Instruction310"/>
      <sheetName val="Pre-Buffing_(2)10"/>
      <sheetName val="Tongue_Label10"/>
      <sheetName val="Stitching_Instructions(1)10"/>
      <sheetName val="Stitching_Instructions(2)10"/>
      <sheetName val="Stitching_Instructions(3)10"/>
      <sheetName val="Stitching_Instructions(4)10"/>
      <sheetName val="Stitching_Instructions(5)10"/>
      <sheetName val="Stitching_Instructions(6)10"/>
      <sheetName val="H_F__Welding_Proc10"/>
      <sheetName val="TPU_CLEANING&amp;SCREEN_PRINT_10"/>
      <sheetName val="Stitching_Instruction__(2)10"/>
      <sheetName val="Skiving_Instructions_10"/>
      <sheetName val="Key_Manufacturing_Details_(1)10"/>
      <sheetName val="월별_부하운영_계획__(3)10"/>
      <sheetName val="Upper_Measureme10"/>
      <sheetName val="Stitching_(G-Flux)10"/>
      <sheetName val="Stitching_(GD-Runner)10"/>
      <sheetName val="FA-HO11_Feb_201010"/>
      <sheetName val="Form_PDCA_Single_Project_-_IA10"/>
      <sheetName val="2_대외공문10"/>
      <sheetName val="Material_name10"/>
      <sheetName val="Mold_Efficiency_Form10"/>
      <sheetName val="Cover_39"/>
      <sheetName val="Sheet1_39"/>
      <sheetName val="Index_39"/>
      <sheetName val="Spec1_39"/>
      <sheetName val="Spec__78"/>
      <sheetName val="Spec__79"/>
      <sheetName val="Spec_40"/>
      <sheetName val="Spec_639"/>
      <sheetName val="Spec7_39"/>
      <sheetName val="Spec8_39"/>
      <sheetName val="cutting___39"/>
      <sheetName val="Punch_Specification__39"/>
      <sheetName val="Logo_Specification39"/>
      <sheetName val="Strap_Specification39"/>
      <sheetName val="Part_&amp;_Group_Specification39"/>
      <sheetName val="Reinf_Placement39"/>
      <sheetName val="Skiving_instructions39"/>
      <sheetName val="Marking_locations39"/>
      <sheetName val="Folding_Locations39"/>
      <sheetName val="Stitching_Over_View39"/>
      <sheetName val="stitching_instructions_39"/>
      <sheetName val="Computer_stitched39"/>
      <sheetName val="Upper_Molded_Component_Spec__39"/>
      <sheetName val="Upper_Molded_Component_Proc__39"/>
      <sheetName val="Upper_Measurement_Spec39"/>
      <sheetName val="PFC_Revice39"/>
      <sheetName val="Cutting_Die_(1)39"/>
      <sheetName val="Cutting_Die_(2)39"/>
      <sheetName val="Cutting_Die_(3)39"/>
      <sheetName val="Perf_Specification39"/>
      <sheetName val="Marking_Location39"/>
      <sheetName val="Marking_Locations_(2)39"/>
      <sheetName val="Skiving_Instruction_(2)39"/>
      <sheetName val="Spliting_39"/>
      <sheetName val="Reinf__Placement_(1)39"/>
      <sheetName val="Reinf__Placement_(2)39"/>
      <sheetName val="Stitching_Instructions_(1)39"/>
      <sheetName val="Stitching_Instructions_(2)39"/>
      <sheetName val="Stitching_Instructions_(3)39"/>
      <sheetName val="Computer_Stitching_39"/>
      <sheetName val="Upper_Molded_Component_Spec_39"/>
      <sheetName val="PHYLON_CSS39"/>
      <sheetName val="PHYLON_CSS_SCHEDULES39"/>
      <sheetName val="PHYLON_CSS_CONFIRMATION39"/>
      <sheetName val="Outsole_Color_39"/>
      <sheetName val="Outsole_Preform_Specification68"/>
      <sheetName val="Outsole_Pressing_Process39"/>
      <sheetName val="Outsole_Degreasing_Process_39"/>
      <sheetName val="Stock_Fiting_UV-Light_Proce_39"/>
      <sheetName val="Stock_Fiting_Process_39"/>
      <sheetName val="IY_06_0739"/>
      <sheetName val="Assembly_UV-Light_Process__39"/>
      <sheetName val="Assembly_Process_6,7_39"/>
      <sheetName val="Assembly_Process_6,739"/>
      <sheetName val="IY08_09_1039"/>
      <sheetName val="Assembly_Process_8,9,10_39"/>
      <sheetName val="Assembly_Process_8,9,10_(2_)39"/>
      <sheetName val="Back_Part_Moulding_(Soccer_TP39"/>
      <sheetName val="Ecosole_Instructions_39"/>
      <sheetName val="Sockliner_Instructions39"/>
      <sheetName val="Sock_Liner_Spec_39"/>
      <sheetName val="_(6,7)39"/>
      <sheetName val="Skiving_Instruction_(1)39"/>
      <sheetName val="Spliting_Instructions39"/>
      <sheetName val="Tapering_Instructions39"/>
      <sheetName val="Marking_Location_(1)39"/>
      <sheetName val="Marking_Location_(2)39"/>
      <sheetName val="Trim_&amp;_Edge-painting39"/>
      <sheetName val="Reinforcement_Placement39"/>
      <sheetName val="Folding_Location39"/>
      <sheetName val="Pre-Buffing_Specification39"/>
      <sheetName val="Stitching_Instructions_(4)39"/>
      <sheetName val="Upper_Laser_Process-_Spec_39"/>
      <sheetName val="Upper_Laser_Process-Spec_(2)_39"/>
      <sheetName val="Upper_Laser_Process-Spec__(3)39"/>
      <sheetName val="Sockliner__Process39"/>
      <sheetName val="Outsole_Color_Schedule39"/>
      <sheetName val="Outsole_Preform_Specification69"/>
      <sheetName val="Outsole_Pressing_Process_39"/>
      <sheetName val="PU_CSS_CONFIRMATION39"/>
      <sheetName val="PU_CSS_Schedules39"/>
      <sheetName val="PU_Midsole_Spec_I39"/>
      <sheetName val="Stock_Fitting_Process_(8)39"/>
      <sheetName val="Stock_Fitting_Process_39"/>
      <sheetName val="Stock_Fitting_Process39"/>
      <sheetName val="Stock_Fitting_Process_(2)39"/>
      <sheetName val="Stock_Fitting_Process_(3)39"/>
      <sheetName val="Stockfit_BPFC39"/>
      <sheetName val="Assembling_Process39"/>
      <sheetName val="Assembling_Process_(2)39"/>
      <sheetName val="Assembly_BPFC39"/>
      <sheetName val="Production_Checklist39"/>
      <sheetName val="Sockliner_Specification39"/>
      <sheetName val="Upper_Measurement_Spec_39"/>
      <sheetName val="索引_(1)39"/>
      <sheetName val="沖孔規格說明_(2)39"/>
      <sheetName val="_削薄處指示說明39"/>
      <sheetName val="_削薄處指示說明_(2)39"/>
      <sheetName val="_削薄處指示說明_(3)39"/>
      <sheetName val="_削薄處指示說明_(4)39"/>
      <sheetName val="_削薄處指示說明_(5)39"/>
      <sheetName val="劃線印刷指示說明_(2)39"/>
      <sheetName val="劃線印刷指示說明_(3)39"/>
      <sheetName val="折邊指示說明_39"/>
      <sheetName val="針車流程_(2)39"/>
      <sheetName val="針車流程_(3)39"/>
      <sheetName val="針車流程_(4)39"/>
      <sheetName val="針車流程_(5)39"/>
      <sheetName val="針車流程_(6)39"/>
      <sheetName val="_鞋面印刷作業流程39"/>
      <sheetName val="_鞋面高週波作業流程_(2)39"/>
      <sheetName val="__鞋墊作業流程39"/>
      <sheetName val="Cover_313845-102((259_)_(2)39"/>
      <sheetName val="Index_(1)39"/>
      <sheetName val="Logo_Specification_(2)39"/>
      <sheetName val="Screen_Printing_(4)39"/>
      <sheetName val="Upper_HF_Welding_Process(5)39"/>
      <sheetName val="Index_(3)39"/>
      <sheetName val="Bottom_Component_Process_Spec39"/>
      <sheetName val="Stock_Fitting_Process_(4)39"/>
      <sheetName val="Stock_Fitting_Process_(5)39"/>
      <sheetName val="Stockfit_BPFC_(2)39"/>
      <sheetName val="Assembling_Process_(3)39"/>
      <sheetName val="Assembly_BPFC_(2)39"/>
      <sheetName val="Sockliner_Sublimation_Process39"/>
      <sheetName val="Cutting_D)e_(1)39"/>
      <sheetName val="Cutting_D)e_(2)39"/>
      <sheetName val="Cutting_D)e_(3)39"/>
      <sheetName val="Stitching_Instructio_s_(3)39"/>
      <sheetName val="output_per_jam39"/>
      <sheetName val="data_Productivity39"/>
      <sheetName val="MLT_39"/>
      <sheetName val="daily_BEP39"/>
      <sheetName val="178049A_XLS39"/>
      <sheetName val="LB_CUTTING_KUROBE39"/>
      <sheetName val="Cutting(3)_3_1739"/>
      <sheetName val="Cutting(5)_3_1339"/>
      <sheetName val="Cutting(6)3_1739"/>
      <sheetName val="Molding_Piece_Schedule39"/>
      <sheetName val="Perf_Specification_(1)39"/>
      <sheetName val="Perf_Specification_(2)39"/>
      <sheetName val="Skiving_Instruction_(3)39"/>
      <sheetName val="Skiving_Instruction_(4)39"/>
      <sheetName val="Skiving_Instruction_(5)39"/>
      <sheetName val="Tapering_Instructions_3_1339"/>
      <sheetName val="Marking_Location_(3)39"/>
      <sheetName val="Triming_edge_Instructions39"/>
      <sheetName val="Reinforcement_Placement_(1)39"/>
      <sheetName val="Reinforcement_Placement_(2)39"/>
      <sheetName val="Reinforcement_Placement_(2)2_49"/>
      <sheetName val="Reinforcement_Placement_(3)39"/>
      <sheetName val="Computer_Stitching_Schedule39"/>
      <sheetName val="Stitching_Overview_Sketch39"/>
      <sheetName val="Stitching_Instructions_(5)39"/>
      <sheetName val="Stitching_Instructions_(6)39"/>
      <sheetName val="Stitching_Instructions_(6)_3_49"/>
      <sheetName val="Stitching_Instructions_(7)39"/>
      <sheetName val="Upper_Injected_Compon_Pro__(139"/>
      <sheetName val="Upper_Injected_Compon_Pro__(239"/>
      <sheetName val="Upper_HF__Printing_Welding(1)39"/>
      <sheetName val="Upper_HF_Printing_Welding(2)39"/>
      <sheetName val="Upper_HF_Welding_Process_(3)39"/>
      <sheetName val="Upper_HF_Welding_Process_(4)39"/>
      <sheetName val="Upper_HF_Printing_Welding_(5)39"/>
      <sheetName val="Upper_HF_Welding_Process_(6)39"/>
      <sheetName val="CMP_PHYLON_CSS_CONFIRMATION39"/>
      <sheetName val="Phylon_Midsole_Spec_39"/>
      <sheetName val="Stock_Fitting_Process(3)39"/>
      <sheetName val="Stock_Fitting_Process_(6)39"/>
      <sheetName val="Stock_Fitting_Process_(7)39"/>
      <sheetName val="Upper_Weight_Control39"/>
      <sheetName val="Blank_Form39"/>
      <sheetName val="Raw_Data_Sheet39"/>
      <sheetName val="SPRAY_(A_MX_PLUS)12"/>
      <sheetName val="BOLD_SISTER-STRONG_SISTER_-TO13"/>
      <sheetName val="SHOX_NAVINA_,_SHOX_REVEAL12"/>
      <sheetName val="MODEL_SHOX_TURBO_OZ_(PS+TD)12"/>
      <sheetName val="Spray_Tower_Machine11"/>
      <sheetName val="Sheet1_(2)11"/>
      <sheetName val="LOB_Auto_CS_9011"/>
      <sheetName val="LB_(80)11"/>
      <sheetName val="TABLE_OF_CONTENTS11"/>
      <sheetName val="Dispenser_Ruang_Classic11"/>
      <sheetName val="Stock_Fitting_@_x005f_x001b__x005f_x000c_12"/>
      <sheetName val="SPM_(Cutting&amp;Pre)11"/>
      <sheetName val="Stock_Fitting_@_x005f_x001b__x005f_x000c_13"/>
      <sheetName val="5_수정데이터통합11"/>
      <sheetName val="SHOX_REMID_II11"/>
      <sheetName val="PU_11"/>
      <sheetName val="3_I-Prefit_Stitching11"/>
      <sheetName val="assmb_113"/>
      <sheetName val="assmb_213"/>
      <sheetName val="assmb_313"/>
      <sheetName val="assmb_413"/>
      <sheetName val="assmb_513"/>
      <sheetName val="assmb_613"/>
      <sheetName val="assmb_713"/>
      <sheetName val="Cutting_Dies_11"/>
      <sheetName val="Culture_of_Empowerment11"/>
      <sheetName val="A_TERRA11"/>
      <sheetName val="Cover_(2)11"/>
      <sheetName val="_Cutting(1)_11"/>
      <sheetName val="_Cutting__(2)11"/>
      <sheetName val="_Cutting__(3)11"/>
      <sheetName val="_Cutting__(4)11"/>
      <sheetName val="_Cutting__(5)11"/>
      <sheetName val="Reinf_Placement_(2)11"/>
      <sheetName val="Skiving_Instructions_(2)11"/>
      <sheetName val="Skiving_Instruction311"/>
      <sheetName val="Pre-Buffing_(2)11"/>
      <sheetName val="Tongue_Label11"/>
      <sheetName val="Stitching_Instructions(1)11"/>
      <sheetName val="Stitching_Instructions(2)11"/>
      <sheetName val="Stitching_Instructions(3)11"/>
      <sheetName val="Stitching_Instructions(4)11"/>
      <sheetName val="Stitching_Instructions(5)11"/>
      <sheetName val="Stitching_Instructions(6)11"/>
      <sheetName val="H_F__Welding_Proc11"/>
      <sheetName val="TPU_CLEANING&amp;SCREEN_PRINT_11"/>
      <sheetName val="Stitching_Instruction__(2)11"/>
      <sheetName val="Skiving_Instructions_11"/>
      <sheetName val="Key_Manufacturing_Details_(1)11"/>
      <sheetName val="월별_부하운영_계획__(3)11"/>
      <sheetName val="Upper_Measureme11"/>
      <sheetName val="Stitching_(G-Flux)11"/>
      <sheetName val="Stitching_(GD-Runner)11"/>
      <sheetName val="FA-HO11_Feb_201011"/>
      <sheetName val="Form_PDCA_Single_Project_-_IA11"/>
      <sheetName val="2_대외공문11"/>
      <sheetName val="Material_name11"/>
      <sheetName val="Mold_Efficiency_Form11"/>
      <sheetName val="Cover_40"/>
      <sheetName val="Sheet1_40"/>
      <sheetName val="Index_40"/>
      <sheetName val="Spec1_40"/>
      <sheetName val="Spec__80"/>
      <sheetName val="Spec__81"/>
      <sheetName val="Spec_41"/>
      <sheetName val="Spec_640"/>
      <sheetName val="Spec7_40"/>
      <sheetName val="Spec8_40"/>
      <sheetName val="cutting___40"/>
      <sheetName val="Punch_Specification__40"/>
      <sheetName val="Logo_Specification40"/>
      <sheetName val="Strap_Specification40"/>
      <sheetName val="Part_&amp;_Group_Specification40"/>
      <sheetName val="Reinf_Placement40"/>
      <sheetName val="Skiving_instructions40"/>
      <sheetName val="Marking_locations40"/>
      <sheetName val="Folding_Locations40"/>
      <sheetName val="Stitching_Over_View40"/>
      <sheetName val="stitching_instructions_40"/>
      <sheetName val="Computer_stitched40"/>
      <sheetName val="Upper_Molded_Component_Spec__40"/>
      <sheetName val="Upper_Molded_Component_Proc__40"/>
      <sheetName val="Upper_Measurement_Spec40"/>
      <sheetName val="PFC_Revice40"/>
      <sheetName val="Cutting_Die_(1)40"/>
      <sheetName val="Cutting_Die_(2)40"/>
      <sheetName val="Cutting_Die_(3)40"/>
      <sheetName val="Perf_Specification40"/>
      <sheetName val="Marking_Location40"/>
      <sheetName val="Marking_Locations_(2)40"/>
      <sheetName val="Skiving_Instruction_(2)40"/>
      <sheetName val="Spliting_40"/>
      <sheetName val="Reinf__Placement_(1)40"/>
      <sheetName val="Reinf__Placement_(2)40"/>
      <sheetName val="Stitching_Instructions_(1)40"/>
      <sheetName val="Stitching_Instructions_(2)40"/>
      <sheetName val="Stitching_Instructions_(3)40"/>
      <sheetName val="Computer_Stitching_40"/>
      <sheetName val="Upper_Molded_Component_Spec_40"/>
      <sheetName val="PHYLON_CSS40"/>
      <sheetName val="PHYLON_CSS_SCHEDULES40"/>
      <sheetName val="PHYLON_CSS_CONFIRMATION40"/>
      <sheetName val="Outsole_Color_40"/>
      <sheetName val="Outsole_Preform_Specification70"/>
      <sheetName val="Outsole_Pressing_Process40"/>
      <sheetName val="Outsole_Degreasing_Process_40"/>
      <sheetName val="Stock_Fiting_UV-Light_Proce_40"/>
      <sheetName val="Stock_Fiting_Process_40"/>
      <sheetName val="IY_06_0740"/>
      <sheetName val="Assembly_UV-Light_Process__40"/>
      <sheetName val="Assembly_Process_6,7_40"/>
      <sheetName val="Assembly_Process_6,740"/>
      <sheetName val="IY08_09_1040"/>
      <sheetName val="Assembly_Process_8,9,10_40"/>
      <sheetName val="Assembly_Process_8,9,10_(2_)40"/>
      <sheetName val="Back_Part_Moulding_(Soccer_TP40"/>
      <sheetName val="Ecosole_Instructions_40"/>
      <sheetName val="Sockliner_Instructions40"/>
      <sheetName val="Sock_Liner_Spec_40"/>
      <sheetName val="_(6,7)40"/>
      <sheetName val="Skiving_Instruction_(1)40"/>
      <sheetName val="Spliting_Instructions40"/>
      <sheetName val="Tapering_Instructions40"/>
      <sheetName val="Marking_Location_(1)40"/>
      <sheetName val="Marking_Location_(2)40"/>
      <sheetName val="Trim_&amp;_Edge-painting40"/>
      <sheetName val="Reinforcement_Placement40"/>
      <sheetName val="Folding_Location40"/>
      <sheetName val="Pre-Buffing_Specification40"/>
      <sheetName val="Stitching_Instructions_(4)40"/>
      <sheetName val="Upper_Laser_Process-_Spec_40"/>
      <sheetName val="Upper_Laser_Process-Spec_(2)_40"/>
      <sheetName val="Upper_Laser_Process-Spec__(3)40"/>
      <sheetName val="Sockliner__Process40"/>
      <sheetName val="Outsole_Color_Schedule40"/>
      <sheetName val="Outsole_Preform_Specification71"/>
      <sheetName val="Outsole_Pressing_Process_40"/>
      <sheetName val="PU_CSS_CONFIRMATION40"/>
      <sheetName val="PU_CSS_Schedules40"/>
      <sheetName val="PU_Midsole_Spec_I40"/>
      <sheetName val="Stock_Fitting_Process_(8)40"/>
      <sheetName val="Stock_Fitting_Process_40"/>
      <sheetName val="Stock_Fitting_Process40"/>
      <sheetName val="Stock_Fitting_Process_(2)40"/>
      <sheetName val="Stock_Fitting_Process_(3)40"/>
      <sheetName val="Stockfit_BPFC40"/>
      <sheetName val="Assembling_Process40"/>
      <sheetName val="Assembling_Process_(2)40"/>
      <sheetName val="Assembly_BPFC40"/>
      <sheetName val="Production_Checklist40"/>
      <sheetName val="Sockliner_Specification40"/>
      <sheetName val="Upper_Measurement_Spec_40"/>
      <sheetName val="索引_(1)40"/>
      <sheetName val="沖孔規格說明_(2)40"/>
      <sheetName val="_削薄處指示說明40"/>
      <sheetName val="_削薄處指示說明_(2)40"/>
      <sheetName val="_削薄處指示說明_(3)40"/>
      <sheetName val="_削薄處指示說明_(4)40"/>
      <sheetName val="_削薄處指示說明_(5)40"/>
      <sheetName val="劃線印刷指示說明_(2)40"/>
      <sheetName val="劃線印刷指示說明_(3)40"/>
      <sheetName val="折邊指示說明_40"/>
      <sheetName val="針車流程_(2)40"/>
      <sheetName val="針車流程_(3)40"/>
      <sheetName val="針車流程_(4)40"/>
      <sheetName val="針車流程_(5)40"/>
      <sheetName val="針車流程_(6)40"/>
      <sheetName val="_鞋面印刷作業流程40"/>
      <sheetName val="_鞋面高週波作業流程_(2)40"/>
      <sheetName val="__鞋墊作業流程40"/>
      <sheetName val="Cover_313845-102((259_)_(2)40"/>
      <sheetName val="Index_(1)40"/>
      <sheetName val="Logo_Specification_(2)40"/>
      <sheetName val="Screen_Printing_(4)40"/>
      <sheetName val="Upper_HF_Welding_Process(5)40"/>
      <sheetName val="Index_(3)40"/>
      <sheetName val="Bottom_Component_Process_Spec40"/>
      <sheetName val="Stock_Fitting_Process_(4)40"/>
      <sheetName val="Stock_Fitting_Process_(5)40"/>
      <sheetName val="Stockfit_BPFC_(2)40"/>
      <sheetName val="Assembling_Process_(3)40"/>
      <sheetName val="Assembly_BPFC_(2)40"/>
      <sheetName val="Sockliner_Sublimation_Process40"/>
      <sheetName val="Cutting_D)e_(1)40"/>
      <sheetName val="Cutting_D)e_(2)40"/>
      <sheetName val="Cutting_D)e_(3)40"/>
      <sheetName val="Stitching_Instructio_s_(3)40"/>
      <sheetName val="output_per_jam40"/>
      <sheetName val="data_Productivity40"/>
      <sheetName val="MLT_40"/>
      <sheetName val="daily_BEP40"/>
      <sheetName val="178049A_XLS40"/>
      <sheetName val="LB_CUTTING_KUROBE40"/>
      <sheetName val="Cutting(3)_3_1740"/>
      <sheetName val="Cutting(5)_3_1340"/>
      <sheetName val="Cutting(6)3_1740"/>
      <sheetName val="Molding_Piece_Schedule40"/>
      <sheetName val="Perf_Specification_(1)40"/>
      <sheetName val="Perf_Specification_(2)40"/>
      <sheetName val="Skiving_Instruction_(3)40"/>
      <sheetName val="Skiving_Instruction_(4)40"/>
      <sheetName val="Skiving_Instruction_(5)40"/>
      <sheetName val="Tapering_Instructions_3_1340"/>
      <sheetName val="Marking_Location_(3)40"/>
      <sheetName val="Triming_edge_Instructions40"/>
      <sheetName val="Reinforcement_Placement_(1)40"/>
      <sheetName val="Reinforcement_Placement_(2)40"/>
      <sheetName val="Reinforcement_Placement_(2)2_50"/>
      <sheetName val="Reinforcement_Placement_(3)40"/>
      <sheetName val="Computer_Stitching_Schedule40"/>
      <sheetName val="Stitching_Overview_Sketch40"/>
      <sheetName val="Stitching_Instructions_(5)40"/>
      <sheetName val="Stitching_Instructions_(6)40"/>
      <sheetName val="Stitching_Instructions_(6)_3_50"/>
      <sheetName val="Stitching_Instructions_(7)40"/>
      <sheetName val="Upper_Injected_Compon_Pro__(140"/>
      <sheetName val="Upper_Injected_Compon_Pro__(240"/>
      <sheetName val="Upper_HF__Printing_Welding(1)40"/>
      <sheetName val="Upper_HF_Printing_Welding(2)40"/>
      <sheetName val="Upper_HF_Welding_Process_(3)40"/>
      <sheetName val="Upper_HF_Welding_Process_(4)40"/>
      <sheetName val="Upper_HF_Printing_Welding_(5)40"/>
      <sheetName val="Upper_HF_Welding_Process_(6)40"/>
      <sheetName val="CMP_PHYLON_CSS_CONFIRMATION40"/>
      <sheetName val="Phylon_Midsole_Spec_40"/>
      <sheetName val="Stock_Fitting_Process(3)40"/>
      <sheetName val="Stock_Fitting_Process_(6)40"/>
      <sheetName val="Stock_Fitting_Process_(7)40"/>
      <sheetName val="Upper_Weight_Control40"/>
      <sheetName val="Blank_Form40"/>
      <sheetName val="Raw_Data_Sheet40"/>
      <sheetName val="SPRAY_(A_MX_PLUS)13"/>
      <sheetName val="BOLD_SISTER-STRONG_SISTER_-TO14"/>
      <sheetName val="SHOX_NAVINA_,_SHOX_REVEAL13"/>
      <sheetName val="MODEL_SHOX_TURBO_OZ_(PS+TD)13"/>
      <sheetName val="Spray_Tower_Machine12"/>
      <sheetName val="Sheet1_(2)12"/>
      <sheetName val="LOB_Auto_CS_9012"/>
      <sheetName val="LB_(80)12"/>
      <sheetName val="TABLE_OF_CONTENTS12"/>
      <sheetName val="Dispenser_Ruang_Classic12"/>
      <sheetName val="Stock_Fitting_@_x005f_x001b__x005f_x000c_14"/>
      <sheetName val="SPM_(Cutting&amp;Pre)12"/>
      <sheetName val="Stock_Fitting_@_x005f_x001b__x005f_x000c_15"/>
      <sheetName val="5_수정데이터통합12"/>
      <sheetName val="SHOX_REMID_II12"/>
      <sheetName val="PU_12"/>
      <sheetName val="3_I-Prefit_Stitching12"/>
      <sheetName val="assmb_114"/>
      <sheetName val="assmb_214"/>
      <sheetName val="assmb_314"/>
      <sheetName val="assmb_414"/>
      <sheetName val="assmb_514"/>
      <sheetName val="assmb_614"/>
      <sheetName val="assmb_714"/>
      <sheetName val="Cutting_Dies_12"/>
      <sheetName val="Culture_of_Empowerment12"/>
      <sheetName val="A_TERRA12"/>
      <sheetName val="Cover_(2)12"/>
      <sheetName val="_Cutting(1)_12"/>
      <sheetName val="_Cutting__(2)12"/>
      <sheetName val="_Cutting__(3)12"/>
      <sheetName val="_Cutting__(4)12"/>
      <sheetName val="_Cutting__(5)12"/>
      <sheetName val="Reinf_Placement_(2)12"/>
      <sheetName val="Skiving_Instructions_(2)12"/>
      <sheetName val="Skiving_Instruction312"/>
      <sheetName val="Pre-Buffing_(2)12"/>
      <sheetName val="Tongue_Label12"/>
      <sheetName val="Stitching_Instructions(1)12"/>
      <sheetName val="Stitching_Instructions(2)12"/>
      <sheetName val="Stitching_Instructions(3)12"/>
      <sheetName val="Stitching_Instructions(4)12"/>
      <sheetName val="Stitching_Instructions(5)12"/>
      <sheetName val="Stitching_Instructions(6)12"/>
      <sheetName val="H_F__Welding_Proc12"/>
      <sheetName val="TPU_CLEANING&amp;SCREEN_PRINT_12"/>
      <sheetName val="Stitching_Instruction__(2)12"/>
      <sheetName val="Skiving_Instructions_12"/>
      <sheetName val="Key_Manufacturing_Details_(1)12"/>
      <sheetName val="월별_부하운영_계획__(3)12"/>
      <sheetName val="Upper_Measureme12"/>
      <sheetName val="Stitching_(G-Flux)12"/>
      <sheetName val="Stitching_(GD-Runner)12"/>
      <sheetName val="FA-HO11_Feb_201012"/>
      <sheetName val="Form_PDCA_Single_Project_-_IA12"/>
      <sheetName val="2_대외공문12"/>
      <sheetName val="Material_name12"/>
      <sheetName val="Mold_Efficiency_Form12"/>
      <sheetName val="Cover_42"/>
      <sheetName val="Sheet1_42"/>
      <sheetName val="Index_42"/>
      <sheetName val="Spec1_42"/>
      <sheetName val="Spec__84"/>
      <sheetName val="Spec__85"/>
      <sheetName val="Spec_43"/>
      <sheetName val="Spec_642"/>
      <sheetName val="Spec7_42"/>
      <sheetName val="Spec8_42"/>
      <sheetName val="cutting___42"/>
      <sheetName val="Punch_Specification__42"/>
      <sheetName val="Logo_Specification42"/>
      <sheetName val="Strap_Specification42"/>
      <sheetName val="Part_&amp;_Group_Specification42"/>
      <sheetName val="Reinf_Placement42"/>
      <sheetName val="Skiving_instructions42"/>
      <sheetName val="Marking_locations42"/>
      <sheetName val="Folding_Locations42"/>
      <sheetName val="Stitching_Over_View42"/>
      <sheetName val="stitching_instructions_42"/>
      <sheetName val="Computer_stitched42"/>
      <sheetName val="Upper_Molded_Component_Spec__42"/>
      <sheetName val="Upper_Molded_Component_Proc__42"/>
      <sheetName val="Upper_Measurement_Spec42"/>
      <sheetName val="PFC_Revice42"/>
      <sheetName val="Cutting_Die_(1)42"/>
      <sheetName val="Cutting_Die_(2)42"/>
      <sheetName val="Cutting_Die_(3)42"/>
      <sheetName val="Perf_Specification42"/>
      <sheetName val="Marking_Location42"/>
      <sheetName val="Marking_Locations_(2)42"/>
      <sheetName val="Skiving_Instruction_(2)42"/>
      <sheetName val="Spliting_42"/>
      <sheetName val="Reinf__Placement_(1)42"/>
      <sheetName val="Reinf__Placement_(2)42"/>
      <sheetName val="Stitching_Instructions_(1)42"/>
      <sheetName val="Stitching_Instructions_(2)42"/>
      <sheetName val="Stitching_Instructions_(3)42"/>
      <sheetName val="Computer_Stitching_42"/>
      <sheetName val="Upper_Molded_Component_Spec_42"/>
      <sheetName val="PHYLON_CSS42"/>
      <sheetName val="PHYLON_CSS_SCHEDULES42"/>
      <sheetName val="PHYLON_CSS_CONFIRMATION42"/>
      <sheetName val="Outsole_Color_42"/>
      <sheetName val="Outsole_Preform_Specification74"/>
      <sheetName val="Outsole_Pressing_Process42"/>
      <sheetName val="Outsole_Degreasing_Process_42"/>
      <sheetName val="Stock_Fiting_UV-Light_Proce_42"/>
      <sheetName val="Stock_Fiting_Process_42"/>
      <sheetName val="IY_06_0742"/>
      <sheetName val="Assembly_UV-Light_Process__42"/>
      <sheetName val="Assembly_Process_6,7_42"/>
      <sheetName val="Assembly_Process_6,742"/>
      <sheetName val="IY08_09_1042"/>
      <sheetName val="Assembly_Process_8,9,10_42"/>
      <sheetName val="Assembly_Process_8,9,10_(2_)42"/>
      <sheetName val="Back_Part_Moulding_(Soccer_TP42"/>
      <sheetName val="Ecosole_Instructions_42"/>
      <sheetName val="Sockliner_Instructions42"/>
      <sheetName val="Sock_Liner_Spec_42"/>
      <sheetName val="_(6,7)42"/>
      <sheetName val="Skiving_Instruction_(1)42"/>
      <sheetName val="Spliting_Instructions42"/>
      <sheetName val="Tapering_Instructions42"/>
      <sheetName val="Marking_Location_(1)42"/>
      <sheetName val="Marking_Location_(2)42"/>
      <sheetName val="Trim_&amp;_Edge-painting42"/>
      <sheetName val="Reinforcement_Placement42"/>
      <sheetName val="Folding_Location42"/>
      <sheetName val="Pre-Buffing_Specification42"/>
      <sheetName val="Stitching_Instructions_(4)42"/>
      <sheetName val="Upper_Laser_Process-_Spec_42"/>
      <sheetName val="Upper_Laser_Process-Spec_(2)_42"/>
      <sheetName val="Upper_Laser_Process-Spec__(3)42"/>
      <sheetName val="Sockliner__Process42"/>
      <sheetName val="Outsole_Color_Schedule42"/>
      <sheetName val="Outsole_Preform_Specification75"/>
      <sheetName val="Outsole_Pressing_Process_42"/>
      <sheetName val="PU_CSS_CONFIRMATION42"/>
      <sheetName val="PU_CSS_Schedules42"/>
      <sheetName val="PU_Midsole_Spec_I42"/>
      <sheetName val="Stock_Fitting_Process_(8)42"/>
      <sheetName val="Stock_Fitting_Process_42"/>
      <sheetName val="Stock_Fitting_Process42"/>
      <sheetName val="Stock_Fitting_Process_(2)42"/>
      <sheetName val="Stock_Fitting_Process_(3)42"/>
      <sheetName val="Stockfit_BPFC42"/>
      <sheetName val="Assembling_Process42"/>
      <sheetName val="Assembling_Process_(2)42"/>
      <sheetName val="Assembly_BPFC42"/>
      <sheetName val="Production_Checklist42"/>
      <sheetName val="Sockliner_Specification42"/>
      <sheetName val="Upper_Measurement_Spec_42"/>
      <sheetName val="索引_(1)42"/>
      <sheetName val="沖孔規格說明_(2)42"/>
      <sheetName val="_削薄處指示說明42"/>
      <sheetName val="_削薄處指示說明_(2)42"/>
      <sheetName val="_削薄處指示說明_(3)42"/>
      <sheetName val="_削薄處指示說明_(4)42"/>
      <sheetName val="_削薄處指示說明_(5)42"/>
      <sheetName val="劃線印刷指示說明_(2)42"/>
      <sheetName val="劃線印刷指示說明_(3)42"/>
      <sheetName val="折邊指示說明_42"/>
      <sheetName val="針車流程_(2)42"/>
      <sheetName val="針車流程_(3)42"/>
      <sheetName val="針車流程_(4)42"/>
      <sheetName val="針車流程_(5)42"/>
      <sheetName val="針車流程_(6)42"/>
      <sheetName val="_鞋面印刷作業流程42"/>
      <sheetName val="_鞋面高週波作業流程_(2)42"/>
      <sheetName val="__鞋墊作業流程42"/>
      <sheetName val="Cover_313845-102((259_)_(2)42"/>
      <sheetName val="Index_(1)42"/>
      <sheetName val="Logo_Specification_(2)42"/>
      <sheetName val="Screen_Printing_(4)42"/>
      <sheetName val="Upper_HF_Welding_Process(5)42"/>
      <sheetName val="Index_(3)42"/>
      <sheetName val="Bottom_Component_Process_Spec42"/>
      <sheetName val="Stock_Fitting_Process_(4)42"/>
      <sheetName val="Stock_Fitting_Process_(5)42"/>
      <sheetName val="Stockfit_BPFC_(2)42"/>
      <sheetName val="Assembling_Process_(3)42"/>
      <sheetName val="Assembly_BPFC_(2)42"/>
      <sheetName val="Sockliner_Sublimation_Process42"/>
      <sheetName val="Cutting_D)e_(1)42"/>
      <sheetName val="Cutting_D)e_(2)42"/>
      <sheetName val="Cutting_D)e_(3)42"/>
      <sheetName val="Stitching_Instructio_s_(3)42"/>
      <sheetName val="output_per_jam42"/>
      <sheetName val="data_Productivity42"/>
      <sheetName val="MLT_42"/>
      <sheetName val="daily_BEP42"/>
      <sheetName val="178049A_XLS42"/>
      <sheetName val="LB_CUTTING_KUROBE42"/>
      <sheetName val="Cutting(3)_3_1742"/>
      <sheetName val="Cutting(5)_3_1342"/>
      <sheetName val="Cutting(6)3_1742"/>
      <sheetName val="Molding_Piece_Schedule42"/>
      <sheetName val="Perf_Specification_(1)42"/>
      <sheetName val="Perf_Specification_(2)42"/>
      <sheetName val="Skiving_Instruction_(3)42"/>
      <sheetName val="Skiving_Instruction_(4)42"/>
      <sheetName val="Skiving_Instruction_(5)42"/>
      <sheetName val="Tapering_Instructions_3_1342"/>
      <sheetName val="Marking_Location_(3)42"/>
      <sheetName val="Triming_edge_Instructions42"/>
      <sheetName val="Reinforcement_Placement_(1)42"/>
      <sheetName val="Reinforcement_Placement_(2)42"/>
      <sheetName val="Reinforcement_Placement_(2)2_52"/>
      <sheetName val="Reinforcement_Placement_(3)42"/>
      <sheetName val="Computer_Stitching_Schedule42"/>
      <sheetName val="Stitching_Overview_Sketch42"/>
      <sheetName val="Stitching_Instructions_(5)42"/>
      <sheetName val="Stitching_Instructions_(6)42"/>
      <sheetName val="Stitching_Instructions_(6)_3_52"/>
      <sheetName val="Stitching_Instructions_(7)42"/>
      <sheetName val="Upper_Injected_Compon_Pro__(142"/>
      <sheetName val="Upper_Injected_Compon_Pro__(242"/>
      <sheetName val="Upper_HF__Printing_Welding(1)42"/>
      <sheetName val="Upper_HF_Printing_Welding(2)42"/>
      <sheetName val="Upper_HF_Welding_Process_(3)42"/>
      <sheetName val="Upper_HF_Welding_Process_(4)42"/>
      <sheetName val="Upper_HF_Printing_Welding_(5)42"/>
      <sheetName val="Upper_HF_Welding_Process_(6)42"/>
      <sheetName val="CMP_PHYLON_CSS_CONFIRMATION42"/>
      <sheetName val="Phylon_Midsole_Spec_42"/>
      <sheetName val="Stock_Fitting_Process(3)42"/>
      <sheetName val="Stock_Fitting_Process_(6)42"/>
      <sheetName val="Stock_Fitting_Process_(7)42"/>
      <sheetName val="Upper_Weight_Control42"/>
      <sheetName val="Blank_Form42"/>
      <sheetName val="Raw_Data_Sheet42"/>
      <sheetName val="SPRAY_(A_MX_PLUS)15"/>
      <sheetName val="BOLD_SISTER-STRONG_SISTER_-TO16"/>
      <sheetName val="SHOX_NAVINA_,_SHOX_REVEAL15"/>
      <sheetName val="MODEL_SHOX_TURBO_OZ_(PS+TD)15"/>
      <sheetName val="Spray_Tower_Machine14"/>
      <sheetName val="Sheet1_(2)14"/>
      <sheetName val="LOB_Auto_CS_9014"/>
      <sheetName val="LB_(80)14"/>
      <sheetName val="TABLE_OF_CONTENTS14"/>
      <sheetName val="Dispenser_Ruang_Classic14"/>
      <sheetName val="Stock_Fitting_@_x005f_x001b__x005f_x000c_18"/>
      <sheetName val="SPM_(Cutting&amp;Pre)14"/>
      <sheetName val="Stock_Fitting_@_x005f_x001b__x005f_x000c_19"/>
      <sheetName val="5_수정데이터통합14"/>
      <sheetName val="SHOX_REMID_II14"/>
      <sheetName val="PU_14"/>
      <sheetName val="3_I-Prefit_Stitching14"/>
      <sheetName val="assmb_116"/>
      <sheetName val="assmb_216"/>
      <sheetName val="assmb_316"/>
      <sheetName val="assmb_416"/>
      <sheetName val="assmb_516"/>
      <sheetName val="assmb_616"/>
      <sheetName val="assmb_716"/>
      <sheetName val="Cutting_Dies_14"/>
      <sheetName val="Culture_of_Empowerment14"/>
      <sheetName val="A_TERRA14"/>
      <sheetName val="Cover_(2)14"/>
      <sheetName val="_Cutting(1)_14"/>
      <sheetName val="_Cutting__(2)14"/>
      <sheetName val="_Cutting__(3)14"/>
      <sheetName val="_Cutting__(4)14"/>
      <sheetName val="_Cutting__(5)14"/>
      <sheetName val="Reinf_Placement_(2)14"/>
      <sheetName val="Skiving_Instructions_(2)14"/>
      <sheetName val="Skiving_Instruction314"/>
      <sheetName val="Pre-Buffing_(2)14"/>
      <sheetName val="Tongue_Label14"/>
      <sheetName val="Stitching_Instructions(1)14"/>
      <sheetName val="Stitching_Instructions(2)14"/>
      <sheetName val="Stitching_Instructions(3)14"/>
      <sheetName val="Stitching_Instructions(4)14"/>
      <sheetName val="Stitching_Instructions(5)14"/>
      <sheetName val="Stitching_Instructions(6)14"/>
      <sheetName val="H_F__Welding_Proc14"/>
      <sheetName val="TPU_CLEANING&amp;SCREEN_PRINT_14"/>
      <sheetName val="Stitching_Instruction__(2)14"/>
      <sheetName val="Skiving_Instructions_14"/>
      <sheetName val="Key_Manufacturing_Details_(1)14"/>
      <sheetName val="월별_부하운영_계획__(3)14"/>
      <sheetName val="Upper_Measureme14"/>
      <sheetName val="Stitching_(G-Flux)14"/>
      <sheetName val="Stitching_(GD-Runner)14"/>
      <sheetName val="FA-HO11_Feb_201014"/>
      <sheetName val="Form_PDCA_Single_Project_-_IA14"/>
      <sheetName val="2_대외공문14"/>
      <sheetName val="Material_name14"/>
      <sheetName val="Mold_Efficiency_Form14"/>
      <sheetName val="Cover_44"/>
      <sheetName val="Sheet1_44"/>
      <sheetName val="Index_44"/>
      <sheetName val="Spec1_44"/>
      <sheetName val="Spec__88"/>
      <sheetName val="Spec__89"/>
      <sheetName val="Spec_45"/>
      <sheetName val="Spec_644"/>
      <sheetName val="Spec7_44"/>
      <sheetName val="Spec8_44"/>
      <sheetName val="cutting___44"/>
      <sheetName val="Punch_Specification__44"/>
      <sheetName val="Logo_Specification44"/>
      <sheetName val="Strap_Specification44"/>
      <sheetName val="Part_&amp;_Group_Specification44"/>
      <sheetName val="Reinf_Placement44"/>
      <sheetName val="Skiving_instructions44"/>
      <sheetName val="Marking_locations44"/>
      <sheetName val="Folding_Locations44"/>
      <sheetName val="Stitching_Over_View44"/>
      <sheetName val="stitching_instructions_44"/>
      <sheetName val="Computer_stitched44"/>
      <sheetName val="Upper_Molded_Component_Spec__44"/>
      <sheetName val="Upper_Molded_Component_Proc__44"/>
      <sheetName val="Upper_Measurement_Spec44"/>
      <sheetName val="PFC_Revice44"/>
      <sheetName val="Cutting_Die_(1)44"/>
      <sheetName val="Cutting_Die_(2)44"/>
      <sheetName val="Cutting_Die_(3)44"/>
      <sheetName val="Perf_Specification44"/>
      <sheetName val="Marking_Location44"/>
      <sheetName val="Marking_Locations_(2)44"/>
      <sheetName val="Skiving_Instruction_(2)44"/>
      <sheetName val="Spliting_44"/>
      <sheetName val="Reinf__Placement_(1)44"/>
      <sheetName val="Reinf__Placement_(2)44"/>
      <sheetName val="Stitching_Instructions_(1)44"/>
      <sheetName val="Stitching_Instructions_(2)44"/>
      <sheetName val="Stitching_Instructions_(3)44"/>
      <sheetName val="Computer_Stitching_44"/>
      <sheetName val="Upper_Molded_Component_Spec_44"/>
      <sheetName val="PHYLON_CSS44"/>
      <sheetName val="PHYLON_CSS_SCHEDULES44"/>
      <sheetName val="PHYLON_CSS_CONFIRMATION44"/>
      <sheetName val="Outsole_Color_44"/>
      <sheetName val="Outsole_Preform_Specification78"/>
      <sheetName val="Outsole_Pressing_Process44"/>
      <sheetName val="Outsole_Degreasing_Process_44"/>
      <sheetName val="Stock_Fiting_UV-Light_Proce_44"/>
      <sheetName val="Stock_Fiting_Process_44"/>
      <sheetName val="IY_06_0744"/>
      <sheetName val="Assembly_UV-Light_Process__44"/>
      <sheetName val="Assembly_Process_6,7_44"/>
      <sheetName val="Assembly_Process_6,744"/>
      <sheetName val="IY08_09_1044"/>
      <sheetName val="Assembly_Process_8,9,10_44"/>
      <sheetName val="Assembly_Process_8,9,10_(2_)44"/>
      <sheetName val="Back_Part_Moulding_(Soccer_TP44"/>
      <sheetName val="Ecosole_Instructions_44"/>
      <sheetName val="Sockliner_Instructions44"/>
      <sheetName val="Sock_Liner_Spec_44"/>
      <sheetName val="_(6,7)44"/>
      <sheetName val="Skiving_Instruction_(1)44"/>
      <sheetName val="Spliting_Instructions44"/>
      <sheetName val="Tapering_Instructions44"/>
      <sheetName val="Marking_Location_(1)44"/>
      <sheetName val="Marking_Location_(2)44"/>
      <sheetName val="Trim_&amp;_Edge-painting44"/>
      <sheetName val="Reinforcement_Placement44"/>
      <sheetName val="Folding_Location44"/>
      <sheetName val="Pre-Buffing_Specification44"/>
      <sheetName val="Stitching_Instructions_(4)44"/>
      <sheetName val="Upper_Laser_Process-_Spec_44"/>
      <sheetName val="Upper_Laser_Process-Spec_(2)_44"/>
      <sheetName val="Upper_Laser_Process-Spec__(3)44"/>
      <sheetName val="Sockliner__Process44"/>
      <sheetName val="Outsole_Color_Schedule44"/>
      <sheetName val="Outsole_Preform_Specification79"/>
      <sheetName val="Outsole_Pressing_Process_44"/>
      <sheetName val="PU_CSS_CONFIRMATION44"/>
      <sheetName val="PU_CSS_Schedules44"/>
      <sheetName val="PU_Midsole_Spec_I44"/>
      <sheetName val="Stock_Fitting_Process_(8)44"/>
      <sheetName val="Stock_Fitting_Process_44"/>
      <sheetName val="Stock_Fitting_Process44"/>
      <sheetName val="Stock_Fitting_Process_(2)44"/>
      <sheetName val="Stock_Fitting_Process_(3)44"/>
      <sheetName val="Stockfit_BPFC44"/>
      <sheetName val="Assembling_Process44"/>
      <sheetName val="Assembling_Process_(2)44"/>
      <sheetName val="Assembly_BPFC44"/>
      <sheetName val="Production_Checklist44"/>
      <sheetName val="Sockliner_Specification44"/>
      <sheetName val="Upper_Measurement_Spec_44"/>
      <sheetName val="索引_(1)44"/>
      <sheetName val="沖孔規格說明_(2)44"/>
      <sheetName val="_削薄處指示說明44"/>
      <sheetName val="_削薄處指示說明_(2)44"/>
      <sheetName val="_削薄處指示說明_(3)44"/>
      <sheetName val="_削薄處指示說明_(4)44"/>
      <sheetName val="_削薄處指示說明_(5)44"/>
      <sheetName val="劃線印刷指示說明_(2)44"/>
      <sheetName val="劃線印刷指示說明_(3)44"/>
      <sheetName val="折邊指示說明_44"/>
      <sheetName val="針車流程_(2)44"/>
      <sheetName val="針車流程_(3)44"/>
      <sheetName val="針車流程_(4)44"/>
      <sheetName val="針車流程_(5)44"/>
      <sheetName val="針車流程_(6)44"/>
      <sheetName val="_鞋面印刷作業流程44"/>
      <sheetName val="_鞋面高週波作業流程_(2)44"/>
      <sheetName val="__鞋墊作業流程44"/>
      <sheetName val="Cover_313845-102((259_)_(2)44"/>
      <sheetName val="Index_(1)44"/>
      <sheetName val="Logo_Specification_(2)44"/>
      <sheetName val="Screen_Printing_(4)44"/>
      <sheetName val="Upper_HF_Welding_Process(5)44"/>
      <sheetName val="Index_(3)44"/>
      <sheetName val="Bottom_Component_Process_Spec44"/>
      <sheetName val="Stock_Fitting_Process_(4)44"/>
      <sheetName val="Stock_Fitting_Process_(5)44"/>
      <sheetName val="Stockfit_BPFC_(2)44"/>
      <sheetName val="Assembling_Process_(3)44"/>
      <sheetName val="Assembly_BPFC_(2)44"/>
      <sheetName val="Sockliner_Sublimation_Process44"/>
      <sheetName val="Cutting_D)e_(1)44"/>
      <sheetName val="Cutting_D)e_(2)44"/>
      <sheetName val="Cutting_D)e_(3)44"/>
      <sheetName val="Stitching_Instructio_s_(3)44"/>
      <sheetName val="output_per_jam44"/>
      <sheetName val="data_Productivity44"/>
      <sheetName val="MLT_44"/>
      <sheetName val="daily_BEP44"/>
      <sheetName val="178049A_XLS44"/>
      <sheetName val="LB_CUTTING_KUROBE44"/>
      <sheetName val="Cutting(3)_3_1744"/>
      <sheetName val="Cutting(5)_3_1344"/>
      <sheetName val="Cutting(6)3_1744"/>
      <sheetName val="Molding_Piece_Schedule44"/>
      <sheetName val="Perf_Specification_(1)44"/>
      <sheetName val="Perf_Specification_(2)44"/>
      <sheetName val="Skiving_Instruction_(3)44"/>
      <sheetName val="Skiving_Instruction_(4)44"/>
      <sheetName val="Skiving_Instruction_(5)44"/>
      <sheetName val="Tapering_Instructions_3_1344"/>
      <sheetName val="Marking_Location_(3)44"/>
      <sheetName val="Triming_edge_Instructions44"/>
      <sheetName val="Reinforcement_Placement_(1)44"/>
      <sheetName val="Reinforcement_Placement_(2)44"/>
      <sheetName val="Reinforcement_Placement_(2)2_54"/>
      <sheetName val="Reinforcement_Placement_(3)44"/>
      <sheetName val="Computer_Stitching_Schedule44"/>
      <sheetName val="Stitching_Overview_Sketch44"/>
      <sheetName val="Stitching_Instructions_(5)44"/>
      <sheetName val="Stitching_Instructions_(6)44"/>
      <sheetName val="Stitching_Instructions_(6)_3_54"/>
      <sheetName val="Stitching_Instructions_(7)44"/>
      <sheetName val="Upper_Injected_Compon_Pro__(144"/>
      <sheetName val="Upper_Injected_Compon_Pro__(244"/>
      <sheetName val="Upper_HF__Printing_Welding(1)44"/>
      <sheetName val="Upper_HF_Printing_Welding(2)44"/>
      <sheetName val="Upper_HF_Welding_Process_(3)44"/>
      <sheetName val="Upper_HF_Welding_Process_(4)44"/>
      <sheetName val="Upper_HF_Printing_Welding_(5)44"/>
      <sheetName val="Upper_HF_Welding_Process_(6)44"/>
      <sheetName val="CMP_PHYLON_CSS_CONFIRMATION44"/>
      <sheetName val="Phylon_Midsole_Spec_44"/>
      <sheetName val="Stock_Fitting_Process(3)44"/>
      <sheetName val="Stock_Fitting_Process_(6)44"/>
      <sheetName val="Stock_Fitting_Process_(7)44"/>
      <sheetName val="Upper_Weight_Control44"/>
      <sheetName val="Blank_Form44"/>
      <sheetName val="Raw_Data_Sheet44"/>
      <sheetName val="SPRAY_(A_MX_PLUS)17"/>
      <sheetName val="BOLD_SISTER-STRONG_SISTER_-TO18"/>
      <sheetName val="SHOX_NAVINA_,_SHOX_REVEAL17"/>
      <sheetName val="MODEL_SHOX_TURBO_OZ_(PS+TD)17"/>
      <sheetName val="Spray_Tower_Machine16"/>
      <sheetName val="Sheet1_(2)16"/>
      <sheetName val="LOB_Auto_CS_9016"/>
      <sheetName val="LB_(80)16"/>
      <sheetName val="TABLE_OF_CONTENTS16"/>
      <sheetName val="Dispenser_Ruang_Classic16"/>
      <sheetName val="Stock_Fitting_@_x005f_x001b__x005f_x000c_22"/>
      <sheetName val="SPM_(Cutting&amp;Pre)16"/>
      <sheetName val="Stock_Fitting_@_x005f_x001b__x005f_x000c_23"/>
      <sheetName val="5_수정데이터통합16"/>
      <sheetName val="SHOX_REMID_II16"/>
      <sheetName val="PU_16"/>
      <sheetName val="3_I-Prefit_Stitching16"/>
      <sheetName val="assmb_118"/>
      <sheetName val="assmb_218"/>
      <sheetName val="assmb_318"/>
      <sheetName val="assmb_418"/>
      <sheetName val="assmb_518"/>
      <sheetName val="assmb_618"/>
      <sheetName val="assmb_718"/>
      <sheetName val="Cutting_Dies_16"/>
      <sheetName val="Culture_of_Empowerment16"/>
      <sheetName val="A_TERRA16"/>
      <sheetName val="Cover_(2)16"/>
      <sheetName val="_Cutting(1)_16"/>
      <sheetName val="_Cutting__(2)16"/>
      <sheetName val="_Cutting__(3)16"/>
      <sheetName val="_Cutting__(4)16"/>
      <sheetName val="_Cutting__(5)16"/>
      <sheetName val="Reinf_Placement_(2)16"/>
      <sheetName val="Skiving_Instructions_(2)16"/>
      <sheetName val="Skiving_Instruction316"/>
      <sheetName val="Pre-Buffing_(2)16"/>
      <sheetName val="Tongue_Label16"/>
      <sheetName val="Stitching_Instructions(1)16"/>
      <sheetName val="Stitching_Instructions(2)16"/>
      <sheetName val="Stitching_Instructions(3)16"/>
      <sheetName val="Stitching_Instructions(4)16"/>
      <sheetName val="Stitching_Instructions(5)16"/>
      <sheetName val="Stitching_Instructions(6)16"/>
      <sheetName val="H_F__Welding_Proc16"/>
      <sheetName val="TPU_CLEANING&amp;SCREEN_PRINT_16"/>
      <sheetName val="Stitching_Instruction__(2)16"/>
      <sheetName val="Skiving_Instructions_16"/>
      <sheetName val="Key_Manufacturing_Details_(1)16"/>
      <sheetName val="월별_부하운영_계획__(3)16"/>
      <sheetName val="Upper_Measureme16"/>
      <sheetName val="Stitching_(G-Flux)16"/>
      <sheetName val="Stitching_(GD-Runner)16"/>
      <sheetName val="FA-HO11_Feb_201016"/>
      <sheetName val="Form_PDCA_Single_Project_-_IA16"/>
      <sheetName val="2_대외공문16"/>
      <sheetName val="Material_name16"/>
      <sheetName val="Mold_Efficiency_Form16"/>
      <sheetName val="Cover_43"/>
      <sheetName val="Sheet1_43"/>
      <sheetName val="Index_43"/>
      <sheetName val="Spec1_43"/>
      <sheetName val="Spec__86"/>
      <sheetName val="Spec__87"/>
      <sheetName val="Spec_44"/>
      <sheetName val="Spec_643"/>
      <sheetName val="Spec7_43"/>
      <sheetName val="Spec8_43"/>
      <sheetName val="cutting___43"/>
      <sheetName val="Punch_Specification__43"/>
      <sheetName val="Logo_Specification43"/>
      <sheetName val="Strap_Specification43"/>
      <sheetName val="Part_&amp;_Group_Specification43"/>
      <sheetName val="Reinf_Placement43"/>
      <sheetName val="Skiving_instructions43"/>
      <sheetName val="Marking_locations43"/>
      <sheetName val="Folding_Locations43"/>
      <sheetName val="Stitching_Over_View43"/>
      <sheetName val="stitching_instructions_43"/>
      <sheetName val="Computer_stitched43"/>
      <sheetName val="Upper_Molded_Component_Spec__43"/>
      <sheetName val="Upper_Molded_Component_Proc__43"/>
      <sheetName val="Upper_Measurement_Spec43"/>
      <sheetName val="PFC_Revice43"/>
      <sheetName val="Cutting_Die_(1)43"/>
      <sheetName val="Cutting_Die_(2)43"/>
      <sheetName val="Cutting_Die_(3)43"/>
      <sheetName val="Perf_Specification43"/>
      <sheetName val="Marking_Location43"/>
      <sheetName val="Marking_Locations_(2)43"/>
      <sheetName val="Skiving_Instruction_(2)43"/>
      <sheetName val="Spliting_43"/>
      <sheetName val="Reinf__Placement_(1)43"/>
      <sheetName val="Reinf__Placement_(2)43"/>
      <sheetName val="Stitching_Instructions_(1)43"/>
      <sheetName val="Stitching_Instructions_(2)43"/>
      <sheetName val="Stitching_Instructions_(3)43"/>
      <sheetName val="Computer_Stitching_43"/>
      <sheetName val="Upper_Molded_Component_Spec_43"/>
      <sheetName val="PHYLON_CSS43"/>
      <sheetName val="PHYLON_CSS_SCHEDULES43"/>
      <sheetName val="PHYLON_CSS_CONFIRMATION43"/>
      <sheetName val="Outsole_Color_43"/>
      <sheetName val="Outsole_Preform_Specification76"/>
      <sheetName val="Outsole_Pressing_Process43"/>
      <sheetName val="Outsole_Degreasing_Process_43"/>
      <sheetName val="Stock_Fiting_UV-Light_Proce_43"/>
      <sheetName val="Stock_Fiting_Process_43"/>
      <sheetName val="IY_06_0743"/>
      <sheetName val="Assembly_UV-Light_Process__43"/>
      <sheetName val="Assembly_Process_6,7_43"/>
      <sheetName val="Assembly_Process_6,743"/>
      <sheetName val="IY08_09_1043"/>
      <sheetName val="Assembly_Process_8,9,10_43"/>
      <sheetName val="Assembly_Process_8,9,10_(2_)43"/>
      <sheetName val="Back_Part_Moulding_(Soccer_TP43"/>
      <sheetName val="Ecosole_Instructions_43"/>
      <sheetName val="Sockliner_Instructions43"/>
      <sheetName val="Sock_Liner_Spec_43"/>
      <sheetName val="_(6,7)43"/>
      <sheetName val="Skiving_Instruction_(1)43"/>
      <sheetName val="Spliting_Instructions43"/>
      <sheetName val="Tapering_Instructions43"/>
      <sheetName val="Marking_Location_(1)43"/>
      <sheetName val="Marking_Location_(2)43"/>
      <sheetName val="Trim_&amp;_Edge-painting43"/>
      <sheetName val="Reinforcement_Placement43"/>
      <sheetName val="Folding_Location43"/>
      <sheetName val="Pre-Buffing_Specification43"/>
      <sheetName val="Stitching_Instructions_(4)43"/>
      <sheetName val="Upper_Laser_Process-_Spec_43"/>
      <sheetName val="Upper_Laser_Process-Spec_(2)_43"/>
      <sheetName val="Upper_Laser_Process-Spec__(3)43"/>
      <sheetName val="Sockliner__Process43"/>
      <sheetName val="Outsole_Color_Schedule43"/>
      <sheetName val="Outsole_Preform_Specification77"/>
      <sheetName val="Outsole_Pressing_Process_43"/>
      <sheetName val="PU_CSS_CONFIRMATION43"/>
      <sheetName val="PU_CSS_Schedules43"/>
      <sheetName val="PU_Midsole_Spec_I43"/>
      <sheetName val="Stock_Fitting_Process_(8)43"/>
      <sheetName val="Stock_Fitting_Process_43"/>
      <sheetName val="Stock_Fitting_Process43"/>
      <sheetName val="Stock_Fitting_Process_(2)43"/>
      <sheetName val="Stock_Fitting_Process_(3)43"/>
      <sheetName val="Stockfit_BPFC43"/>
      <sheetName val="Assembling_Process43"/>
      <sheetName val="Assembling_Process_(2)43"/>
      <sheetName val="Assembly_BPFC43"/>
      <sheetName val="Production_Checklist43"/>
      <sheetName val="Sockliner_Specification43"/>
      <sheetName val="Upper_Measurement_Spec_43"/>
      <sheetName val="索引_(1)43"/>
      <sheetName val="沖孔規格說明_(2)43"/>
      <sheetName val="_削薄處指示說明43"/>
      <sheetName val="_削薄處指示說明_(2)43"/>
      <sheetName val="_削薄處指示說明_(3)43"/>
      <sheetName val="_削薄處指示說明_(4)43"/>
      <sheetName val="_削薄處指示說明_(5)43"/>
      <sheetName val="劃線印刷指示說明_(2)43"/>
      <sheetName val="劃線印刷指示說明_(3)43"/>
      <sheetName val="折邊指示說明_43"/>
      <sheetName val="針車流程_(2)43"/>
      <sheetName val="針車流程_(3)43"/>
      <sheetName val="針車流程_(4)43"/>
      <sheetName val="針車流程_(5)43"/>
      <sheetName val="針車流程_(6)43"/>
      <sheetName val="_鞋面印刷作業流程43"/>
      <sheetName val="_鞋面高週波作業流程_(2)43"/>
      <sheetName val="__鞋墊作業流程43"/>
      <sheetName val="Cover_313845-102((259_)_(2)43"/>
      <sheetName val="Index_(1)43"/>
      <sheetName val="Logo_Specification_(2)43"/>
      <sheetName val="Screen_Printing_(4)43"/>
      <sheetName val="Upper_HF_Welding_Process(5)43"/>
      <sheetName val="Index_(3)43"/>
      <sheetName val="Bottom_Component_Process_Spec43"/>
      <sheetName val="Stock_Fitting_Process_(4)43"/>
      <sheetName val="Stock_Fitting_Process_(5)43"/>
      <sheetName val="Stockfit_BPFC_(2)43"/>
      <sheetName val="Assembling_Process_(3)43"/>
      <sheetName val="Assembly_BPFC_(2)43"/>
      <sheetName val="Sockliner_Sublimation_Process43"/>
      <sheetName val="Cutting_D)e_(1)43"/>
      <sheetName val="Cutting_D)e_(2)43"/>
      <sheetName val="Cutting_D)e_(3)43"/>
      <sheetName val="Stitching_Instructio_s_(3)43"/>
      <sheetName val="output_per_jam43"/>
      <sheetName val="data_Productivity43"/>
      <sheetName val="MLT_43"/>
      <sheetName val="daily_BEP43"/>
      <sheetName val="178049A_XLS43"/>
      <sheetName val="LB_CUTTING_KUROBE43"/>
      <sheetName val="Cutting(3)_3_1743"/>
      <sheetName val="Cutting(5)_3_1343"/>
      <sheetName val="Cutting(6)3_1743"/>
      <sheetName val="Molding_Piece_Schedule43"/>
      <sheetName val="Perf_Specification_(1)43"/>
      <sheetName val="Perf_Specification_(2)43"/>
      <sheetName val="Skiving_Instruction_(3)43"/>
      <sheetName val="Skiving_Instruction_(4)43"/>
      <sheetName val="Skiving_Instruction_(5)43"/>
      <sheetName val="Tapering_Instructions_3_1343"/>
      <sheetName val="Marking_Location_(3)43"/>
      <sheetName val="Triming_edge_Instructions43"/>
      <sheetName val="Reinforcement_Placement_(1)43"/>
      <sheetName val="Reinforcement_Placement_(2)43"/>
      <sheetName val="Reinforcement_Placement_(2)2_53"/>
      <sheetName val="Reinforcement_Placement_(3)43"/>
      <sheetName val="Computer_Stitching_Schedule43"/>
      <sheetName val="Stitching_Overview_Sketch43"/>
      <sheetName val="Stitching_Instructions_(5)43"/>
      <sheetName val="Stitching_Instructions_(6)43"/>
      <sheetName val="Stitching_Instructions_(6)_3_53"/>
      <sheetName val="Stitching_Instructions_(7)43"/>
      <sheetName val="Upper_Injected_Compon_Pro__(143"/>
      <sheetName val="Upper_Injected_Compon_Pro__(243"/>
      <sheetName val="Upper_HF__Printing_Welding(1)43"/>
      <sheetName val="Upper_HF_Printing_Welding(2)43"/>
      <sheetName val="Upper_HF_Welding_Process_(3)43"/>
      <sheetName val="Upper_HF_Welding_Process_(4)43"/>
      <sheetName val="Upper_HF_Printing_Welding_(5)43"/>
      <sheetName val="Upper_HF_Welding_Process_(6)43"/>
      <sheetName val="CMP_PHYLON_CSS_CONFIRMATION43"/>
      <sheetName val="Phylon_Midsole_Spec_43"/>
      <sheetName val="Stock_Fitting_Process(3)43"/>
      <sheetName val="Stock_Fitting_Process_(6)43"/>
      <sheetName val="Stock_Fitting_Process_(7)43"/>
      <sheetName val="Upper_Weight_Control43"/>
      <sheetName val="Blank_Form43"/>
      <sheetName val="Raw_Data_Sheet43"/>
      <sheetName val="SPRAY_(A_MX_PLUS)16"/>
      <sheetName val="BOLD_SISTER-STRONG_SISTER_-TO17"/>
      <sheetName val="SHOX_NAVINA_,_SHOX_REVEAL16"/>
      <sheetName val="MODEL_SHOX_TURBO_OZ_(PS+TD)16"/>
      <sheetName val="Spray_Tower_Machine15"/>
      <sheetName val="Sheet1_(2)15"/>
      <sheetName val="LOB_Auto_CS_9015"/>
      <sheetName val="LB_(80)15"/>
      <sheetName val="TABLE_OF_CONTENTS15"/>
      <sheetName val="Dispenser_Ruang_Classic15"/>
      <sheetName val="Stock_Fitting_@_x005f_x001b__x005f_x000c_20"/>
      <sheetName val="SPM_(Cutting&amp;Pre)15"/>
      <sheetName val="Stock_Fitting_@_x005f_x001b__x005f_x000c_21"/>
      <sheetName val="5_수정데이터통합15"/>
      <sheetName val="SHOX_REMID_II15"/>
      <sheetName val="PU_15"/>
      <sheetName val="3_I-Prefit_Stitching15"/>
      <sheetName val="assmb_117"/>
      <sheetName val="assmb_217"/>
      <sheetName val="assmb_317"/>
      <sheetName val="assmb_417"/>
      <sheetName val="assmb_517"/>
      <sheetName val="assmb_617"/>
      <sheetName val="assmb_717"/>
      <sheetName val="Cutting_Dies_15"/>
      <sheetName val="Culture_of_Empowerment15"/>
      <sheetName val="A_TERRA15"/>
      <sheetName val="Cover_(2)15"/>
      <sheetName val="_Cutting(1)_15"/>
      <sheetName val="_Cutting__(2)15"/>
      <sheetName val="_Cutting__(3)15"/>
      <sheetName val="_Cutting__(4)15"/>
      <sheetName val="_Cutting__(5)15"/>
      <sheetName val="Reinf_Placement_(2)15"/>
      <sheetName val="Skiving_Instructions_(2)15"/>
      <sheetName val="Skiving_Instruction315"/>
      <sheetName val="Pre-Buffing_(2)15"/>
      <sheetName val="Tongue_Label15"/>
      <sheetName val="Stitching_Instructions(1)15"/>
      <sheetName val="Stitching_Instructions(2)15"/>
      <sheetName val="Stitching_Instructions(3)15"/>
      <sheetName val="Stitching_Instructions(4)15"/>
      <sheetName val="Stitching_Instructions(5)15"/>
      <sheetName val="Stitching_Instructions(6)15"/>
      <sheetName val="H_F__Welding_Proc15"/>
      <sheetName val="TPU_CLEANING&amp;SCREEN_PRINT_15"/>
      <sheetName val="Stitching_Instruction__(2)15"/>
      <sheetName val="Skiving_Instructions_15"/>
      <sheetName val="Key_Manufacturing_Details_(1)15"/>
      <sheetName val="월별_부하운영_계획__(3)15"/>
      <sheetName val="Upper_Measureme15"/>
      <sheetName val="Stitching_(G-Flux)15"/>
      <sheetName val="Stitching_(GD-Runner)15"/>
      <sheetName val="FA-HO11_Feb_201015"/>
      <sheetName val="Form_PDCA_Single_Project_-_IA15"/>
      <sheetName val="2_대외공문15"/>
      <sheetName val="Material_name15"/>
      <sheetName val="Mold_Efficiency_Form15"/>
      <sheetName val="Cover_45"/>
      <sheetName val="Sheet1_45"/>
      <sheetName val="Index_45"/>
      <sheetName val="Spec1_45"/>
      <sheetName val="Spec__90"/>
      <sheetName val="Spec__91"/>
      <sheetName val="Spec_46"/>
      <sheetName val="Spec_645"/>
      <sheetName val="Spec7_45"/>
      <sheetName val="Spec8_45"/>
      <sheetName val="cutting___45"/>
      <sheetName val="Punch_Specification__45"/>
      <sheetName val="Logo_Specification45"/>
      <sheetName val="Strap_Specification45"/>
      <sheetName val="Part_&amp;_Group_Specification45"/>
      <sheetName val="Reinf_Placement45"/>
      <sheetName val="Skiving_instructions45"/>
      <sheetName val="Marking_locations45"/>
      <sheetName val="Folding_Locations45"/>
      <sheetName val="Stitching_Over_View45"/>
      <sheetName val="stitching_instructions_45"/>
      <sheetName val="Computer_stitched45"/>
      <sheetName val="Upper_Molded_Component_Spec__45"/>
      <sheetName val="Upper_Molded_Component_Proc__45"/>
      <sheetName val="Upper_Measurement_Spec45"/>
      <sheetName val="PFC_Revice45"/>
      <sheetName val="Cutting_Die_(1)45"/>
      <sheetName val="Cutting_Die_(2)45"/>
      <sheetName val="Cutting_Die_(3)45"/>
      <sheetName val="Perf_Specification45"/>
      <sheetName val="Marking_Location45"/>
      <sheetName val="Marking_Locations_(2)45"/>
      <sheetName val="Skiving_Instruction_(2)45"/>
      <sheetName val="Spliting_45"/>
      <sheetName val="Reinf__Placement_(1)45"/>
      <sheetName val="Reinf__Placement_(2)45"/>
      <sheetName val="Stitching_Instructions_(1)45"/>
      <sheetName val="Stitching_Instructions_(2)45"/>
      <sheetName val="Stitching_Instructions_(3)45"/>
      <sheetName val="Computer_Stitching_45"/>
      <sheetName val="Upper_Molded_Component_Spec_45"/>
      <sheetName val="PHYLON_CSS45"/>
      <sheetName val="PHYLON_CSS_SCHEDULES45"/>
      <sheetName val="PHYLON_CSS_CONFIRMATION45"/>
      <sheetName val="Outsole_Color_45"/>
      <sheetName val="Outsole_Preform_Specification80"/>
      <sheetName val="Outsole_Pressing_Process45"/>
      <sheetName val="Outsole_Degreasing_Process_45"/>
      <sheetName val="Stock_Fiting_UV-Light_Proce_45"/>
      <sheetName val="Stock_Fiting_Process_45"/>
      <sheetName val="IY_06_0745"/>
      <sheetName val="Assembly_UV-Light_Process__45"/>
      <sheetName val="Assembly_Process_6,7_45"/>
      <sheetName val="Assembly_Process_6,745"/>
      <sheetName val="IY08_09_1045"/>
      <sheetName val="Assembly_Process_8,9,10_45"/>
      <sheetName val="Assembly_Process_8,9,10_(2_)45"/>
      <sheetName val="Back_Part_Moulding_(Soccer_TP45"/>
      <sheetName val="Ecosole_Instructions_45"/>
      <sheetName val="Sockliner_Instructions45"/>
      <sheetName val="Sock_Liner_Spec_45"/>
      <sheetName val="_(6,7)45"/>
      <sheetName val="Skiving_Instruction_(1)45"/>
      <sheetName val="Spliting_Instructions45"/>
      <sheetName val="Tapering_Instructions45"/>
      <sheetName val="Marking_Location_(1)45"/>
      <sheetName val="Marking_Location_(2)45"/>
      <sheetName val="Trim_&amp;_Edge-painting45"/>
      <sheetName val="Reinforcement_Placement45"/>
      <sheetName val="Folding_Location45"/>
      <sheetName val="Pre-Buffing_Specification45"/>
      <sheetName val="Stitching_Instructions_(4)45"/>
      <sheetName val="Upper_Laser_Process-_Spec_45"/>
      <sheetName val="Upper_Laser_Process-Spec_(2)_45"/>
      <sheetName val="Upper_Laser_Process-Spec__(3)45"/>
      <sheetName val="Sockliner__Process45"/>
      <sheetName val="Outsole_Color_Schedule45"/>
      <sheetName val="Outsole_Preform_Specification81"/>
      <sheetName val="Outsole_Pressing_Process_45"/>
      <sheetName val="PU_CSS_CONFIRMATION45"/>
      <sheetName val="PU_CSS_Schedules45"/>
      <sheetName val="PU_Midsole_Spec_I45"/>
      <sheetName val="Stock_Fitting_Process_(8)45"/>
      <sheetName val="Stock_Fitting_Process_45"/>
      <sheetName val="Stock_Fitting_Process45"/>
      <sheetName val="Stock_Fitting_Process_(2)45"/>
      <sheetName val="Stock_Fitting_Process_(3)45"/>
      <sheetName val="Stockfit_BPFC45"/>
      <sheetName val="Assembling_Process45"/>
      <sheetName val="Assembling_Process_(2)45"/>
      <sheetName val="Assembly_BPFC45"/>
      <sheetName val="Production_Checklist45"/>
      <sheetName val="Sockliner_Specification45"/>
      <sheetName val="Upper_Measurement_Spec_45"/>
      <sheetName val="索引_(1)45"/>
      <sheetName val="沖孔規格說明_(2)45"/>
      <sheetName val="_削薄處指示說明45"/>
      <sheetName val="_削薄處指示說明_(2)45"/>
      <sheetName val="_削薄處指示說明_(3)45"/>
      <sheetName val="_削薄處指示說明_(4)45"/>
      <sheetName val="_削薄處指示說明_(5)45"/>
      <sheetName val="劃線印刷指示說明_(2)45"/>
      <sheetName val="劃線印刷指示說明_(3)45"/>
      <sheetName val="折邊指示說明_45"/>
      <sheetName val="針車流程_(2)45"/>
      <sheetName val="針車流程_(3)45"/>
      <sheetName val="針車流程_(4)45"/>
      <sheetName val="針車流程_(5)45"/>
      <sheetName val="針車流程_(6)45"/>
      <sheetName val="_鞋面印刷作業流程45"/>
      <sheetName val="_鞋面高週波作業流程_(2)45"/>
      <sheetName val="__鞋墊作業流程45"/>
      <sheetName val="Cover_313845-102((259_)_(2)45"/>
      <sheetName val="Index_(1)45"/>
      <sheetName val="Logo_Specification_(2)45"/>
      <sheetName val="Screen_Printing_(4)45"/>
      <sheetName val="Upper_HF_Welding_Process(5)45"/>
      <sheetName val="Index_(3)45"/>
      <sheetName val="Bottom_Component_Process_Spec45"/>
      <sheetName val="Stock_Fitting_Process_(4)45"/>
      <sheetName val="Stock_Fitting_Process_(5)45"/>
      <sheetName val="Stockfit_BPFC_(2)45"/>
      <sheetName val="Assembling_Process_(3)45"/>
      <sheetName val="Assembly_BPFC_(2)45"/>
      <sheetName val="Sockliner_Sublimation_Process45"/>
      <sheetName val="Cutting_D)e_(1)45"/>
      <sheetName val="Cutting_D)e_(2)45"/>
      <sheetName val="Cutting_D)e_(3)45"/>
      <sheetName val="Stitching_Instructio_s_(3)45"/>
      <sheetName val="output_per_jam45"/>
      <sheetName val="data_Productivity45"/>
      <sheetName val="MLT_45"/>
      <sheetName val="daily_BEP45"/>
      <sheetName val="178049A_XLS45"/>
      <sheetName val="LB_CUTTING_KUROBE45"/>
      <sheetName val="Cutting(3)_3_1745"/>
      <sheetName val="Cutting(5)_3_1345"/>
      <sheetName val="Cutting(6)3_1745"/>
      <sheetName val="Molding_Piece_Schedule45"/>
      <sheetName val="Perf_Specification_(1)45"/>
      <sheetName val="Perf_Specification_(2)45"/>
      <sheetName val="Skiving_Instruction_(3)45"/>
      <sheetName val="Skiving_Instruction_(4)45"/>
      <sheetName val="Skiving_Instruction_(5)45"/>
      <sheetName val="Tapering_Instructions_3_1345"/>
      <sheetName val="Marking_Location_(3)45"/>
      <sheetName val="Triming_edge_Instructions45"/>
      <sheetName val="Reinforcement_Placement_(1)45"/>
      <sheetName val="Reinforcement_Placement_(2)45"/>
      <sheetName val="Reinforcement_Placement_(2)2_55"/>
      <sheetName val="Reinforcement_Placement_(3)45"/>
      <sheetName val="Computer_Stitching_Schedule45"/>
      <sheetName val="Stitching_Overview_Sketch45"/>
      <sheetName val="Stitching_Instructions_(5)45"/>
      <sheetName val="Stitching_Instructions_(6)45"/>
      <sheetName val="Stitching_Instructions_(6)_3_55"/>
      <sheetName val="Stitching_Instructions_(7)45"/>
      <sheetName val="Upper_Injected_Compon_Pro__(145"/>
      <sheetName val="Upper_Injected_Compon_Pro__(245"/>
      <sheetName val="Upper_HF__Printing_Welding(1)45"/>
      <sheetName val="Upper_HF_Printing_Welding(2)45"/>
      <sheetName val="Upper_HF_Welding_Process_(3)45"/>
      <sheetName val="Upper_HF_Welding_Process_(4)45"/>
      <sheetName val="Upper_HF_Printing_Welding_(5)45"/>
      <sheetName val="Upper_HF_Welding_Process_(6)45"/>
      <sheetName val="CMP_PHYLON_CSS_CONFIRMATION45"/>
      <sheetName val="Phylon_Midsole_Spec_45"/>
      <sheetName val="Stock_Fitting_Process(3)45"/>
      <sheetName val="Stock_Fitting_Process_(6)45"/>
      <sheetName val="Stock_Fitting_Process_(7)45"/>
      <sheetName val="Upper_Weight_Control45"/>
      <sheetName val="Blank_Form45"/>
      <sheetName val="Raw_Data_Sheet45"/>
      <sheetName val="SPRAY_(A_MX_PLUS)18"/>
      <sheetName val="BOLD_SISTER-STRONG_SISTER_-TO19"/>
      <sheetName val="SHOX_NAVINA_,_SHOX_REVEAL18"/>
      <sheetName val="MODEL_SHOX_TURBO_OZ_(PS+TD)18"/>
      <sheetName val="Spray_Tower_Machine17"/>
      <sheetName val="Sheet1_(2)17"/>
      <sheetName val="LOB_Auto_CS_9017"/>
      <sheetName val="LB_(80)17"/>
      <sheetName val="TABLE_OF_CONTENTS17"/>
      <sheetName val="Dispenser_Ruang_Classic17"/>
      <sheetName val="Stock_Fitting_@_x005f_x001b__x005f_x000c_24"/>
      <sheetName val="SPM_(Cutting&amp;Pre)17"/>
      <sheetName val="Stock_Fitting_@_x005f_x001b__x005f_x000c_25"/>
      <sheetName val="5_수정데이터통합17"/>
      <sheetName val="SHOX_REMID_II17"/>
      <sheetName val="PU_17"/>
      <sheetName val="3_I-Prefit_Stitching17"/>
      <sheetName val="assmb_119"/>
      <sheetName val="assmb_219"/>
      <sheetName val="assmb_319"/>
      <sheetName val="assmb_419"/>
      <sheetName val="assmb_519"/>
      <sheetName val="assmb_619"/>
      <sheetName val="assmb_719"/>
      <sheetName val="Cutting_Dies_17"/>
      <sheetName val="Culture_of_Empowerment17"/>
      <sheetName val="A_TERRA17"/>
      <sheetName val="Cover_(2)17"/>
      <sheetName val="_Cutting(1)_17"/>
      <sheetName val="_Cutting__(2)17"/>
      <sheetName val="_Cutting__(3)17"/>
      <sheetName val="_Cutting__(4)17"/>
      <sheetName val="_Cutting__(5)17"/>
      <sheetName val="Reinf_Placement_(2)17"/>
      <sheetName val="Skiving_Instructions_(2)17"/>
      <sheetName val="Skiving_Instruction317"/>
      <sheetName val="Pre-Buffing_(2)17"/>
      <sheetName val="Tongue_Label17"/>
      <sheetName val="Stitching_Instructions(1)17"/>
      <sheetName val="Stitching_Instructions(2)17"/>
      <sheetName val="Stitching_Instructions(3)17"/>
      <sheetName val="Stitching_Instructions(4)17"/>
      <sheetName val="Stitching_Instructions(5)17"/>
      <sheetName val="Stitching_Instructions(6)17"/>
      <sheetName val="H_F__Welding_Proc17"/>
      <sheetName val="TPU_CLEANING&amp;SCREEN_PRINT_17"/>
      <sheetName val="Stitching_Instruction__(2)17"/>
      <sheetName val="Skiving_Instructions_17"/>
      <sheetName val="Key_Manufacturing_Details_(1)17"/>
      <sheetName val="월별_부하운영_계획__(3)17"/>
      <sheetName val="Upper_Measureme17"/>
      <sheetName val="Stitching_(G-Flux)17"/>
      <sheetName val="Stitching_(GD-Runner)17"/>
      <sheetName val="FA-HO11_Feb_201017"/>
      <sheetName val="Form_PDCA_Single_Project_-_IA17"/>
      <sheetName val="2_대외공문17"/>
      <sheetName val="Material_name17"/>
      <sheetName val="Mold_Efficiency_Form17"/>
      <sheetName val="Cover_46"/>
      <sheetName val="Sheet1_46"/>
      <sheetName val="Index_46"/>
      <sheetName val="Spec1_46"/>
      <sheetName val="Spec__92"/>
      <sheetName val="Spec__93"/>
      <sheetName val="Spec_47"/>
      <sheetName val="Spec_646"/>
      <sheetName val="Spec7_46"/>
      <sheetName val="Spec8_46"/>
      <sheetName val="cutting___46"/>
      <sheetName val="Punch_Specification__46"/>
      <sheetName val="Logo_Specification46"/>
      <sheetName val="Strap_Specification46"/>
      <sheetName val="Part_&amp;_Group_Specification46"/>
      <sheetName val="Reinf_Placement46"/>
      <sheetName val="Skiving_instructions46"/>
      <sheetName val="Marking_locations46"/>
      <sheetName val="Folding_Locations46"/>
      <sheetName val="Stitching_Over_View46"/>
      <sheetName val="stitching_instructions_46"/>
      <sheetName val="Computer_stitched46"/>
      <sheetName val="Upper_Molded_Component_Spec__46"/>
      <sheetName val="Upper_Molded_Component_Proc__46"/>
      <sheetName val="Upper_Measurement_Spec46"/>
      <sheetName val="PFC_Revice46"/>
      <sheetName val="Cutting_Die_(1)46"/>
      <sheetName val="Cutting_Die_(2)46"/>
      <sheetName val="Cutting_Die_(3)46"/>
      <sheetName val="Perf_Specification46"/>
      <sheetName val="Marking_Location46"/>
      <sheetName val="Marking_Locations_(2)46"/>
      <sheetName val="Skiving_Instruction_(2)46"/>
      <sheetName val="Spliting_46"/>
      <sheetName val="Reinf__Placement_(1)46"/>
      <sheetName val="Reinf__Placement_(2)46"/>
      <sheetName val="Stitching_Instructions_(1)46"/>
      <sheetName val="Stitching_Instructions_(2)46"/>
      <sheetName val="Stitching_Instructions_(3)46"/>
      <sheetName val="Computer_Stitching_46"/>
      <sheetName val="Upper_Molded_Component_Spec_46"/>
      <sheetName val="PHYLON_CSS46"/>
      <sheetName val="PHYLON_CSS_SCHEDULES46"/>
      <sheetName val="PHYLON_CSS_CONFIRMATION46"/>
      <sheetName val="Outsole_Color_46"/>
      <sheetName val="Outsole_Preform_Specification82"/>
      <sheetName val="Outsole_Pressing_Process46"/>
      <sheetName val="Outsole_Degreasing_Process_46"/>
      <sheetName val="Stock_Fiting_UV-Light_Proce_46"/>
      <sheetName val="Stock_Fiting_Process_46"/>
      <sheetName val="IY_06_0746"/>
      <sheetName val="Assembly_UV-Light_Process__46"/>
      <sheetName val="Assembly_Process_6,7_46"/>
      <sheetName val="Assembly_Process_6,746"/>
      <sheetName val="IY08_09_1046"/>
      <sheetName val="Assembly_Process_8,9,10_46"/>
      <sheetName val="Assembly_Process_8,9,10_(2_)46"/>
      <sheetName val="Back_Part_Moulding_(Soccer_TP46"/>
      <sheetName val="Ecosole_Instructions_46"/>
      <sheetName val="Sockliner_Instructions46"/>
      <sheetName val="Sock_Liner_Spec_46"/>
      <sheetName val="_(6,7)46"/>
      <sheetName val="Skiving_Instruction_(1)46"/>
      <sheetName val="Spliting_Instructions46"/>
      <sheetName val="Tapering_Instructions46"/>
      <sheetName val="Marking_Location_(1)46"/>
      <sheetName val="Marking_Location_(2)46"/>
      <sheetName val="Trim_&amp;_Edge-painting46"/>
      <sheetName val="Reinforcement_Placement46"/>
      <sheetName val="Folding_Location46"/>
      <sheetName val="Pre-Buffing_Specification46"/>
      <sheetName val="Stitching_Instructions_(4)46"/>
      <sheetName val="Upper_Laser_Process-_Spec_46"/>
      <sheetName val="Upper_Laser_Process-Spec_(2)_46"/>
      <sheetName val="Upper_Laser_Process-Spec__(3)46"/>
      <sheetName val="Sockliner__Process46"/>
      <sheetName val="Outsole_Color_Schedule46"/>
      <sheetName val="Outsole_Preform_Specification83"/>
      <sheetName val="Outsole_Pressing_Process_46"/>
      <sheetName val="PU_CSS_CONFIRMATION46"/>
      <sheetName val="PU_CSS_Schedules46"/>
      <sheetName val="PU_Midsole_Spec_I46"/>
      <sheetName val="Stock_Fitting_Process_(8)46"/>
      <sheetName val="Stock_Fitting_Process_46"/>
      <sheetName val="Stock_Fitting_Process46"/>
      <sheetName val="Stock_Fitting_Process_(2)46"/>
      <sheetName val="Stock_Fitting_Process_(3)46"/>
      <sheetName val="Stockfit_BPFC46"/>
      <sheetName val="Assembling_Process46"/>
      <sheetName val="Assembling_Process_(2)46"/>
      <sheetName val="Assembly_BPFC46"/>
      <sheetName val="Production_Checklist46"/>
      <sheetName val="Sockliner_Specification46"/>
      <sheetName val="Upper_Measurement_Spec_46"/>
      <sheetName val="索引_(1)46"/>
      <sheetName val="沖孔規格說明_(2)46"/>
      <sheetName val="_削薄處指示說明46"/>
      <sheetName val="_削薄處指示說明_(2)46"/>
      <sheetName val="_削薄處指示說明_(3)46"/>
      <sheetName val="_削薄處指示說明_(4)46"/>
      <sheetName val="_削薄處指示說明_(5)46"/>
      <sheetName val="劃線印刷指示說明_(2)46"/>
      <sheetName val="劃線印刷指示說明_(3)46"/>
      <sheetName val="折邊指示說明_46"/>
      <sheetName val="針車流程_(2)46"/>
      <sheetName val="針車流程_(3)46"/>
      <sheetName val="針車流程_(4)46"/>
      <sheetName val="針車流程_(5)46"/>
      <sheetName val="針車流程_(6)46"/>
      <sheetName val="_鞋面印刷作業流程46"/>
      <sheetName val="_鞋面高週波作業流程_(2)46"/>
      <sheetName val="__鞋墊作業流程46"/>
      <sheetName val="Cover_313845-102((259_)_(2)46"/>
      <sheetName val="Index_(1)46"/>
      <sheetName val="Logo_Specification_(2)46"/>
      <sheetName val="Screen_Printing_(4)46"/>
      <sheetName val="Upper_HF_Welding_Process(5)46"/>
      <sheetName val="Index_(3)46"/>
      <sheetName val="Bottom_Component_Process_Spec46"/>
      <sheetName val="Stock_Fitting_Process_(4)46"/>
      <sheetName val="Stock_Fitting_Process_(5)46"/>
      <sheetName val="Stockfit_BPFC_(2)46"/>
      <sheetName val="Assembling_Process_(3)46"/>
      <sheetName val="Assembly_BPFC_(2)46"/>
      <sheetName val="Sockliner_Sublimation_Process46"/>
      <sheetName val="Cutting_D)e_(1)46"/>
      <sheetName val="Cutting_D)e_(2)46"/>
      <sheetName val="Cutting_D)e_(3)46"/>
      <sheetName val="Stitching_Instructio_s_(3)46"/>
      <sheetName val="output_per_jam46"/>
      <sheetName val="data_Productivity46"/>
      <sheetName val="MLT_46"/>
      <sheetName val="daily_BEP46"/>
      <sheetName val="178049A_XLS46"/>
      <sheetName val="LB_CUTTING_KUROBE46"/>
      <sheetName val="Cutting(3)_3_1746"/>
      <sheetName val="Cutting(5)_3_1346"/>
      <sheetName val="Cutting(6)3_1746"/>
      <sheetName val="Molding_Piece_Schedule46"/>
      <sheetName val="Perf_Specification_(1)46"/>
      <sheetName val="Perf_Specification_(2)46"/>
      <sheetName val="Skiving_Instruction_(3)46"/>
      <sheetName val="Skiving_Instruction_(4)46"/>
      <sheetName val="Skiving_Instruction_(5)46"/>
      <sheetName val="Tapering_Instructions_3_1346"/>
      <sheetName val="Marking_Location_(3)46"/>
      <sheetName val="Triming_edge_Instructions46"/>
      <sheetName val="Reinforcement_Placement_(1)46"/>
      <sheetName val="Reinforcement_Placement_(2)46"/>
      <sheetName val="Reinforcement_Placement_(2)2_56"/>
      <sheetName val="Reinforcement_Placement_(3)46"/>
      <sheetName val="Computer_Stitching_Schedule46"/>
      <sheetName val="Stitching_Overview_Sketch46"/>
      <sheetName val="Stitching_Instructions_(5)46"/>
      <sheetName val="Stitching_Instructions_(6)46"/>
      <sheetName val="Stitching_Instructions_(6)_3_56"/>
      <sheetName val="Stitching_Instructions_(7)46"/>
      <sheetName val="Upper_Injected_Compon_Pro__(146"/>
      <sheetName val="Upper_Injected_Compon_Pro__(246"/>
      <sheetName val="Upper_HF__Printing_Welding(1)46"/>
      <sheetName val="Upper_HF_Printing_Welding(2)46"/>
      <sheetName val="Upper_HF_Welding_Process_(3)46"/>
      <sheetName val="Upper_HF_Welding_Process_(4)46"/>
      <sheetName val="Upper_HF_Printing_Welding_(5)46"/>
      <sheetName val="Upper_HF_Welding_Process_(6)46"/>
      <sheetName val="CMP_PHYLON_CSS_CONFIRMATION46"/>
      <sheetName val="Phylon_Midsole_Spec_46"/>
      <sheetName val="Stock_Fitting_Process(3)46"/>
      <sheetName val="Stock_Fitting_Process_(6)46"/>
      <sheetName val="Stock_Fitting_Process_(7)46"/>
      <sheetName val="Upper_Weight_Control46"/>
      <sheetName val="Blank_Form46"/>
      <sheetName val="Raw_Data_Sheet46"/>
      <sheetName val="SPRAY_(A_MX_PLUS)19"/>
      <sheetName val="BOLD_SISTER-STRONG_SISTER_-TO20"/>
      <sheetName val="SHOX_NAVINA_,_SHOX_REVEAL19"/>
      <sheetName val="MODEL_SHOX_TURBO_OZ_(PS+TD)19"/>
      <sheetName val="Spray_Tower_Machine18"/>
      <sheetName val="Sheet1_(2)18"/>
      <sheetName val="LOB_Auto_CS_9018"/>
      <sheetName val="LB_(80)18"/>
      <sheetName val="TABLE_OF_CONTENTS18"/>
      <sheetName val="Dispenser_Ruang_Classic18"/>
      <sheetName val="Stock_Fitting_@_x005f_x001b__x005f_x000c_26"/>
      <sheetName val="SPM_(Cutting&amp;Pre)18"/>
      <sheetName val="Stock_Fitting_@_x005f_x001b__x005f_x000c_27"/>
      <sheetName val="5_수정데이터통합18"/>
      <sheetName val="SHOX_REMID_II18"/>
      <sheetName val="PU_18"/>
      <sheetName val="3_I-Prefit_Stitching18"/>
      <sheetName val="assmb_120"/>
      <sheetName val="assmb_220"/>
      <sheetName val="assmb_320"/>
      <sheetName val="assmb_420"/>
      <sheetName val="assmb_520"/>
      <sheetName val="assmb_620"/>
      <sheetName val="assmb_720"/>
      <sheetName val="Cutting_Dies_18"/>
      <sheetName val="Culture_of_Empowerment18"/>
      <sheetName val="A_TERRA18"/>
      <sheetName val="Cover_(2)18"/>
      <sheetName val="_Cutting(1)_18"/>
      <sheetName val="_Cutting__(2)18"/>
      <sheetName val="_Cutting__(3)18"/>
      <sheetName val="_Cutting__(4)18"/>
      <sheetName val="_Cutting__(5)18"/>
      <sheetName val="Reinf_Placement_(2)18"/>
      <sheetName val="Skiving_Instructions_(2)18"/>
      <sheetName val="Skiving_Instruction318"/>
      <sheetName val="Pre-Buffing_(2)18"/>
      <sheetName val="Tongue_Label18"/>
      <sheetName val="Stitching_Instructions(1)18"/>
      <sheetName val="Stitching_Instructions(2)18"/>
      <sheetName val="Stitching_Instructions(3)18"/>
      <sheetName val="Stitching_Instructions(4)18"/>
      <sheetName val="Stitching_Instructions(5)18"/>
      <sheetName val="Stitching_Instructions(6)18"/>
      <sheetName val="H_F__Welding_Proc18"/>
      <sheetName val="TPU_CLEANING&amp;SCREEN_PRINT_18"/>
      <sheetName val="Stitching_Instruction__(2)18"/>
      <sheetName val="Skiving_Instructions_18"/>
      <sheetName val="Key_Manufacturing_Details_(1)18"/>
      <sheetName val="월별_부하운영_계획__(3)18"/>
      <sheetName val="Upper_Measureme18"/>
      <sheetName val="Stitching_(G-Flux)18"/>
      <sheetName val="Stitching_(GD-Runner)18"/>
      <sheetName val="FA-HO11_Feb_201018"/>
      <sheetName val="Form_PDCA_Single_Project_-_IA18"/>
      <sheetName val="2_대외공문18"/>
      <sheetName val="Material_name18"/>
      <sheetName val="Mold_Efficiency_Form18"/>
      <sheetName val="Cover_47"/>
      <sheetName val="Sheet1_47"/>
      <sheetName val="Index_47"/>
      <sheetName val="Spec1_47"/>
      <sheetName val="Spec__94"/>
      <sheetName val="Spec__95"/>
      <sheetName val="Spec_48"/>
      <sheetName val="Spec_647"/>
      <sheetName val="Spec7_47"/>
      <sheetName val="Spec8_47"/>
      <sheetName val="cutting___47"/>
      <sheetName val="Punch_Specification__47"/>
      <sheetName val="Logo_Specification47"/>
      <sheetName val="Strap_Specification47"/>
      <sheetName val="Part_&amp;_Group_Specification47"/>
      <sheetName val="Reinf_Placement47"/>
      <sheetName val="Skiving_instructions47"/>
      <sheetName val="Marking_locations47"/>
      <sheetName val="Folding_Locations47"/>
      <sheetName val="Stitching_Over_View47"/>
      <sheetName val="stitching_instructions_47"/>
      <sheetName val="Computer_stitched47"/>
      <sheetName val="Upper_Molded_Component_Spec__47"/>
      <sheetName val="Upper_Molded_Component_Proc__47"/>
      <sheetName val="Upper_Measurement_Spec47"/>
      <sheetName val="PFC_Revice47"/>
      <sheetName val="Cutting_Die_(1)47"/>
      <sheetName val="Cutting_Die_(2)47"/>
      <sheetName val="Cutting_Die_(3)47"/>
      <sheetName val="Perf_Specification47"/>
      <sheetName val="Marking_Location47"/>
      <sheetName val="Marking_Locations_(2)47"/>
      <sheetName val="Skiving_Instruction_(2)47"/>
      <sheetName val="Spliting_47"/>
      <sheetName val="Reinf__Placement_(1)47"/>
      <sheetName val="Reinf__Placement_(2)47"/>
      <sheetName val="Stitching_Instructions_(1)47"/>
      <sheetName val="Stitching_Instructions_(2)47"/>
      <sheetName val="Stitching_Instructions_(3)47"/>
      <sheetName val="Computer_Stitching_47"/>
      <sheetName val="Upper_Molded_Component_Spec_47"/>
      <sheetName val="PHYLON_CSS47"/>
      <sheetName val="PHYLON_CSS_SCHEDULES47"/>
      <sheetName val="PHYLON_CSS_CONFIRMATION47"/>
      <sheetName val="Outsole_Color_47"/>
      <sheetName val="Outsole_Preform_Specification84"/>
      <sheetName val="Outsole_Pressing_Process47"/>
      <sheetName val="Outsole_Degreasing_Process_47"/>
      <sheetName val="Stock_Fiting_UV-Light_Proce_47"/>
      <sheetName val="Stock_Fiting_Process_47"/>
      <sheetName val="IY_06_0747"/>
      <sheetName val="Assembly_UV-Light_Process__47"/>
      <sheetName val="Assembly_Process_6,7_47"/>
      <sheetName val="Assembly_Process_6,747"/>
      <sheetName val="IY08_09_1047"/>
      <sheetName val="Assembly_Process_8,9,10_47"/>
      <sheetName val="Assembly_Process_8,9,10_(2_)47"/>
      <sheetName val="Back_Part_Moulding_(Soccer_TP47"/>
      <sheetName val="Ecosole_Instructions_47"/>
      <sheetName val="Sockliner_Instructions47"/>
      <sheetName val="Sock_Liner_Spec_47"/>
      <sheetName val="_(6,7)47"/>
      <sheetName val="Skiving_Instruction_(1)47"/>
      <sheetName val="Spliting_Instructions47"/>
      <sheetName val="Tapering_Instructions47"/>
      <sheetName val="Marking_Location_(1)47"/>
      <sheetName val="Marking_Location_(2)47"/>
      <sheetName val="Trim_&amp;_Edge-painting47"/>
      <sheetName val="Reinforcement_Placement47"/>
      <sheetName val="Folding_Location47"/>
      <sheetName val="Pre-Buffing_Specification47"/>
      <sheetName val="Stitching_Instructions_(4)47"/>
      <sheetName val="Upper_Laser_Process-_Spec_47"/>
      <sheetName val="Upper_Laser_Process-Spec_(2)_47"/>
      <sheetName val="Upper_Laser_Process-Spec__(3)47"/>
      <sheetName val="Sockliner__Process47"/>
      <sheetName val="Outsole_Color_Schedule47"/>
      <sheetName val="Outsole_Preform_Specification85"/>
      <sheetName val="Outsole_Pressing_Process_47"/>
      <sheetName val="PU_CSS_CONFIRMATION47"/>
      <sheetName val="PU_CSS_Schedules47"/>
      <sheetName val="PU_Midsole_Spec_I47"/>
      <sheetName val="Stock_Fitting_Process_(8)47"/>
      <sheetName val="Stock_Fitting_Process_47"/>
      <sheetName val="Stock_Fitting_Process47"/>
      <sheetName val="Stock_Fitting_Process_(2)47"/>
      <sheetName val="Stock_Fitting_Process_(3)47"/>
      <sheetName val="Stockfit_BPFC47"/>
      <sheetName val="Assembling_Process47"/>
      <sheetName val="Assembling_Process_(2)47"/>
      <sheetName val="Assembly_BPFC47"/>
      <sheetName val="Production_Checklist47"/>
      <sheetName val="Sockliner_Specification47"/>
      <sheetName val="Upper_Measurement_Spec_47"/>
      <sheetName val="索引_(1)47"/>
      <sheetName val="沖孔規格說明_(2)47"/>
      <sheetName val="_削薄處指示說明47"/>
      <sheetName val="_削薄處指示說明_(2)47"/>
      <sheetName val="_削薄處指示說明_(3)47"/>
      <sheetName val="_削薄處指示說明_(4)47"/>
      <sheetName val="_削薄處指示說明_(5)47"/>
      <sheetName val="劃線印刷指示說明_(2)47"/>
      <sheetName val="劃線印刷指示說明_(3)47"/>
      <sheetName val="折邊指示說明_47"/>
      <sheetName val="針車流程_(2)47"/>
      <sheetName val="針車流程_(3)47"/>
      <sheetName val="針車流程_(4)47"/>
      <sheetName val="針車流程_(5)47"/>
      <sheetName val="針車流程_(6)47"/>
      <sheetName val="_鞋面印刷作業流程47"/>
      <sheetName val="_鞋面高週波作業流程_(2)47"/>
      <sheetName val="__鞋墊作業流程47"/>
      <sheetName val="Cover_313845-102((259_)_(2)47"/>
      <sheetName val="Index_(1)47"/>
      <sheetName val="Logo_Specification_(2)47"/>
      <sheetName val="Screen_Printing_(4)47"/>
      <sheetName val="Upper_HF_Welding_Process(5)47"/>
      <sheetName val="Index_(3)47"/>
      <sheetName val="Bottom_Component_Process_Spec47"/>
      <sheetName val="Stock_Fitting_Process_(4)47"/>
      <sheetName val="Stock_Fitting_Process_(5)47"/>
      <sheetName val="Stockfit_BPFC_(2)47"/>
      <sheetName val="Assembling_Process_(3)47"/>
      <sheetName val="Assembly_BPFC_(2)47"/>
      <sheetName val="Sockliner_Sublimation_Process47"/>
      <sheetName val="Cutting_D)e_(1)47"/>
      <sheetName val="Cutting_D)e_(2)47"/>
      <sheetName val="Cutting_D)e_(3)47"/>
      <sheetName val="Stitching_Instructio_s_(3)47"/>
      <sheetName val="output_per_jam47"/>
      <sheetName val="data_Productivity47"/>
      <sheetName val="MLT_47"/>
      <sheetName val="daily_BEP47"/>
      <sheetName val="178049A_XLS47"/>
      <sheetName val="LB_CUTTING_KUROBE47"/>
      <sheetName val="Cutting(3)_3_1747"/>
      <sheetName val="Cutting(5)_3_1347"/>
      <sheetName val="Cutting(6)3_1747"/>
      <sheetName val="Molding_Piece_Schedule47"/>
      <sheetName val="Perf_Specification_(1)47"/>
      <sheetName val="Perf_Specification_(2)47"/>
      <sheetName val="Skiving_Instruction_(3)47"/>
      <sheetName val="Skiving_Instruction_(4)47"/>
      <sheetName val="Skiving_Instruction_(5)47"/>
      <sheetName val="Tapering_Instructions_3_1347"/>
      <sheetName val="Marking_Location_(3)47"/>
      <sheetName val="Triming_edge_Instructions47"/>
      <sheetName val="Reinforcement_Placement_(1)47"/>
      <sheetName val="Reinforcement_Placement_(2)47"/>
      <sheetName val="Reinforcement_Placement_(2)2_57"/>
      <sheetName val="Reinforcement_Placement_(3)47"/>
      <sheetName val="Computer_Stitching_Schedule47"/>
      <sheetName val="Stitching_Overview_Sketch47"/>
      <sheetName val="Stitching_Instructions_(5)47"/>
      <sheetName val="Stitching_Instructions_(6)47"/>
      <sheetName val="Stitching_Instructions_(6)_3_57"/>
      <sheetName val="Stitching_Instructions_(7)47"/>
      <sheetName val="Upper_Injected_Compon_Pro__(147"/>
      <sheetName val="Upper_Injected_Compon_Pro__(247"/>
      <sheetName val="Upper_HF__Printing_Welding(1)47"/>
      <sheetName val="Upper_HF_Printing_Welding(2)47"/>
      <sheetName val="Upper_HF_Welding_Process_(3)47"/>
      <sheetName val="Upper_HF_Welding_Process_(4)47"/>
      <sheetName val="Upper_HF_Printing_Welding_(5)47"/>
      <sheetName val="Upper_HF_Welding_Process_(6)47"/>
      <sheetName val="CMP_PHYLON_CSS_CONFIRMATION47"/>
      <sheetName val="Phylon_Midsole_Spec_47"/>
      <sheetName val="Stock_Fitting_Process(3)47"/>
      <sheetName val="Stock_Fitting_Process_(6)47"/>
      <sheetName val="Stock_Fitting_Process_(7)47"/>
      <sheetName val="Upper_Weight_Control47"/>
      <sheetName val="Blank_Form47"/>
      <sheetName val="Raw_Data_Sheet47"/>
      <sheetName val="SPRAY_(A_MX_PLUS)20"/>
      <sheetName val="BOLD_SISTER-STRONG_SISTER_-TO21"/>
      <sheetName val="SHOX_NAVINA_,_SHOX_REVEAL20"/>
      <sheetName val="MODEL_SHOX_TURBO_OZ_(PS+TD)20"/>
      <sheetName val="Spray_Tower_Machine19"/>
      <sheetName val="Sheet1_(2)19"/>
      <sheetName val="LOB_Auto_CS_9019"/>
      <sheetName val="LB_(80)19"/>
      <sheetName val="TABLE_OF_CONTENTS19"/>
      <sheetName val="Dispenser_Ruang_Classic19"/>
      <sheetName val="Stock_Fitting_@_x005f_x001b__x005f_x000c_28"/>
      <sheetName val="SPM_(Cutting&amp;Pre)19"/>
      <sheetName val="Stock_Fitting_@_x005f_x001b__x005f_x000c_29"/>
      <sheetName val="5_수정데이터통합19"/>
      <sheetName val="SHOX_REMID_II19"/>
      <sheetName val="PU_19"/>
      <sheetName val="3_I-Prefit_Stitching19"/>
      <sheetName val="assmb_121"/>
      <sheetName val="assmb_221"/>
      <sheetName val="assmb_321"/>
      <sheetName val="assmb_421"/>
      <sheetName val="assmb_521"/>
      <sheetName val="assmb_621"/>
      <sheetName val="assmb_721"/>
      <sheetName val="Cutting_Dies_19"/>
      <sheetName val="Culture_of_Empowerment19"/>
      <sheetName val="A_TERRA19"/>
      <sheetName val="Cover_(2)19"/>
      <sheetName val="_Cutting(1)_19"/>
      <sheetName val="_Cutting__(2)19"/>
      <sheetName val="_Cutting__(3)19"/>
      <sheetName val="_Cutting__(4)19"/>
      <sheetName val="_Cutting__(5)19"/>
      <sheetName val="Reinf_Placement_(2)19"/>
      <sheetName val="Skiving_Instructions_(2)19"/>
      <sheetName val="Skiving_Instruction319"/>
      <sheetName val="Pre-Buffing_(2)19"/>
      <sheetName val="Tongue_Label19"/>
      <sheetName val="Stitching_Instructions(1)19"/>
      <sheetName val="Stitching_Instructions(2)19"/>
      <sheetName val="Stitching_Instructions(3)19"/>
      <sheetName val="Stitching_Instructions(4)19"/>
      <sheetName val="Stitching_Instructions(5)19"/>
      <sheetName val="Stitching_Instructions(6)19"/>
      <sheetName val="H_F__Welding_Proc19"/>
      <sheetName val="TPU_CLEANING&amp;SCREEN_PRINT_19"/>
      <sheetName val="Stitching_Instruction__(2)19"/>
      <sheetName val="Skiving_Instructions_19"/>
      <sheetName val="Key_Manufacturing_Details_(1)19"/>
      <sheetName val="월별_부하운영_계획__(3)19"/>
      <sheetName val="Upper_Measureme19"/>
      <sheetName val="Stitching_(G-Flux)19"/>
      <sheetName val="Stitching_(GD-Runner)19"/>
      <sheetName val="FA-HO11_Feb_201019"/>
      <sheetName val="Form_PDCA_Single_Project_-_IA19"/>
      <sheetName val="2_대외공문19"/>
      <sheetName val="Material_name19"/>
      <sheetName val="Mold_Efficiency_Form19"/>
      <sheetName val="Cover_48"/>
      <sheetName val="Sheet1_48"/>
      <sheetName val="Index_48"/>
      <sheetName val="Spec1_48"/>
      <sheetName val="Spec__96"/>
      <sheetName val="Spec__97"/>
      <sheetName val="Spec_49"/>
      <sheetName val="Spec_648"/>
      <sheetName val="Spec7_48"/>
      <sheetName val="Spec8_48"/>
      <sheetName val="cutting___48"/>
      <sheetName val="Punch_Specification__48"/>
      <sheetName val="Logo_Specification48"/>
      <sheetName val="Strap_Specification48"/>
      <sheetName val="Part_&amp;_Group_Specification48"/>
      <sheetName val="Reinf_Placement48"/>
      <sheetName val="Skiving_instructions48"/>
      <sheetName val="Marking_locations48"/>
      <sheetName val="Folding_Locations48"/>
      <sheetName val="Stitching_Over_View48"/>
      <sheetName val="stitching_instructions_48"/>
      <sheetName val="Computer_stitched48"/>
      <sheetName val="Upper_Molded_Component_Spec__48"/>
      <sheetName val="Upper_Molded_Component_Proc__48"/>
      <sheetName val="Upper_Measurement_Spec48"/>
      <sheetName val="PFC_Revice48"/>
      <sheetName val="Cutting_Die_(1)48"/>
      <sheetName val="Cutting_Die_(2)48"/>
      <sheetName val="Cutting_Die_(3)48"/>
      <sheetName val="Perf_Specification48"/>
      <sheetName val="Marking_Location48"/>
      <sheetName val="Marking_Locations_(2)48"/>
      <sheetName val="Skiving_Instruction_(2)48"/>
      <sheetName val="Spliting_48"/>
      <sheetName val="Reinf__Placement_(1)48"/>
      <sheetName val="Reinf__Placement_(2)48"/>
      <sheetName val="Stitching_Instructions_(1)48"/>
      <sheetName val="Stitching_Instructions_(2)48"/>
      <sheetName val="Stitching_Instructions_(3)48"/>
      <sheetName val="Computer_Stitching_48"/>
      <sheetName val="Upper_Molded_Component_Spec_48"/>
      <sheetName val="PHYLON_CSS48"/>
      <sheetName val="PHYLON_CSS_SCHEDULES48"/>
      <sheetName val="PHYLON_CSS_CONFIRMATION48"/>
      <sheetName val="Outsole_Color_48"/>
      <sheetName val="Outsole_Preform_Specification86"/>
      <sheetName val="Outsole_Pressing_Process48"/>
      <sheetName val="Outsole_Degreasing_Process_48"/>
      <sheetName val="Stock_Fiting_UV-Light_Proce_48"/>
      <sheetName val="Stock_Fiting_Process_48"/>
      <sheetName val="IY_06_0748"/>
      <sheetName val="Assembly_UV-Light_Process__48"/>
      <sheetName val="Assembly_Process_6,7_48"/>
      <sheetName val="Assembly_Process_6,748"/>
      <sheetName val="IY08_09_1048"/>
      <sheetName val="Assembly_Process_8,9,10_48"/>
      <sheetName val="Assembly_Process_8,9,10_(2_)48"/>
      <sheetName val="Back_Part_Moulding_(Soccer_TP48"/>
      <sheetName val="Ecosole_Instructions_48"/>
      <sheetName val="Sockliner_Instructions48"/>
      <sheetName val="Sock_Liner_Spec_48"/>
      <sheetName val="_(6,7)48"/>
      <sheetName val="Skiving_Instruction_(1)48"/>
      <sheetName val="Spliting_Instructions48"/>
      <sheetName val="Tapering_Instructions48"/>
      <sheetName val="Marking_Location_(1)48"/>
      <sheetName val="Marking_Location_(2)48"/>
      <sheetName val="Trim_&amp;_Edge-painting48"/>
      <sheetName val="Reinforcement_Placement48"/>
      <sheetName val="Folding_Location48"/>
      <sheetName val="Pre-Buffing_Specification48"/>
      <sheetName val="Stitching_Instructions_(4)48"/>
      <sheetName val="Upper_Laser_Process-_Spec_48"/>
      <sheetName val="Upper_Laser_Process-Spec_(2)_48"/>
      <sheetName val="Upper_Laser_Process-Spec__(3)48"/>
      <sheetName val="Sockliner__Process48"/>
      <sheetName val="Outsole_Color_Schedule48"/>
      <sheetName val="Outsole_Preform_Specification87"/>
      <sheetName val="Outsole_Pressing_Process_48"/>
      <sheetName val="PU_CSS_CONFIRMATION48"/>
      <sheetName val="PU_CSS_Schedules48"/>
      <sheetName val="PU_Midsole_Spec_I48"/>
      <sheetName val="Stock_Fitting_Process_(8)48"/>
      <sheetName val="Stock_Fitting_Process_48"/>
      <sheetName val="Stock_Fitting_Process48"/>
      <sheetName val="Stock_Fitting_Process_(2)48"/>
      <sheetName val="Stock_Fitting_Process_(3)48"/>
      <sheetName val="Stockfit_BPFC48"/>
      <sheetName val="Assembling_Process48"/>
      <sheetName val="Assembling_Process_(2)48"/>
      <sheetName val="Assembly_BPFC48"/>
      <sheetName val="Production_Checklist48"/>
      <sheetName val="Sockliner_Specification48"/>
      <sheetName val="Upper_Measurement_Spec_48"/>
      <sheetName val="索引_(1)48"/>
      <sheetName val="沖孔規格說明_(2)48"/>
      <sheetName val="_削薄處指示說明48"/>
      <sheetName val="_削薄處指示說明_(2)48"/>
      <sheetName val="_削薄處指示說明_(3)48"/>
      <sheetName val="_削薄處指示說明_(4)48"/>
      <sheetName val="_削薄處指示說明_(5)48"/>
      <sheetName val="劃線印刷指示說明_(2)48"/>
      <sheetName val="劃線印刷指示說明_(3)48"/>
      <sheetName val="折邊指示說明_48"/>
      <sheetName val="針車流程_(2)48"/>
      <sheetName val="針車流程_(3)48"/>
      <sheetName val="針車流程_(4)48"/>
      <sheetName val="針車流程_(5)48"/>
      <sheetName val="針車流程_(6)48"/>
      <sheetName val="_鞋面印刷作業流程48"/>
      <sheetName val="_鞋面高週波作業流程_(2)48"/>
      <sheetName val="__鞋墊作業流程48"/>
      <sheetName val="Cover_313845-102((259_)_(2)48"/>
      <sheetName val="Index_(1)48"/>
      <sheetName val="Logo_Specification_(2)48"/>
      <sheetName val="Screen_Printing_(4)48"/>
      <sheetName val="Upper_HF_Welding_Process(5)48"/>
      <sheetName val="Index_(3)48"/>
      <sheetName val="Bottom_Component_Process_Spec48"/>
      <sheetName val="Stock_Fitting_Process_(4)48"/>
      <sheetName val="Stock_Fitting_Process_(5)48"/>
      <sheetName val="Stockfit_BPFC_(2)48"/>
      <sheetName val="Assembling_Process_(3)48"/>
      <sheetName val="Assembly_BPFC_(2)48"/>
      <sheetName val="Sockliner_Sublimation_Process48"/>
      <sheetName val="Cutting_D)e_(1)48"/>
      <sheetName val="Cutting_D)e_(2)48"/>
      <sheetName val="Cutting_D)e_(3)48"/>
      <sheetName val="Stitching_Instructio_s_(3)48"/>
      <sheetName val="output_per_jam48"/>
      <sheetName val="data_Productivity48"/>
      <sheetName val="MLT_48"/>
      <sheetName val="daily_BEP48"/>
      <sheetName val="178049A_XLS48"/>
      <sheetName val="LB_CUTTING_KUROBE48"/>
      <sheetName val="Cutting(3)_3_1748"/>
      <sheetName val="Cutting(5)_3_1348"/>
      <sheetName val="Cutting(6)3_1748"/>
      <sheetName val="Molding_Piece_Schedule48"/>
      <sheetName val="Perf_Specification_(1)48"/>
      <sheetName val="Perf_Specification_(2)48"/>
      <sheetName val="Skiving_Instruction_(3)48"/>
      <sheetName val="Skiving_Instruction_(4)48"/>
      <sheetName val="Skiving_Instruction_(5)48"/>
      <sheetName val="Tapering_Instructions_3_1348"/>
      <sheetName val="Marking_Location_(3)48"/>
      <sheetName val="Triming_edge_Instructions48"/>
      <sheetName val="Reinforcement_Placement_(1)48"/>
      <sheetName val="Reinforcement_Placement_(2)48"/>
      <sheetName val="Reinforcement_Placement_(2)2_58"/>
      <sheetName val="Reinforcement_Placement_(3)48"/>
      <sheetName val="Computer_Stitching_Schedule48"/>
      <sheetName val="Stitching_Overview_Sketch48"/>
      <sheetName val="Stitching_Instructions_(5)48"/>
      <sheetName val="Stitching_Instructions_(6)48"/>
      <sheetName val="Stitching_Instructions_(6)_3_58"/>
      <sheetName val="Stitching_Instructions_(7)48"/>
      <sheetName val="Upper_Injected_Compon_Pro__(148"/>
      <sheetName val="Upper_Injected_Compon_Pro__(248"/>
      <sheetName val="Upper_HF__Printing_Welding(1)48"/>
      <sheetName val="Upper_HF_Printing_Welding(2)48"/>
      <sheetName val="Upper_HF_Welding_Process_(3)48"/>
      <sheetName val="Upper_HF_Welding_Process_(4)48"/>
      <sheetName val="Upper_HF_Printing_Welding_(5)48"/>
      <sheetName val="Upper_HF_Welding_Process_(6)48"/>
      <sheetName val="CMP_PHYLON_CSS_CONFIRMATION48"/>
      <sheetName val="Phylon_Midsole_Spec_48"/>
      <sheetName val="Stock_Fitting_Process(3)48"/>
      <sheetName val="Stock_Fitting_Process_(6)48"/>
      <sheetName val="Stock_Fitting_Process_(7)48"/>
      <sheetName val="Upper_Weight_Control48"/>
      <sheetName val="Blank_Form48"/>
      <sheetName val="Raw_Data_Sheet48"/>
      <sheetName val="SPRAY_(A_MX_PLUS)21"/>
      <sheetName val="BOLD_SISTER-STRONG_SISTER_-TO22"/>
      <sheetName val="SHOX_NAVINA_,_SHOX_REVEAL21"/>
      <sheetName val="MODEL_SHOX_TURBO_OZ_(PS+TD)21"/>
      <sheetName val="Spray_Tower_Machine20"/>
      <sheetName val="Sheet1_(2)20"/>
      <sheetName val="LOB_Auto_CS_9020"/>
      <sheetName val="LB_(80)20"/>
      <sheetName val="TABLE_OF_CONTENTS20"/>
      <sheetName val="Dispenser_Ruang_Classic20"/>
      <sheetName val="Stock_Fitting_@_x005f_x001b__x005f_x000c_30"/>
      <sheetName val="SPM_(Cutting&amp;Pre)20"/>
      <sheetName val="Stock_Fitting_@_x005f_x001b__x005f_x000c_31"/>
      <sheetName val="5_수정데이터통합20"/>
      <sheetName val="SHOX_REMID_II20"/>
      <sheetName val="PU_20"/>
      <sheetName val="3_I-Prefit_Stitching20"/>
      <sheetName val="assmb_122"/>
      <sheetName val="assmb_222"/>
      <sheetName val="assmb_322"/>
      <sheetName val="assmb_422"/>
      <sheetName val="assmb_522"/>
      <sheetName val="assmb_622"/>
      <sheetName val="assmb_722"/>
      <sheetName val="Cutting_Dies_20"/>
      <sheetName val="Culture_of_Empowerment20"/>
      <sheetName val="A_TERRA20"/>
      <sheetName val="Cover_(2)20"/>
      <sheetName val="_Cutting(1)_20"/>
      <sheetName val="_Cutting__(2)20"/>
      <sheetName val="_Cutting__(3)20"/>
      <sheetName val="_Cutting__(4)20"/>
      <sheetName val="_Cutting__(5)20"/>
      <sheetName val="Reinf_Placement_(2)20"/>
      <sheetName val="Skiving_Instructions_(2)20"/>
      <sheetName val="Skiving_Instruction320"/>
      <sheetName val="Pre-Buffing_(2)20"/>
      <sheetName val="Tongue_Label20"/>
      <sheetName val="Stitching_Instructions(1)20"/>
      <sheetName val="Stitching_Instructions(2)20"/>
      <sheetName val="Stitching_Instructions(3)20"/>
      <sheetName val="Stitching_Instructions(4)20"/>
      <sheetName val="Stitching_Instructions(5)20"/>
      <sheetName val="Stitching_Instructions(6)20"/>
      <sheetName val="H_F__Welding_Proc20"/>
      <sheetName val="TPU_CLEANING&amp;SCREEN_PRINT_20"/>
      <sheetName val="Stitching_Instruction__(2)20"/>
      <sheetName val="Skiving_Instructions_20"/>
      <sheetName val="Key_Manufacturing_Details_(1)20"/>
      <sheetName val="월별_부하운영_계획__(3)20"/>
      <sheetName val="Upper_Measureme20"/>
      <sheetName val="Stitching_(G-Flux)20"/>
      <sheetName val="Stitching_(GD-Runner)20"/>
      <sheetName val="FA-HO11_Feb_201020"/>
      <sheetName val="Form_PDCA_Single_Project_-_IA20"/>
      <sheetName val="2_대외공문20"/>
      <sheetName val="Material_name20"/>
      <sheetName val="Mold_Efficiency_Form20"/>
      <sheetName val="Stock_Fitting_@_x001b__x000c__x"/>
      <sheetName val="Stock_Fitting_@_x001b__x000c_"/>
      <sheetName val="Stock_Fitting_@_x001b__x000c__7"/>
      <sheetName val="Stock_Fitting_@_x001b__x000c_7"/>
      <sheetName val="Stock_Fitting_@_x001b__x000c__1"/>
      <sheetName val="Stock_Fitting_@_x001b__x000c_1"/>
      <sheetName val="Stock_Fitting_@_x001b__x000c__4"/>
      <sheetName val="Stock_Fitting_@_x001b__x000c_4"/>
      <sheetName val="Stock_Fitting_@_x001b__x000c__2"/>
      <sheetName val="Stock_Fitting_@_x001b__x000c_2"/>
      <sheetName val="Stock_Fitting_@_x001b__x000c__3"/>
      <sheetName val="Stock_Fitting_@_x001b__x000c_3"/>
      <sheetName val="Stock_Fitting_@_x001b__x000c__5"/>
      <sheetName val="Stock_Fitting_@_x001b__x000c_5"/>
      <sheetName val="Stock_Fitting_@_x001b__x000c__6"/>
      <sheetName val="Stock_Fitting_@_x001b__x000c_6"/>
      <sheetName val="Stock_Fitting_@_x001b__x000c_16"/>
      <sheetName val="Stock_Fitting_@_x001b__x000c_17"/>
      <sheetName val="Stock_Fitting_@_x001b__x000c__8"/>
      <sheetName val="Stock_Fitting_@_x001b__x000c_8"/>
      <sheetName val="Stock_Fitting_@_x001b__x000c__9"/>
      <sheetName val="Stock_Fitting_@_x001b__x000c_9"/>
      <sheetName val="Stock_Fitting_@_x001b__x000c_10"/>
      <sheetName val="Stock_Fitting_@_x001b__x000c_11"/>
      <sheetName val="Stock_Fitting_@_x001b__x000c_12"/>
      <sheetName val="Stock_Fitting_@_x001b__x000c_13"/>
      <sheetName val="Stock_Fitting_@_x001b__x000c_14"/>
      <sheetName val="Stock_Fitting_@_x001b__x000c_15"/>
      <sheetName val="Stock_Fitting_@_x001b__x000c_18"/>
      <sheetName val="Stock_Fitting_@_x001b__x000c_19"/>
      <sheetName val="Stock_Fitting_@_x001b__x000c_22"/>
      <sheetName val="Stock_Fitting_@_x001b__x000c_23"/>
      <sheetName val="Stock_Fitting_@_x001b__x000c_20"/>
      <sheetName val="Stock_Fitting_@_x001b__x000c_21"/>
      <sheetName val="Stock_Fitting_@_x001b__x000c_24"/>
      <sheetName val="Stock_Fitting_@_x001b__x000c_25"/>
      <sheetName val="Stock_Fitting_@_x001b__x000c_26"/>
      <sheetName val="Stock_Fitting_@_x001b__x000c_27"/>
      <sheetName val="Stock_Fitting_@_x001b__x000c_28"/>
      <sheetName val="Stock_Fitting_@_x001b__x000c_29"/>
      <sheetName val="Stock_Fitting_@_x001b__x000c_30"/>
      <sheetName val="Stock_Fitting_@_x001b__x000c_31"/>
      <sheetName val="MESIN"/>
      <sheetName val="Stock_Fitting_@_x"/>
      <sheetName val="Vietnam_Report"/>
      <sheetName val="Flow_Chart_"/>
      <sheetName val="VAMP"/>
      <sheetName val="Cover_49"/>
      <sheetName val="Sheet1_49"/>
      <sheetName val="Index_49"/>
      <sheetName val="Spec1_49"/>
      <sheetName val="Spec__98"/>
      <sheetName val="Spec__99"/>
      <sheetName val="Spec_50"/>
      <sheetName val="Spec_649"/>
      <sheetName val="Spec7_49"/>
      <sheetName val="Spec8_49"/>
      <sheetName val="cutting___49"/>
      <sheetName val="Punch_Specification__49"/>
      <sheetName val="Logo_Specification49"/>
      <sheetName val="Strap_Specification49"/>
      <sheetName val="Part_&amp;_Group_Specification49"/>
      <sheetName val="Reinf_Placement49"/>
      <sheetName val="Skiving_instructions49"/>
      <sheetName val="Marking_locations49"/>
      <sheetName val="Folding_Locations49"/>
      <sheetName val="Stitching_Over_View49"/>
      <sheetName val="stitching_instructions_49"/>
      <sheetName val="Computer_stitched49"/>
      <sheetName val="Upper_Molded_Component_Spec__49"/>
      <sheetName val="Upper_Molded_Component_Proc__49"/>
      <sheetName val="Upper_Measurement_Spec49"/>
      <sheetName val="PFC_Revice49"/>
      <sheetName val="Cutting_Die_(1)49"/>
      <sheetName val="Cutting_Die_(2)49"/>
      <sheetName val="Cutting_Die_(3)49"/>
      <sheetName val="Perf_Specification49"/>
      <sheetName val="Marking_Location49"/>
      <sheetName val="Marking_Locations_(2)49"/>
      <sheetName val="Skiving_Instruction_(2)49"/>
      <sheetName val="Spliting_49"/>
      <sheetName val="Reinf__Placement_(1)49"/>
      <sheetName val="Reinf__Placement_(2)49"/>
      <sheetName val="Stitching_Instructions_(1)49"/>
      <sheetName val="Stitching_Instructions_(2)49"/>
      <sheetName val="Stitching_Instructions_(3)49"/>
      <sheetName val="Computer_Stitching_49"/>
      <sheetName val="Upper_Molded_Component_Spec_49"/>
      <sheetName val="PHYLON_CSS49"/>
      <sheetName val="PHYLON_CSS_SCHEDULES49"/>
      <sheetName val="PHYLON_CSS_CONFIRMATION49"/>
      <sheetName val="Outsole_Color_49"/>
      <sheetName val="Outsole_Preform_Specification88"/>
      <sheetName val="Outsole_Pressing_Process49"/>
      <sheetName val="Outsole_Degreasing_Process_49"/>
      <sheetName val="Stock_Fiting_UV-Light_Proce_49"/>
      <sheetName val="Stock_Fiting_Process_49"/>
      <sheetName val="IY_06_0749"/>
      <sheetName val="Assembly_UV-Light_Process__49"/>
      <sheetName val="Assembly_Process_6,7_49"/>
      <sheetName val="Assembly_Process_6,749"/>
      <sheetName val="IY08_09_1049"/>
      <sheetName val="Assembly_Process_8,9,10_49"/>
      <sheetName val="Assembly_Process_8,9,10_(2_)49"/>
      <sheetName val="Back_Part_Moulding_(Soccer_TP49"/>
      <sheetName val="Ecosole_Instructions_49"/>
      <sheetName val="Sockliner_Instructions49"/>
      <sheetName val="Sock_Liner_Spec_49"/>
      <sheetName val="_(6,7)49"/>
      <sheetName val="Skiving_Instruction_(1)49"/>
      <sheetName val="Spliting_Instructions49"/>
      <sheetName val="Tapering_Instructions49"/>
      <sheetName val="Marking_Location_(1)49"/>
      <sheetName val="Marking_Location_(2)49"/>
      <sheetName val="Trim_&amp;_Edge-painting49"/>
      <sheetName val="Reinforcement_Placement49"/>
      <sheetName val="Folding_Location49"/>
      <sheetName val="Pre-Buffing_Specification49"/>
      <sheetName val="Stitching_Instructions_(4)49"/>
      <sheetName val="Upper_Laser_Process-_Spec_49"/>
      <sheetName val="Upper_Laser_Process-Spec_(2)_49"/>
      <sheetName val="Upper_Laser_Process-Spec__(3)49"/>
      <sheetName val="Sockliner__Process49"/>
      <sheetName val="Outsole_Color_Schedule49"/>
      <sheetName val="Outsole_Preform_Specification89"/>
      <sheetName val="Outsole_Pressing_Process_49"/>
      <sheetName val="PU_CSS_CONFIRMATION49"/>
      <sheetName val="PU_CSS_Schedules49"/>
      <sheetName val="PU_Midsole_Spec_I49"/>
      <sheetName val="Stock_Fitting_Process_(8)49"/>
      <sheetName val="Stock_Fitting_Process_49"/>
      <sheetName val="Stock_Fitting_Process49"/>
      <sheetName val="Stock_Fitting_Process_(2)49"/>
      <sheetName val="Stock_Fitting_Process_(3)49"/>
      <sheetName val="Stockfit_BPFC49"/>
      <sheetName val="Assembling_Process49"/>
      <sheetName val="Assembling_Process_(2)49"/>
      <sheetName val="Assembly_BPFC49"/>
      <sheetName val="Production_Checklist49"/>
      <sheetName val="Sockliner_Specification49"/>
      <sheetName val="Upper_Measurement_Spec_49"/>
      <sheetName val="索引_(1)49"/>
      <sheetName val="沖孔規格說明_(2)49"/>
      <sheetName val="_削薄處指示說明49"/>
      <sheetName val="_削薄處指示說明_(2)49"/>
      <sheetName val="_削薄處指示說明_(3)49"/>
      <sheetName val="_削薄處指示說明_(4)49"/>
      <sheetName val="_削薄處指示說明_(5)49"/>
      <sheetName val="劃線印刷指示說明_(2)49"/>
      <sheetName val="劃線印刷指示說明_(3)49"/>
      <sheetName val="折邊指示說明_49"/>
      <sheetName val="針車流程_(2)49"/>
      <sheetName val="針車流程_(3)49"/>
      <sheetName val="針車流程_(4)49"/>
      <sheetName val="針車流程_(5)49"/>
      <sheetName val="針車流程_(6)49"/>
      <sheetName val="_鞋面印刷作業流程49"/>
      <sheetName val="_鞋面高週波作業流程_(2)49"/>
      <sheetName val="__鞋墊作業流程49"/>
      <sheetName val="Cover_313845-102((259_)_(2)49"/>
      <sheetName val="Index_(1)49"/>
      <sheetName val="Logo_Specification_(2)49"/>
      <sheetName val="Screen_Printing_(4)49"/>
      <sheetName val="Upper_HF_Welding_Process(5)49"/>
      <sheetName val="Index_(3)49"/>
      <sheetName val="Bottom_Component_Process_Spec49"/>
      <sheetName val="Stock_Fitting_Process_(4)49"/>
      <sheetName val="Stock_Fitting_Process_(5)49"/>
      <sheetName val="Stockfit_BPFC_(2)49"/>
      <sheetName val="Assembling_Process_(3)49"/>
      <sheetName val="Assembly_BPFC_(2)49"/>
      <sheetName val="Sockliner_Sublimation_Process49"/>
      <sheetName val="Cutting_D)e_(1)49"/>
      <sheetName val="Cutting_D)e_(2)49"/>
      <sheetName val="Cutting_D)e_(3)49"/>
      <sheetName val="Stitching_Instructio_s_(3)49"/>
      <sheetName val="LOB_Auto_CS_9021"/>
      <sheetName val="SPRAY_(A_MX_PLUS)22"/>
      <sheetName val="BOLD_SISTER-STRONG_SISTER_-TO23"/>
      <sheetName val="SHOX_NAVINA_,_SHOX_REVEAL22"/>
      <sheetName val="MODEL_SHOX_TURBO_OZ_(PS+TD)22"/>
      <sheetName val="Spray_Tower_Machine21"/>
      <sheetName val="Sheet1_(2)21"/>
      <sheetName val="Raw_Data_Sheet49"/>
      <sheetName val="LB_(80)21"/>
      <sheetName val="output_per_jam49"/>
      <sheetName val="data_Productivity49"/>
      <sheetName val="MLT_49"/>
      <sheetName val="daily_BEP49"/>
      <sheetName val="178049A_XLS49"/>
      <sheetName val="LB_CUTTING_KUROBE49"/>
      <sheetName val="Cutting(3)_3_1749"/>
      <sheetName val="Cutting(5)_3_1349"/>
      <sheetName val="Cutting(6)3_1749"/>
      <sheetName val="Molding_Piece_Schedule49"/>
      <sheetName val="Perf_Specification_(1)49"/>
      <sheetName val="Perf_Specification_(2)49"/>
      <sheetName val="Skiving_Instruction_(3)49"/>
      <sheetName val="Skiving_Instruction_(4)49"/>
      <sheetName val="Skiving_Instruction_(5)49"/>
      <sheetName val="Tapering_Instructions_3_1349"/>
      <sheetName val="Marking_Location_(3)49"/>
      <sheetName val="Triming_edge_Instructions49"/>
      <sheetName val="Reinforcement_Placement_(1)49"/>
      <sheetName val="Reinforcement_Placement_(2)49"/>
      <sheetName val="Reinforcement_Placement_(2)2_59"/>
      <sheetName val="Reinforcement_Placement_(3)49"/>
      <sheetName val="Computer_Stitching_Schedule49"/>
      <sheetName val="Stitching_Overview_Sketch49"/>
      <sheetName val="Stitching_Instructions_(5)49"/>
      <sheetName val="Stitching_Instructions_(6)49"/>
      <sheetName val="Stitching_Instructions_(6)_3_59"/>
      <sheetName val="Stitching_Instructions_(7)49"/>
      <sheetName val="Upper_Injected_Compon_Pro__(149"/>
      <sheetName val="Upper_Injected_Compon_Pro__(249"/>
      <sheetName val="Upper_HF__Printing_Welding(1)49"/>
      <sheetName val="Upper_HF_Printing_Welding(2)49"/>
      <sheetName val="Upper_HF_Welding_Process_(3)49"/>
      <sheetName val="Upper_HF_Welding_Process_(4)49"/>
      <sheetName val="Upper_HF_Printing_Welding_(5)49"/>
      <sheetName val="Upper_HF_Welding_Process_(6)49"/>
      <sheetName val="CMP_PHYLON_CSS_CONFIRMATION49"/>
      <sheetName val="Phylon_Midsole_Spec_49"/>
      <sheetName val="Stock_Fitting_Process(3)49"/>
      <sheetName val="Stock_Fitting_Process_(6)49"/>
      <sheetName val="Stock_Fitting_Process_(7)49"/>
      <sheetName val="Upper_Weight_Control49"/>
      <sheetName val="Blank_Form49"/>
      <sheetName val="TABLE_OF_CONTENTS21"/>
      <sheetName val="5_수정데이터통합21"/>
      <sheetName val="SHOX_REMID_II21"/>
      <sheetName val="PU_21"/>
      <sheetName val="3_I-Prefit_Stitching21"/>
      <sheetName val="assmb_123"/>
      <sheetName val="assmb_223"/>
      <sheetName val="assmb_323"/>
      <sheetName val="assmb_423"/>
      <sheetName val="assmb_523"/>
      <sheetName val="assmb_623"/>
      <sheetName val="assmb_723"/>
      <sheetName val="Cutting_Dies_21"/>
      <sheetName val="Culture_of_Empowerment21"/>
      <sheetName val="A_TERRA21"/>
      <sheetName val="Cover_(2)21"/>
      <sheetName val="_Cutting(1)_21"/>
      <sheetName val="_Cutting__(2)21"/>
      <sheetName val="_Cutting__(3)21"/>
      <sheetName val="_Cutting__(4)21"/>
      <sheetName val="_Cutting__(5)21"/>
      <sheetName val="Reinf_Placement_(2)21"/>
      <sheetName val="Skiving_Instructions_(2)21"/>
      <sheetName val="Skiving_Instruction321"/>
      <sheetName val="Pre-Buffing_(2)21"/>
      <sheetName val="Tongue_Label21"/>
      <sheetName val="Stitching_Instructions(1)21"/>
      <sheetName val="Stitching_Instructions(2)21"/>
      <sheetName val="Stitching_Instructions(3)21"/>
      <sheetName val="Stitching_Instructions(4)21"/>
      <sheetName val="Stitching_Instructions(5)21"/>
      <sheetName val="Stitching_Instructions(6)21"/>
      <sheetName val="H_F__Welding_Proc21"/>
      <sheetName val="TPU_CLEANING&amp;SCREEN_PRINT_21"/>
      <sheetName val="Dispenser_Ruang_Classic21"/>
      <sheetName val="Stock_Fitting_@32"/>
      <sheetName val="Stitching_Instruction__(2)21"/>
      <sheetName val="Skiving_Instructions_21"/>
      <sheetName val="Key_Manufacturing_Details_(1)21"/>
      <sheetName val="월별_부하운영_계획__(3)21"/>
      <sheetName val="Stitching_(G-Flux)21"/>
      <sheetName val="Stitching_(GD-Runner)21"/>
      <sheetName val="Stock_Fitting_@_x005f_x001b__x005f_x000c_32"/>
      <sheetName val="SPM_(Cutting&amp;Pre)21"/>
      <sheetName val="Stock_Fitting_@_x005f_x001b__x005f_x000c_33"/>
      <sheetName val="Upper_Measureme21"/>
      <sheetName val="FA-HO11_Feb_201021"/>
      <sheetName val="Form_PDCA_Single_Project_-_IA21"/>
      <sheetName val="2_대외공문21"/>
      <sheetName val="Material_name21"/>
      <sheetName val="Mold_Efficiency_Form21"/>
      <sheetName val="Process_Flow_Chart"/>
      <sheetName val="Stock_Fitting_@_x1"/>
      <sheetName val="Vietnam_Report1"/>
      <sheetName val="Flow_Chart_1"/>
      <sheetName val="PAJAK_THR_(3)"/>
      <sheetName val="Stock_Fitting_@_7"/>
      <sheetName val="Stock_Fitting_@7"/>
      <sheetName val="Stock_Fitting_@_1"/>
      <sheetName val="Stock_Fitting_@1"/>
      <sheetName val="Stock_Fitting_@_4"/>
      <sheetName val="Stock_Fitting_@4"/>
      <sheetName val="Stock_Fitting_@_2"/>
      <sheetName val="Stock_Fitting_@2"/>
      <sheetName val="Stock_Fitting_@_3"/>
      <sheetName val="Stock_Fitting_@3"/>
      <sheetName val="Stock_Fitting_@_5"/>
      <sheetName val="Stock_Fitting_@5"/>
      <sheetName val="Stock_Fitting_@_6"/>
      <sheetName val="Stock_Fitting_@6"/>
      <sheetName val="Stock_Fitting_@16"/>
      <sheetName val="Stock_Fitting_@17"/>
      <sheetName val="Stock_Fitting_@_8"/>
      <sheetName val="Stock_Fitting_@8"/>
      <sheetName val="Stock_Fitting_@_9"/>
      <sheetName val="Stock_Fitting_@9"/>
      <sheetName val="Stock_Fitting_@10"/>
      <sheetName val="Stock_Fitting_@11"/>
      <sheetName val="Stock_Fitting_@12"/>
      <sheetName val="Stock_Fitting_@13"/>
      <sheetName val="Stock_Fitting_@14"/>
      <sheetName val="Stock_Fitting_@15"/>
      <sheetName val="Stock_Fitting_@18"/>
      <sheetName val="Stock_Fitting_@19"/>
      <sheetName val="Stock_Fitting_@22"/>
      <sheetName val="Stock_Fitting_@23"/>
      <sheetName val="Stock_Fitting_@20"/>
      <sheetName val="Stock_Fitting_@21"/>
      <sheetName val="Stock_Fitting_@24"/>
      <sheetName val="Stock_Fitting_@25"/>
      <sheetName val="Stock_Fitting_@26"/>
      <sheetName val="Stock_Fitting_@27"/>
      <sheetName val="Stock_Fitting_@28"/>
      <sheetName val="Stock_Fitting_@29"/>
      <sheetName val="Stock_Fitting_@30"/>
      <sheetName val="Stock_Fitting_@31"/>
      <sheetName val="Cover_50"/>
      <sheetName val="Sheet1_50"/>
      <sheetName val="Index_50"/>
      <sheetName val="Spec1_50"/>
      <sheetName val="Spec__100"/>
      <sheetName val="Spec__101"/>
      <sheetName val="Spec_51"/>
      <sheetName val="Spec_650"/>
      <sheetName val="Spec7_50"/>
      <sheetName val="Spec8_50"/>
      <sheetName val="cutting___50"/>
      <sheetName val="Punch_Specification__50"/>
      <sheetName val="Logo_Specification50"/>
      <sheetName val="Strap_Specification50"/>
      <sheetName val="Part_&amp;_Group_Specification50"/>
      <sheetName val="Reinf_Placement50"/>
      <sheetName val="Skiving_instructions50"/>
      <sheetName val="Marking_locations50"/>
      <sheetName val="Folding_Locations50"/>
      <sheetName val="Stitching_Over_View50"/>
      <sheetName val="stitching_instructions_50"/>
      <sheetName val="Computer_stitched50"/>
      <sheetName val="Upper_Molded_Component_Spec__50"/>
      <sheetName val="Upper_Molded_Component_Proc__50"/>
      <sheetName val="Upper_Measurement_Spec50"/>
      <sheetName val="PFC_Revice50"/>
      <sheetName val="Cutting_Die_(1)50"/>
      <sheetName val="Cutting_Die_(2)50"/>
      <sheetName val="Cutting_Die_(3)50"/>
      <sheetName val="Perf_Specification50"/>
      <sheetName val="Marking_Location50"/>
      <sheetName val="Marking_Locations_(2)50"/>
      <sheetName val="Skiving_Instruction_(2)50"/>
      <sheetName val="Spliting_50"/>
      <sheetName val="Reinf__Placement_(1)50"/>
      <sheetName val="Reinf__Placement_(2)50"/>
      <sheetName val="Stitching_Instructions_(1)50"/>
      <sheetName val="Stitching_Instructions_(2)50"/>
      <sheetName val="Stitching_Instructions_(3)50"/>
      <sheetName val="Computer_Stitching_50"/>
      <sheetName val="Upper_Molded_Component_Spec_50"/>
      <sheetName val="PHYLON_CSS50"/>
      <sheetName val="PHYLON_CSS_SCHEDULES50"/>
      <sheetName val="PHYLON_CSS_CONFIRMATION50"/>
      <sheetName val="Outsole_Color_50"/>
      <sheetName val="Outsole_Preform_Specification90"/>
      <sheetName val="Outsole_Pressing_Process50"/>
      <sheetName val="Outsole_Degreasing_Process_50"/>
      <sheetName val="Stock_Fiting_UV-Light_Proce_50"/>
      <sheetName val="Stock_Fiting_Process_50"/>
      <sheetName val="IY_06_0750"/>
      <sheetName val="Assembly_UV-Light_Process__50"/>
      <sheetName val="Assembly_Process_6,7_50"/>
      <sheetName val="Assembly_Process_6,750"/>
      <sheetName val="IY08_09_1050"/>
      <sheetName val="Assembly_Process_8,9,10_50"/>
      <sheetName val="Assembly_Process_8,9,10_(2_)50"/>
      <sheetName val="Back_Part_Moulding_(Soccer_TP50"/>
      <sheetName val="Ecosole_Instructions_50"/>
      <sheetName val="Sockliner_Instructions50"/>
      <sheetName val="Sock_Liner_Spec_50"/>
      <sheetName val="_(6,7)50"/>
      <sheetName val="Skiving_Instruction_(1)50"/>
      <sheetName val="Spliting_Instructions50"/>
      <sheetName val="Tapering_Instructions50"/>
      <sheetName val="Marking_Location_(1)50"/>
      <sheetName val="Marking_Location_(2)50"/>
      <sheetName val="Trim_&amp;_Edge-painting50"/>
      <sheetName val="Reinforcement_Placement50"/>
      <sheetName val="Folding_Location50"/>
      <sheetName val="Pre-Buffing_Specification50"/>
      <sheetName val="Stitching_Instructions_(4)50"/>
      <sheetName val="Upper_Laser_Process-_Spec_50"/>
      <sheetName val="Upper_Laser_Process-Spec_(2)_50"/>
      <sheetName val="Upper_Laser_Process-Spec__(3)50"/>
      <sheetName val="Sockliner__Process50"/>
      <sheetName val="Outsole_Color_Schedule50"/>
      <sheetName val="Outsole_Preform_Specification91"/>
      <sheetName val="Outsole_Pressing_Process_50"/>
      <sheetName val="PU_CSS_CONFIRMATION50"/>
      <sheetName val="PU_CSS_Schedules50"/>
      <sheetName val="PU_Midsole_Spec_I50"/>
      <sheetName val="Stock_Fitting_Process_(8)50"/>
      <sheetName val="Stock_Fitting_Process_50"/>
      <sheetName val="Stock_Fitting_Process50"/>
      <sheetName val="Stock_Fitting_Process_(2)50"/>
      <sheetName val="Stock_Fitting_Process_(3)50"/>
      <sheetName val="Stockfit_BPFC50"/>
      <sheetName val="Assembling_Process50"/>
      <sheetName val="Assembling_Process_(2)50"/>
      <sheetName val="Assembly_BPFC50"/>
      <sheetName val="Production_Checklist50"/>
      <sheetName val="Sockliner_Specification50"/>
      <sheetName val="Upper_Measurement_Spec_50"/>
      <sheetName val="索引_(1)50"/>
      <sheetName val="沖孔規格說明_(2)50"/>
      <sheetName val="_削薄處指示說明50"/>
      <sheetName val="_削薄處指示說明_(2)50"/>
      <sheetName val="_削薄處指示說明_(3)50"/>
      <sheetName val="_削薄處指示說明_(4)50"/>
      <sheetName val="_削薄處指示說明_(5)50"/>
      <sheetName val="劃線印刷指示說明_(2)50"/>
      <sheetName val="劃線印刷指示說明_(3)50"/>
      <sheetName val="折邊指示說明_50"/>
      <sheetName val="針車流程_(2)50"/>
      <sheetName val="針車流程_(3)50"/>
      <sheetName val="針車流程_(4)50"/>
      <sheetName val="針車流程_(5)50"/>
      <sheetName val="針車流程_(6)50"/>
      <sheetName val="_鞋面印刷作業流程50"/>
      <sheetName val="_鞋面高週波作業流程_(2)50"/>
      <sheetName val="__鞋墊作業流程50"/>
      <sheetName val="Cover_313845-102((259_)_(2)50"/>
      <sheetName val="Index_(1)50"/>
      <sheetName val="Logo_Specification_(2)50"/>
      <sheetName val="Screen_Printing_(4)50"/>
      <sheetName val="Upper_HF_Welding_Process(5)50"/>
      <sheetName val="Index_(3)50"/>
      <sheetName val="Bottom_Component_Process_Spec50"/>
      <sheetName val="Stock_Fitting_Process_(4)50"/>
      <sheetName val="Stock_Fitting_Process_(5)50"/>
      <sheetName val="Stockfit_BPFC_(2)50"/>
      <sheetName val="Assembling_Process_(3)50"/>
      <sheetName val="Assembly_BPFC_(2)50"/>
      <sheetName val="Sockliner_Sublimation_Process50"/>
      <sheetName val="Cutting_D)e_(1)50"/>
      <sheetName val="Cutting_D)e_(2)50"/>
      <sheetName val="Cutting_D)e_(3)50"/>
      <sheetName val="Stitching_Instructio_s_(3)50"/>
      <sheetName val="LOB_Auto_CS_9022"/>
      <sheetName val="SPRAY_(A_MX_PLUS)23"/>
      <sheetName val="BOLD_SISTER-STRONG_SISTER_-TO24"/>
      <sheetName val="SHOX_NAVINA_,_SHOX_REVEAL23"/>
      <sheetName val="MODEL_SHOX_TURBO_OZ_(PS+TD)23"/>
      <sheetName val="Spray_Tower_Machine22"/>
      <sheetName val="Sheet1_(2)22"/>
      <sheetName val="Raw_Data_Sheet50"/>
      <sheetName val="LB_(80)22"/>
      <sheetName val="output_per_jam50"/>
      <sheetName val="data_Productivity50"/>
      <sheetName val="MLT_50"/>
      <sheetName val="daily_BEP50"/>
      <sheetName val="178049A_XLS50"/>
      <sheetName val="LB_CUTTING_KUROBE50"/>
      <sheetName val="Cutting(3)_3_1750"/>
      <sheetName val="Cutting(5)_3_1350"/>
      <sheetName val="Cutting(6)3_1750"/>
      <sheetName val="Molding_Piece_Schedule50"/>
      <sheetName val="Perf_Specification_(1)50"/>
      <sheetName val="Perf_Specification_(2)50"/>
      <sheetName val="Skiving_Instruction_(3)50"/>
      <sheetName val="Skiving_Instruction_(4)50"/>
      <sheetName val="Skiving_Instruction_(5)50"/>
      <sheetName val="Tapering_Instructions_3_1350"/>
      <sheetName val="Marking_Location_(3)50"/>
      <sheetName val="Triming_edge_Instructions50"/>
      <sheetName val="Reinforcement_Placement_(1)50"/>
      <sheetName val="Reinforcement_Placement_(2)50"/>
      <sheetName val="Reinforcement_Placement_(2)2_60"/>
      <sheetName val="Reinforcement_Placement_(3)50"/>
      <sheetName val="Computer_Stitching_Schedule50"/>
      <sheetName val="Stitching_Overview_Sketch50"/>
      <sheetName val="Stitching_Instructions_(5)50"/>
      <sheetName val="Stitching_Instructions_(6)50"/>
      <sheetName val="Stitching_Instructions_(6)_3_60"/>
      <sheetName val="Stitching_Instructions_(7)50"/>
      <sheetName val="Upper_Injected_Compon_Pro__(150"/>
      <sheetName val="Upper_Injected_Compon_Pro__(250"/>
      <sheetName val="Upper_HF__Printing_Welding(1)50"/>
      <sheetName val="Upper_HF_Printing_Welding(2)50"/>
      <sheetName val="Upper_HF_Welding_Process_(3)50"/>
      <sheetName val="Upper_HF_Welding_Process_(4)50"/>
      <sheetName val="Upper_HF_Printing_Welding_(5)50"/>
      <sheetName val="Upper_HF_Welding_Process_(6)50"/>
      <sheetName val="CMP_PHYLON_CSS_CONFIRMATION50"/>
      <sheetName val="Phylon_Midsole_Spec_50"/>
      <sheetName val="Stock_Fitting_Process(3)50"/>
      <sheetName val="Stock_Fitting_Process_(6)50"/>
      <sheetName val="Stock_Fitting_Process_(7)50"/>
      <sheetName val="Upper_Weight_Control50"/>
      <sheetName val="Blank_Form50"/>
      <sheetName val="TABLE_OF_CONTENTS22"/>
      <sheetName val="5_수정데이터통합22"/>
      <sheetName val="SHOX_REMID_II22"/>
      <sheetName val="PU_22"/>
      <sheetName val="3_I-Prefit_Stitching22"/>
      <sheetName val="assmb_124"/>
      <sheetName val="assmb_224"/>
      <sheetName val="assmb_324"/>
      <sheetName val="assmb_424"/>
      <sheetName val="assmb_524"/>
      <sheetName val="assmb_624"/>
      <sheetName val="assmb_724"/>
      <sheetName val="Cutting_Dies_22"/>
      <sheetName val="Culture_of_Empowerment22"/>
      <sheetName val="A_TERRA22"/>
      <sheetName val="Cover_(2)22"/>
      <sheetName val="_Cutting(1)_22"/>
      <sheetName val="_Cutting__(2)22"/>
      <sheetName val="_Cutting__(3)22"/>
      <sheetName val="_Cutting__(4)22"/>
      <sheetName val="_Cutting__(5)22"/>
      <sheetName val="Reinf_Placement_(2)22"/>
      <sheetName val="Skiving_Instructions_(2)22"/>
      <sheetName val="Skiving_Instruction322"/>
      <sheetName val="Pre-Buffing_(2)22"/>
      <sheetName val="Tongue_Label22"/>
      <sheetName val="Stitching_Instructions(1)22"/>
      <sheetName val="Stitching_Instructions(2)22"/>
      <sheetName val="Stitching_Instructions(3)22"/>
      <sheetName val="Stitching_Instructions(4)22"/>
      <sheetName val="Stitching_Instructions(5)22"/>
      <sheetName val="Stitching_Instructions(6)22"/>
      <sheetName val="H_F__Welding_Proc22"/>
      <sheetName val="TPU_CLEANING&amp;SCREEN_PRINT_22"/>
      <sheetName val="Dispenser_Ruang_Classic22"/>
      <sheetName val="Stitching_Instruction__(2)22"/>
      <sheetName val="Skiving_Instructions_22"/>
      <sheetName val="Key_Manufacturing_Details_(1)22"/>
      <sheetName val="월별_부하운영_계획__(3)22"/>
      <sheetName val="Stitching_(G-Flux)22"/>
      <sheetName val="Stitching_(GD-Runner)22"/>
      <sheetName val="Stock_Fitting_@_x005f_x001b__x005f_x000c_34"/>
      <sheetName val="SPM_(Cutting&amp;Pre)22"/>
      <sheetName val="Stock_Fitting_@_x005f_x001b__x005f_x000c_35"/>
      <sheetName val="Upper_Measureme22"/>
      <sheetName val="FA-HO11_Feb_201022"/>
      <sheetName val="Form_PDCA_Single_Project_-_IA22"/>
      <sheetName val="2_대외공문22"/>
      <sheetName val="Material_name22"/>
      <sheetName val="Mold_Efficiency_Form22"/>
      <sheetName val="Process_Flow_Chart1"/>
      <sheetName val="Vietnam_Report2"/>
      <sheetName val="Flow_Chart_2"/>
      <sheetName val="PAJAK_THR_(3)1"/>
    </sheetNames>
    <definedNames>
      <definedName name="a??u55_Click" refersTo="#REF!"/>
      <definedName name="直線55_Click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6">
          <cell r="EO6">
            <v>0</v>
          </cell>
        </row>
      </sheetData>
      <sheetData sheetId="97"/>
      <sheetData sheetId="98"/>
      <sheetData sheetId="99"/>
      <sheetData sheetId="100"/>
      <sheetData sheetId="101">
        <row r="6">
          <cell r="EO6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>
        <row r="6">
          <cell r="EO6">
            <v>0</v>
          </cell>
        </row>
      </sheetData>
      <sheetData sheetId="5456">
        <row r="6">
          <cell r="EO6">
            <v>0</v>
          </cell>
        </row>
      </sheetData>
      <sheetData sheetId="5457">
        <row r="6">
          <cell r="EO6">
            <v>0</v>
          </cell>
        </row>
      </sheetData>
      <sheetData sheetId="5458">
        <row r="6">
          <cell r="EO6">
            <v>0</v>
          </cell>
        </row>
      </sheetData>
      <sheetData sheetId="5459">
        <row r="6">
          <cell r="EO6">
            <v>0</v>
          </cell>
        </row>
      </sheetData>
      <sheetData sheetId="5460">
        <row r="6">
          <cell r="EO6">
            <v>0</v>
          </cell>
        </row>
      </sheetData>
      <sheetData sheetId="5461">
        <row r="6">
          <cell r="EO6">
            <v>0</v>
          </cell>
        </row>
      </sheetData>
      <sheetData sheetId="5462">
        <row r="6">
          <cell r="EO6">
            <v>0</v>
          </cell>
        </row>
      </sheetData>
      <sheetData sheetId="5463">
        <row r="6">
          <cell r="EO6">
            <v>0</v>
          </cell>
        </row>
      </sheetData>
      <sheetData sheetId="5464">
        <row r="6">
          <cell r="EO6">
            <v>0</v>
          </cell>
        </row>
      </sheetData>
      <sheetData sheetId="5465">
        <row r="6">
          <cell r="EO6">
            <v>0</v>
          </cell>
        </row>
      </sheetData>
      <sheetData sheetId="5466">
        <row r="6">
          <cell r="EO6">
            <v>0</v>
          </cell>
        </row>
      </sheetData>
      <sheetData sheetId="5467">
        <row r="6">
          <cell r="EO6">
            <v>0</v>
          </cell>
        </row>
      </sheetData>
      <sheetData sheetId="5468">
        <row r="6">
          <cell r="EO6">
            <v>0</v>
          </cell>
        </row>
      </sheetData>
      <sheetData sheetId="5469">
        <row r="6">
          <cell r="EO6">
            <v>0</v>
          </cell>
        </row>
      </sheetData>
      <sheetData sheetId="5470">
        <row r="6">
          <cell r="EO6">
            <v>0</v>
          </cell>
        </row>
      </sheetData>
      <sheetData sheetId="5471">
        <row r="6">
          <cell r="EO6">
            <v>0</v>
          </cell>
        </row>
      </sheetData>
      <sheetData sheetId="5472">
        <row r="6">
          <cell r="EO6">
            <v>0</v>
          </cell>
        </row>
      </sheetData>
      <sheetData sheetId="5473">
        <row r="6">
          <cell r="EO6">
            <v>0</v>
          </cell>
        </row>
      </sheetData>
      <sheetData sheetId="5474">
        <row r="6">
          <cell r="EO6">
            <v>0</v>
          </cell>
        </row>
      </sheetData>
      <sheetData sheetId="5475">
        <row r="6">
          <cell r="EO6">
            <v>0</v>
          </cell>
        </row>
      </sheetData>
      <sheetData sheetId="5476">
        <row r="6">
          <cell r="EO6">
            <v>0</v>
          </cell>
        </row>
      </sheetData>
      <sheetData sheetId="5477">
        <row r="6">
          <cell r="EO6">
            <v>0</v>
          </cell>
        </row>
      </sheetData>
      <sheetData sheetId="5478">
        <row r="6">
          <cell r="EO6">
            <v>0</v>
          </cell>
        </row>
      </sheetData>
      <sheetData sheetId="5479">
        <row r="6">
          <cell r="EO6">
            <v>0</v>
          </cell>
        </row>
      </sheetData>
      <sheetData sheetId="5480">
        <row r="6">
          <cell r="EO6">
            <v>0</v>
          </cell>
        </row>
      </sheetData>
      <sheetData sheetId="5481">
        <row r="6">
          <cell r="EO6">
            <v>0</v>
          </cell>
        </row>
      </sheetData>
      <sheetData sheetId="5482">
        <row r="6">
          <cell r="EO6">
            <v>0</v>
          </cell>
        </row>
      </sheetData>
      <sheetData sheetId="5483">
        <row r="6">
          <cell r="EO6">
            <v>0</v>
          </cell>
        </row>
      </sheetData>
      <sheetData sheetId="5484">
        <row r="6">
          <cell r="EO6">
            <v>0</v>
          </cell>
        </row>
      </sheetData>
      <sheetData sheetId="5485">
        <row r="6">
          <cell r="EO6">
            <v>0</v>
          </cell>
        </row>
      </sheetData>
      <sheetData sheetId="5486">
        <row r="6">
          <cell r="EO6">
            <v>0</v>
          </cell>
        </row>
      </sheetData>
      <sheetData sheetId="5487">
        <row r="6">
          <cell r="EO6">
            <v>0</v>
          </cell>
        </row>
      </sheetData>
      <sheetData sheetId="5488">
        <row r="6">
          <cell r="EO6">
            <v>0</v>
          </cell>
        </row>
      </sheetData>
      <sheetData sheetId="5489">
        <row r="6">
          <cell r="EO6">
            <v>0</v>
          </cell>
        </row>
      </sheetData>
      <sheetData sheetId="5490">
        <row r="6">
          <cell r="EO6">
            <v>0</v>
          </cell>
        </row>
      </sheetData>
      <sheetData sheetId="5491">
        <row r="6">
          <cell r="EO6">
            <v>0</v>
          </cell>
        </row>
      </sheetData>
      <sheetData sheetId="5492">
        <row r="6">
          <cell r="EO6">
            <v>0</v>
          </cell>
        </row>
      </sheetData>
      <sheetData sheetId="5493">
        <row r="6">
          <cell r="EO6">
            <v>0</v>
          </cell>
        </row>
      </sheetData>
      <sheetData sheetId="5494">
        <row r="6">
          <cell r="EO6">
            <v>0</v>
          </cell>
        </row>
      </sheetData>
      <sheetData sheetId="5495">
        <row r="6">
          <cell r="EO6">
            <v>0</v>
          </cell>
        </row>
      </sheetData>
      <sheetData sheetId="5496">
        <row r="6">
          <cell r="EO6">
            <v>0</v>
          </cell>
        </row>
      </sheetData>
      <sheetData sheetId="5497">
        <row r="6">
          <cell r="EO6">
            <v>0</v>
          </cell>
        </row>
      </sheetData>
      <sheetData sheetId="5498">
        <row r="6">
          <cell r="EO6">
            <v>0</v>
          </cell>
        </row>
      </sheetData>
      <sheetData sheetId="5499">
        <row r="6">
          <cell r="EO6">
            <v>0</v>
          </cell>
        </row>
      </sheetData>
      <sheetData sheetId="5500">
        <row r="6">
          <cell r="EO6">
            <v>0</v>
          </cell>
        </row>
      </sheetData>
      <sheetData sheetId="5501">
        <row r="6">
          <cell r="EO6">
            <v>0</v>
          </cell>
        </row>
      </sheetData>
      <sheetData sheetId="5502">
        <row r="6">
          <cell r="EO6">
            <v>0</v>
          </cell>
        </row>
      </sheetData>
      <sheetData sheetId="5503">
        <row r="6">
          <cell r="EO6">
            <v>0</v>
          </cell>
        </row>
      </sheetData>
      <sheetData sheetId="5504">
        <row r="6">
          <cell r="EO6">
            <v>0</v>
          </cell>
        </row>
      </sheetData>
      <sheetData sheetId="5505">
        <row r="6">
          <cell r="EO6">
            <v>0</v>
          </cell>
        </row>
      </sheetData>
      <sheetData sheetId="5506">
        <row r="6">
          <cell r="EO6">
            <v>0</v>
          </cell>
        </row>
      </sheetData>
      <sheetData sheetId="5507">
        <row r="6">
          <cell r="EO6">
            <v>0</v>
          </cell>
        </row>
      </sheetData>
      <sheetData sheetId="5508">
        <row r="6">
          <cell r="EO6">
            <v>0</v>
          </cell>
        </row>
      </sheetData>
      <sheetData sheetId="5509">
        <row r="6">
          <cell r="EO6">
            <v>0</v>
          </cell>
        </row>
      </sheetData>
      <sheetData sheetId="5510">
        <row r="6">
          <cell r="EO6">
            <v>0</v>
          </cell>
        </row>
      </sheetData>
      <sheetData sheetId="5511">
        <row r="6">
          <cell r="EO6">
            <v>0</v>
          </cell>
        </row>
      </sheetData>
      <sheetData sheetId="5512">
        <row r="6">
          <cell r="EO6">
            <v>0</v>
          </cell>
        </row>
      </sheetData>
      <sheetData sheetId="5513">
        <row r="6">
          <cell r="EO6">
            <v>0</v>
          </cell>
        </row>
      </sheetData>
      <sheetData sheetId="5514">
        <row r="6">
          <cell r="EO6">
            <v>0</v>
          </cell>
        </row>
      </sheetData>
      <sheetData sheetId="5515">
        <row r="6">
          <cell r="EO6">
            <v>0</v>
          </cell>
        </row>
      </sheetData>
      <sheetData sheetId="5516">
        <row r="6">
          <cell r="EO6">
            <v>0</v>
          </cell>
        </row>
      </sheetData>
      <sheetData sheetId="5517">
        <row r="6">
          <cell r="EO6">
            <v>0</v>
          </cell>
        </row>
      </sheetData>
      <sheetData sheetId="5518">
        <row r="6">
          <cell r="EO6">
            <v>0</v>
          </cell>
        </row>
      </sheetData>
      <sheetData sheetId="5519">
        <row r="6">
          <cell r="EO6">
            <v>0</v>
          </cell>
        </row>
      </sheetData>
      <sheetData sheetId="5520">
        <row r="6">
          <cell r="EO6">
            <v>0</v>
          </cell>
        </row>
      </sheetData>
      <sheetData sheetId="5521">
        <row r="6">
          <cell r="EO6">
            <v>0</v>
          </cell>
        </row>
      </sheetData>
      <sheetData sheetId="5522">
        <row r="6">
          <cell r="EO6">
            <v>0</v>
          </cell>
        </row>
      </sheetData>
      <sheetData sheetId="5523">
        <row r="6">
          <cell r="EO6">
            <v>0</v>
          </cell>
        </row>
      </sheetData>
      <sheetData sheetId="5524">
        <row r="6">
          <cell r="EO6">
            <v>0</v>
          </cell>
        </row>
      </sheetData>
      <sheetData sheetId="5525">
        <row r="6">
          <cell r="EO6">
            <v>0</v>
          </cell>
        </row>
      </sheetData>
      <sheetData sheetId="5526">
        <row r="6">
          <cell r="EO6">
            <v>0</v>
          </cell>
        </row>
      </sheetData>
      <sheetData sheetId="5527">
        <row r="6">
          <cell r="EO6">
            <v>0</v>
          </cell>
        </row>
      </sheetData>
      <sheetData sheetId="5528">
        <row r="6">
          <cell r="EO6">
            <v>0</v>
          </cell>
        </row>
      </sheetData>
      <sheetData sheetId="5529">
        <row r="6">
          <cell r="EO6">
            <v>0</v>
          </cell>
        </row>
      </sheetData>
      <sheetData sheetId="5530">
        <row r="6">
          <cell r="EO6">
            <v>0</v>
          </cell>
        </row>
      </sheetData>
      <sheetData sheetId="5531">
        <row r="6">
          <cell r="EO6">
            <v>0</v>
          </cell>
        </row>
      </sheetData>
      <sheetData sheetId="5532">
        <row r="6">
          <cell r="EO6">
            <v>0</v>
          </cell>
        </row>
      </sheetData>
      <sheetData sheetId="5533">
        <row r="6">
          <cell r="EO6">
            <v>0</v>
          </cell>
        </row>
      </sheetData>
      <sheetData sheetId="5534">
        <row r="6">
          <cell r="EO6">
            <v>0</v>
          </cell>
        </row>
      </sheetData>
      <sheetData sheetId="5535">
        <row r="6">
          <cell r="EO6">
            <v>0</v>
          </cell>
        </row>
      </sheetData>
      <sheetData sheetId="5536">
        <row r="6">
          <cell r="EO6">
            <v>0</v>
          </cell>
        </row>
      </sheetData>
      <sheetData sheetId="5537">
        <row r="6">
          <cell r="EO6">
            <v>0</v>
          </cell>
        </row>
      </sheetData>
      <sheetData sheetId="5538">
        <row r="6">
          <cell r="EO6">
            <v>0</v>
          </cell>
        </row>
      </sheetData>
      <sheetData sheetId="5539">
        <row r="6">
          <cell r="EO6">
            <v>0</v>
          </cell>
        </row>
      </sheetData>
      <sheetData sheetId="5540">
        <row r="6">
          <cell r="EO6">
            <v>0</v>
          </cell>
        </row>
      </sheetData>
      <sheetData sheetId="5541">
        <row r="6">
          <cell r="EO6">
            <v>0</v>
          </cell>
        </row>
      </sheetData>
      <sheetData sheetId="5542">
        <row r="6">
          <cell r="EO6">
            <v>0</v>
          </cell>
        </row>
      </sheetData>
      <sheetData sheetId="5543">
        <row r="6">
          <cell r="EO6">
            <v>0</v>
          </cell>
        </row>
      </sheetData>
      <sheetData sheetId="5544">
        <row r="6">
          <cell r="EO6">
            <v>0</v>
          </cell>
        </row>
      </sheetData>
      <sheetData sheetId="5545">
        <row r="6">
          <cell r="EO6">
            <v>0</v>
          </cell>
        </row>
      </sheetData>
      <sheetData sheetId="5546">
        <row r="6">
          <cell r="EO6">
            <v>0</v>
          </cell>
        </row>
      </sheetData>
      <sheetData sheetId="5547">
        <row r="6">
          <cell r="EO6">
            <v>0</v>
          </cell>
        </row>
      </sheetData>
      <sheetData sheetId="5548">
        <row r="6">
          <cell r="EO6">
            <v>0</v>
          </cell>
        </row>
      </sheetData>
      <sheetData sheetId="5549">
        <row r="6">
          <cell r="EO6">
            <v>0</v>
          </cell>
        </row>
      </sheetData>
      <sheetData sheetId="5550">
        <row r="6">
          <cell r="EO6">
            <v>0</v>
          </cell>
        </row>
      </sheetData>
      <sheetData sheetId="5551">
        <row r="6">
          <cell r="EO6">
            <v>0</v>
          </cell>
        </row>
      </sheetData>
      <sheetData sheetId="5552">
        <row r="6">
          <cell r="EO6">
            <v>0</v>
          </cell>
        </row>
      </sheetData>
      <sheetData sheetId="5553">
        <row r="6">
          <cell r="EO6">
            <v>0</v>
          </cell>
        </row>
      </sheetData>
      <sheetData sheetId="5554">
        <row r="6">
          <cell r="EO6">
            <v>0</v>
          </cell>
        </row>
      </sheetData>
      <sheetData sheetId="5555">
        <row r="6">
          <cell r="EO6">
            <v>0</v>
          </cell>
        </row>
      </sheetData>
      <sheetData sheetId="5556"/>
      <sheetData sheetId="5557">
        <row r="6">
          <cell r="EO6">
            <v>0</v>
          </cell>
        </row>
      </sheetData>
      <sheetData sheetId="5558"/>
      <sheetData sheetId="5559"/>
      <sheetData sheetId="5560">
        <row r="6">
          <cell r="EO6">
            <v>0</v>
          </cell>
        </row>
      </sheetData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>
        <row r="6">
          <cell r="EO6">
            <v>0</v>
          </cell>
        </row>
      </sheetData>
      <sheetData sheetId="5675">
        <row r="6">
          <cell r="EO6">
            <v>0</v>
          </cell>
        </row>
      </sheetData>
      <sheetData sheetId="5676">
        <row r="6">
          <cell r="EO6">
            <v>0</v>
          </cell>
        </row>
      </sheetData>
      <sheetData sheetId="5677">
        <row r="6">
          <cell r="EO6">
            <v>0</v>
          </cell>
        </row>
      </sheetData>
      <sheetData sheetId="5678">
        <row r="6">
          <cell r="EO6">
            <v>0</v>
          </cell>
        </row>
      </sheetData>
      <sheetData sheetId="5679">
        <row r="6">
          <cell r="EO6">
            <v>0</v>
          </cell>
        </row>
      </sheetData>
      <sheetData sheetId="5680">
        <row r="6">
          <cell r="EO6">
            <v>0</v>
          </cell>
        </row>
      </sheetData>
      <sheetData sheetId="5681">
        <row r="6">
          <cell r="EO6">
            <v>0</v>
          </cell>
        </row>
      </sheetData>
      <sheetData sheetId="5682">
        <row r="6">
          <cell r="EO6">
            <v>0</v>
          </cell>
        </row>
      </sheetData>
      <sheetData sheetId="5683">
        <row r="6">
          <cell r="EO6">
            <v>0</v>
          </cell>
        </row>
      </sheetData>
      <sheetData sheetId="5684">
        <row r="6">
          <cell r="EO6">
            <v>0</v>
          </cell>
        </row>
      </sheetData>
      <sheetData sheetId="5685">
        <row r="6">
          <cell r="EO6">
            <v>0</v>
          </cell>
        </row>
      </sheetData>
      <sheetData sheetId="5686">
        <row r="6">
          <cell r="EO6">
            <v>0</v>
          </cell>
        </row>
      </sheetData>
      <sheetData sheetId="5687">
        <row r="6">
          <cell r="EO6">
            <v>0</v>
          </cell>
        </row>
      </sheetData>
      <sheetData sheetId="5688">
        <row r="6">
          <cell r="EO6">
            <v>0</v>
          </cell>
        </row>
      </sheetData>
      <sheetData sheetId="5689">
        <row r="6">
          <cell r="EO6">
            <v>0</v>
          </cell>
        </row>
      </sheetData>
      <sheetData sheetId="5690">
        <row r="6">
          <cell r="EO6">
            <v>0</v>
          </cell>
        </row>
      </sheetData>
      <sheetData sheetId="5691">
        <row r="6">
          <cell r="EO6">
            <v>0</v>
          </cell>
        </row>
      </sheetData>
      <sheetData sheetId="5692">
        <row r="6">
          <cell r="EO6">
            <v>0</v>
          </cell>
        </row>
      </sheetData>
      <sheetData sheetId="5693">
        <row r="6">
          <cell r="EO6">
            <v>0</v>
          </cell>
        </row>
      </sheetData>
      <sheetData sheetId="5694">
        <row r="6">
          <cell r="EO6">
            <v>0</v>
          </cell>
        </row>
      </sheetData>
      <sheetData sheetId="5695">
        <row r="6">
          <cell r="EO6">
            <v>0</v>
          </cell>
        </row>
      </sheetData>
      <sheetData sheetId="5696">
        <row r="6">
          <cell r="EO6">
            <v>0</v>
          </cell>
        </row>
      </sheetData>
      <sheetData sheetId="5697">
        <row r="6">
          <cell r="EO6">
            <v>0</v>
          </cell>
        </row>
      </sheetData>
      <sheetData sheetId="5698">
        <row r="6">
          <cell r="EO6">
            <v>0</v>
          </cell>
        </row>
      </sheetData>
      <sheetData sheetId="5699">
        <row r="6">
          <cell r="EO6">
            <v>0</v>
          </cell>
        </row>
      </sheetData>
      <sheetData sheetId="5700">
        <row r="6">
          <cell r="EO6">
            <v>0</v>
          </cell>
        </row>
      </sheetData>
      <sheetData sheetId="5701">
        <row r="6">
          <cell r="EO6">
            <v>0</v>
          </cell>
        </row>
      </sheetData>
      <sheetData sheetId="5702">
        <row r="6">
          <cell r="EO6">
            <v>0</v>
          </cell>
        </row>
      </sheetData>
      <sheetData sheetId="5703">
        <row r="6">
          <cell r="EO6">
            <v>0</v>
          </cell>
        </row>
      </sheetData>
      <sheetData sheetId="5704">
        <row r="6">
          <cell r="EO6">
            <v>0</v>
          </cell>
        </row>
      </sheetData>
      <sheetData sheetId="5705">
        <row r="6">
          <cell r="EO6">
            <v>0</v>
          </cell>
        </row>
      </sheetData>
      <sheetData sheetId="5706">
        <row r="6">
          <cell r="EO6">
            <v>0</v>
          </cell>
        </row>
      </sheetData>
      <sheetData sheetId="5707">
        <row r="6">
          <cell r="EO6">
            <v>0</v>
          </cell>
        </row>
      </sheetData>
      <sheetData sheetId="5708">
        <row r="6">
          <cell r="EO6">
            <v>0</v>
          </cell>
        </row>
      </sheetData>
      <sheetData sheetId="5709">
        <row r="6">
          <cell r="EO6">
            <v>0</v>
          </cell>
        </row>
      </sheetData>
      <sheetData sheetId="5710">
        <row r="6">
          <cell r="EO6">
            <v>0</v>
          </cell>
        </row>
      </sheetData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>
        <row r="6">
          <cell r="EO6">
            <v>0</v>
          </cell>
        </row>
      </sheetData>
      <sheetData sheetId="5714">
        <row r="6">
          <cell r="EO6">
            <v>0</v>
          </cell>
        </row>
      </sheetData>
      <sheetData sheetId="5715">
        <row r="6">
          <cell r="EO6">
            <v>0</v>
          </cell>
        </row>
      </sheetData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>
        <row r="6">
          <cell r="EO6">
            <v>0</v>
          </cell>
        </row>
      </sheetData>
      <sheetData sheetId="5719">
        <row r="6">
          <cell r="EO6">
            <v>0</v>
          </cell>
        </row>
      </sheetData>
      <sheetData sheetId="5720">
        <row r="6">
          <cell r="EO6">
            <v>0</v>
          </cell>
        </row>
      </sheetData>
      <sheetData sheetId="5721">
        <row r="6">
          <cell r="EO6">
            <v>0</v>
          </cell>
        </row>
      </sheetData>
      <sheetData sheetId="5722">
        <row r="6">
          <cell r="EO6">
            <v>0</v>
          </cell>
        </row>
      </sheetData>
      <sheetData sheetId="5723">
        <row r="6">
          <cell r="EO6">
            <v>0</v>
          </cell>
        </row>
      </sheetData>
      <sheetData sheetId="5724">
        <row r="6">
          <cell r="EO6">
            <v>0</v>
          </cell>
        </row>
      </sheetData>
      <sheetData sheetId="5725">
        <row r="6">
          <cell r="EO6">
            <v>0</v>
          </cell>
        </row>
      </sheetData>
      <sheetData sheetId="5726">
        <row r="6">
          <cell r="EO6">
            <v>0</v>
          </cell>
        </row>
      </sheetData>
      <sheetData sheetId="5727">
        <row r="6">
          <cell r="EO6">
            <v>0</v>
          </cell>
        </row>
      </sheetData>
      <sheetData sheetId="5728">
        <row r="6">
          <cell r="EO6">
            <v>0</v>
          </cell>
        </row>
      </sheetData>
      <sheetData sheetId="5729">
        <row r="6">
          <cell r="EO6">
            <v>0</v>
          </cell>
        </row>
      </sheetData>
      <sheetData sheetId="5730">
        <row r="6">
          <cell r="EO6">
            <v>0</v>
          </cell>
        </row>
      </sheetData>
      <sheetData sheetId="5731">
        <row r="6">
          <cell r="EO6">
            <v>0</v>
          </cell>
        </row>
      </sheetData>
      <sheetData sheetId="5732">
        <row r="6">
          <cell r="EO6">
            <v>0</v>
          </cell>
        </row>
      </sheetData>
      <sheetData sheetId="5733">
        <row r="6">
          <cell r="EO6">
            <v>0</v>
          </cell>
        </row>
      </sheetData>
      <sheetData sheetId="5734">
        <row r="6">
          <cell r="EO6">
            <v>0</v>
          </cell>
        </row>
      </sheetData>
      <sheetData sheetId="5735">
        <row r="6">
          <cell r="EO6">
            <v>0</v>
          </cell>
        </row>
      </sheetData>
      <sheetData sheetId="5736">
        <row r="6">
          <cell r="EO6">
            <v>0</v>
          </cell>
        </row>
      </sheetData>
      <sheetData sheetId="5737">
        <row r="6">
          <cell r="EO6">
            <v>0</v>
          </cell>
        </row>
      </sheetData>
      <sheetData sheetId="5738">
        <row r="6">
          <cell r="EO6">
            <v>0</v>
          </cell>
        </row>
      </sheetData>
      <sheetData sheetId="5739">
        <row r="6">
          <cell r="EO6">
            <v>0</v>
          </cell>
        </row>
      </sheetData>
      <sheetData sheetId="5740">
        <row r="6">
          <cell r="EO6">
            <v>0</v>
          </cell>
        </row>
      </sheetData>
      <sheetData sheetId="5741">
        <row r="6">
          <cell r="EO6">
            <v>0</v>
          </cell>
        </row>
      </sheetData>
      <sheetData sheetId="5742">
        <row r="6">
          <cell r="EO6">
            <v>0</v>
          </cell>
        </row>
      </sheetData>
      <sheetData sheetId="5743">
        <row r="6">
          <cell r="EO6">
            <v>0</v>
          </cell>
        </row>
      </sheetData>
      <sheetData sheetId="5744">
        <row r="6">
          <cell r="EO6">
            <v>0</v>
          </cell>
        </row>
      </sheetData>
      <sheetData sheetId="5745">
        <row r="6">
          <cell r="EO6">
            <v>0</v>
          </cell>
        </row>
      </sheetData>
      <sheetData sheetId="5746">
        <row r="6">
          <cell r="EO6">
            <v>0</v>
          </cell>
        </row>
      </sheetData>
      <sheetData sheetId="5747">
        <row r="6">
          <cell r="EO6">
            <v>0</v>
          </cell>
        </row>
      </sheetData>
      <sheetData sheetId="5748">
        <row r="6">
          <cell r="EO6">
            <v>0</v>
          </cell>
        </row>
      </sheetData>
      <sheetData sheetId="5749">
        <row r="6">
          <cell r="EO6">
            <v>0</v>
          </cell>
        </row>
      </sheetData>
      <sheetData sheetId="5750">
        <row r="6">
          <cell r="EO6">
            <v>0</v>
          </cell>
        </row>
      </sheetData>
      <sheetData sheetId="5751">
        <row r="6">
          <cell r="EO6">
            <v>0</v>
          </cell>
        </row>
      </sheetData>
      <sheetData sheetId="5752">
        <row r="6">
          <cell r="EO6">
            <v>0</v>
          </cell>
        </row>
      </sheetData>
      <sheetData sheetId="5753">
        <row r="6">
          <cell r="EO6">
            <v>0</v>
          </cell>
        </row>
      </sheetData>
      <sheetData sheetId="5754">
        <row r="6">
          <cell r="EO6">
            <v>0</v>
          </cell>
        </row>
      </sheetData>
      <sheetData sheetId="5755">
        <row r="6">
          <cell r="EO6">
            <v>0</v>
          </cell>
        </row>
      </sheetData>
      <sheetData sheetId="5756">
        <row r="6">
          <cell r="EO6">
            <v>0</v>
          </cell>
        </row>
      </sheetData>
      <sheetData sheetId="5757">
        <row r="6">
          <cell r="EO6">
            <v>0</v>
          </cell>
        </row>
      </sheetData>
      <sheetData sheetId="5758">
        <row r="6">
          <cell r="EO6">
            <v>0</v>
          </cell>
        </row>
      </sheetData>
      <sheetData sheetId="5759">
        <row r="6">
          <cell r="EO6">
            <v>0</v>
          </cell>
        </row>
      </sheetData>
      <sheetData sheetId="5760">
        <row r="6">
          <cell r="EO6">
            <v>0</v>
          </cell>
        </row>
      </sheetData>
      <sheetData sheetId="5761">
        <row r="6">
          <cell r="EO6">
            <v>0</v>
          </cell>
        </row>
      </sheetData>
      <sheetData sheetId="5762">
        <row r="6">
          <cell r="EO6">
            <v>0</v>
          </cell>
        </row>
      </sheetData>
      <sheetData sheetId="5763">
        <row r="6">
          <cell r="EO6">
            <v>0</v>
          </cell>
        </row>
      </sheetData>
      <sheetData sheetId="5764">
        <row r="6">
          <cell r="EO6">
            <v>0</v>
          </cell>
        </row>
      </sheetData>
      <sheetData sheetId="5765">
        <row r="6">
          <cell r="EO6">
            <v>0</v>
          </cell>
        </row>
      </sheetData>
      <sheetData sheetId="5766">
        <row r="6">
          <cell r="EO6">
            <v>0</v>
          </cell>
        </row>
      </sheetData>
      <sheetData sheetId="5767">
        <row r="6">
          <cell r="EO6">
            <v>0</v>
          </cell>
        </row>
      </sheetData>
      <sheetData sheetId="5768">
        <row r="6">
          <cell r="EO6">
            <v>0</v>
          </cell>
        </row>
      </sheetData>
      <sheetData sheetId="5769">
        <row r="6">
          <cell r="EO6">
            <v>0</v>
          </cell>
        </row>
      </sheetData>
      <sheetData sheetId="5770">
        <row r="6">
          <cell r="EO6">
            <v>0</v>
          </cell>
        </row>
      </sheetData>
      <sheetData sheetId="5771">
        <row r="6">
          <cell r="EO6">
            <v>0</v>
          </cell>
        </row>
      </sheetData>
      <sheetData sheetId="5772">
        <row r="6">
          <cell r="EO6">
            <v>0</v>
          </cell>
        </row>
      </sheetData>
      <sheetData sheetId="5773">
        <row r="6">
          <cell r="EO6">
            <v>0</v>
          </cell>
        </row>
      </sheetData>
      <sheetData sheetId="5774">
        <row r="6">
          <cell r="EO6">
            <v>0</v>
          </cell>
        </row>
      </sheetData>
      <sheetData sheetId="5775">
        <row r="6">
          <cell r="EO6">
            <v>0</v>
          </cell>
        </row>
      </sheetData>
      <sheetData sheetId="5776">
        <row r="6">
          <cell r="EO6">
            <v>0</v>
          </cell>
        </row>
      </sheetData>
      <sheetData sheetId="5777">
        <row r="6">
          <cell r="EO6">
            <v>0</v>
          </cell>
        </row>
      </sheetData>
      <sheetData sheetId="5778">
        <row r="6">
          <cell r="EO6">
            <v>0</v>
          </cell>
        </row>
      </sheetData>
      <sheetData sheetId="5779">
        <row r="6">
          <cell r="EO6">
            <v>0</v>
          </cell>
        </row>
      </sheetData>
      <sheetData sheetId="5780">
        <row r="6">
          <cell r="EO6">
            <v>0</v>
          </cell>
        </row>
      </sheetData>
      <sheetData sheetId="5781">
        <row r="6">
          <cell r="EO6">
            <v>0</v>
          </cell>
        </row>
      </sheetData>
      <sheetData sheetId="5782">
        <row r="6">
          <cell r="EO6">
            <v>0</v>
          </cell>
        </row>
      </sheetData>
      <sheetData sheetId="5783">
        <row r="6">
          <cell r="EO6">
            <v>0</v>
          </cell>
        </row>
      </sheetData>
      <sheetData sheetId="5784">
        <row r="6">
          <cell r="EO6">
            <v>0</v>
          </cell>
        </row>
      </sheetData>
      <sheetData sheetId="5785">
        <row r="6">
          <cell r="EO6">
            <v>0</v>
          </cell>
        </row>
      </sheetData>
      <sheetData sheetId="5786">
        <row r="6">
          <cell r="EO6">
            <v>0</v>
          </cell>
        </row>
      </sheetData>
      <sheetData sheetId="5787">
        <row r="6">
          <cell r="EO6">
            <v>0</v>
          </cell>
        </row>
      </sheetData>
      <sheetData sheetId="5788">
        <row r="6">
          <cell r="EO6">
            <v>0</v>
          </cell>
        </row>
      </sheetData>
      <sheetData sheetId="5789">
        <row r="6">
          <cell r="EO6">
            <v>0</v>
          </cell>
        </row>
      </sheetData>
      <sheetData sheetId="5790">
        <row r="6">
          <cell r="EO6">
            <v>0</v>
          </cell>
        </row>
      </sheetData>
      <sheetData sheetId="5791">
        <row r="6">
          <cell r="EO6">
            <v>0</v>
          </cell>
        </row>
      </sheetData>
      <sheetData sheetId="5792">
        <row r="6">
          <cell r="EO6">
            <v>0</v>
          </cell>
        </row>
      </sheetData>
      <sheetData sheetId="5793">
        <row r="6">
          <cell r="EO6">
            <v>0</v>
          </cell>
        </row>
      </sheetData>
      <sheetData sheetId="5794">
        <row r="6">
          <cell r="EO6">
            <v>0</v>
          </cell>
        </row>
      </sheetData>
      <sheetData sheetId="5795">
        <row r="6">
          <cell r="EO6">
            <v>0</v>
          </cell>
        </row>
      </sheetData>
      <sheetData sheetId="5796">
        <row r="6">
          <cell r="EO6">
            <v>0</v>
          </cell>
        </row>
      </sheetData>
      <sheetData sheetId="5797">
        <row r="6">
          <cell r="EO6">
            <v>0</v>
          </cell>
        </row>
      </sheetData>
      <sheetData sheetId="5798">
        <row r="6">
          <cell r="EO6">
            <v>0</v>
          </cell>
        </row>
      </sheetData>
      <sheetData sheetId="5799">
        <row r="6">
          <cell r="EO6">
            <v>0</v>
          </cell>
        </row>
      </sheetData>
      <sheetData sheetId="5800">
        <row r="6">
          <cell r="EO6">
            <v>0</v>
          </cell>
        </row>
      </sheetData>
      <sheetData sheetId="5801">
        <row r="6">
          <cell r="EO6">
            <v>0</v>
          </cell>
        </row>
      </sheetData>
      <sheetData sheetId="5802">
        <row r="6">
          <cell r="EO6">
            <v>0</v>
          </cell>
        </row>
      </sheetData>
      <sheetData sheetId="5803">
        <row r="6">
          <cell r="EO6">
            <v>0</v>
          </cell>
        </row>
      </sheetData>
      <sheetData sheetId="5804">
        <row r="6">
          <cell r="EO6">
            <v>0</v>
          </cell>
        </row>
      </sheetData>
      <sheetData sheetId="5805">
        <row r="6">
          <cell r="EO6">
            <v>0</v>
          </cell>
        </row>
      </sheetData>
      <sheetData sheetId="5806">
        <row r="6">
          <cell r="EO6">
            <v>0</v>
          </cell>
        </row>
      </sheetData>
      <sheetData sheetId="5807">
        <row r="6">
          <cell r="EO6">
            <v>0</v>
          </cell>
        </row>
      </sheetData>
      <sheetData sheetId="5808">
        <row r="6">
          <cell r="EO6">
            <v>0</v>
          </cell>
        </row>
      </sheetData>
      <sheetData sheetId="5809">
        <row r="6">
          <cell r="EO6">
            <v>0</v>
          </cell>
        </row>
      </sheetData>
      <sheetData sheetId="5810">
        <row r="6">
          <cell r="EO6">
            <v>0</v>
          </cell>
        </row>
      </sheetData>
      <sheetData sheetId="5811">
        <row r="6">
          <cell r="EO6">
            <v>0</v>
          </cell>
        </row>
      </sheetData>
      <sheetData sheetId="5812">
        <row r="6">
          <cell r="EO6">
            <v>0</v>
          </cell>
        </row>
      </sheetData>
      <sheetData sheetId="5813">
        <row r="6">
          <cell r="EO6">
            <v>0</v>
          </cell>
        </row>
      </sheetData>
      <sheetData sheetId="5814">
        <row r="6">
          <cell r="EO6">
            <v>0</v>
          </cell>
        </row>
      </sheetData>
      <sheetData sheetId="5815">
        <row r="6">
          <cell r="EO6">
            <v>0</v>
          </cell>
        </row>
      </sheetData>
      <sheetData sheetId="5816">
        <row r="6">
          <cell r="EO6">
            <v>0</v>
          </cell>
        </row>
      </sheetData>
      <sheetData sheetId="5817">
        <row r="6">
          <cell r="EO6">
            <v>0</v>
          </cell>
        </row>
      </sheetData>
      <sheetData sheetId="5818">
        <row r="6">
          <cell r="EO6">
            <v>0</v>
          </cell>
        </row>
      </sheetData>
      <sheetData sheetId="5819">
        <row r="6">
          <cell r="EO6">
            <v>0</v>
          </cell>
        </row>
      </sheetData>
      <sheetData sheetId="5820">
        <row r="6">
          <cell r="EO6">
            <v>0</v>
          </cell>
        </row>
      </sheetData>
      <sheetData sheetId="5821">
        <row r="6">
          <cell r="EO6">
            <v>0</v>
          </cell>
        </row>
      </sheetData>
      <sheetData sheetId="5822">
        <row r="6">
          <cell r="EO6">
            <v>0</v>
          </cell>
        </row>
      </sheetData>
      <sheetData sheetId="5823">
        <row r="6">
          <cell r="EO6">
            <v>0</v>
          </cell>
        </row>
      </sheetData>
      <sheetData sheetId="5824">
        <row r="6">
          <cell r="EO6">
            <v>0</v>
          </cell>
        </row>
      </sheetData>
      <sheetData sheetId="5825"/>
      <sheetData sheetId="5826">
        <row r="6">
          <cell r="EO6">
            <v>0</v>
          </cell>
        </row>
      </sheetData>
      <sheetData sheetId="5827"/>
      <sheetData sheetId="5828"/>
      <sheetData sheetId="5829">
        <row r="6">
          <cell r="EO6">
            <v>0</v>
          </cell>
        </row>
      </sheetData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 refreshError="1"/>
      <sheetData sheetId="10091"/>
      <sheetData sheetId="10092"/>
      <sheetData sheetId="10093"/>
      <sheetData sheetId="10094" refreshError="1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>
        <row r="6">
          <cell r="EO6">
            <v>0</v>
          </cell>
        </row>
      </sheetData>
      <sheetData sheetId="10180"/>
      <sheetData sheetId="10181"/>
      <sheetData sheetId="10182"/>
      <sheetData sheetId="10183"/>
      <sheetData sheetId="10184">
        <row r="6">
          <cell r="EO6">
            <v>0</v>
          </cell>
        </row>
      </sheetData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>
        <row r="6">
          <cell r="EO6">
            <v>0</v>
          </cell>
        </row>
      </sheetData>
      <sheetData sheetId="10457"/>
      <sheetData sheetId="10458"/>
      <sheetData sheetId="10459"/>
      <sheetData sheetId="10460"/>
      <sheetData sheetId="10461">
        <row r="6">
          <cell r="EO6">
            <v>0</v>
          </cell>
        </row>
      </sheetData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Sum"/>
      <sheetName val="Raw Data Sheet"/>
      <sheetName val="PU_CSS"/>
      <sheetName val="new_CSS_PU_form(95)"/>
      <sheetName val="PU_CSS1"/>
      <sheetName val="new_CSS_PU_form(95)1"/>
      <sheetName val="Raw_Data_Sheet"/>
      <sheetName val="입금"/>
      <sheetName val="Cutting Dies "/>
      <sheetName val="#REF"/>
      <sheetName val="SHOX REMID II"/>
      <sheetName val="IBASE"/>
      <sheetName val="Sheet1 (2)"/>
      <sheetName val="NAME"/>
      <sheetName val="Spray Tower Machine"/>
      <sheetName val="Tables"/>
      <sheetName val="Sheet1"/>
      <sheetName val="NgungMay"/>
      <sheetName val="KNgungMay"/>
      <sheetName val="PM"/>
      <sheetName val="Report"/>
      <sheetName val="HUARACHE DANCE LOW"/>
      <sheetName val="IP ( Spray )."/>
      <sheetName val="DI-ESTI"/>
      <sheetName val="내수1.8GL"/>
      <sheetName val="LOB Auto CS 90"/>
      <sheetName val="PU "/>
      <sheetName val="SHOX NAVINA , SHOX REVEAL"/>
      <sheetName val="Spray Turbulence 16 - 17"/>
      <sheetName val=" Wedge "/>
      <sheetName val="Shox NZ"/>
      <sheetName val="map"/>
      <sheetName val="재단재고"/>
      <sheetName val="K2"/>
      <sheetName val="MAY"/>
      <sheetName val="Cutting_Dies_"/>
      <sheetName val="SHOX_REMID_II"/>
      <sheetName val="Cover"/>
      <sheetName val="Chi tiet"/>
      <sheetName val="MTL(AG)"/>
      <sheetName val="Vietnam Report"/>
      <sheetName val="Bangke"/>
      <sheetName val="GFP Type"/>
      <sheetName val="1a"/>
      <sheetName val="PIDATA"/>
      <sheetName val="ESTI."/>
      <sheetName val="#REF!"/>
      <sheetName val="Book1"/>
      <sheetName val="Tai khoan"/>
      <sheetName val="PU_CSS2"/>
      <sheetName val="new_CSS_PU_form(95)2"/>
      <sheetName val="Raw_Data_Sheet1"/>
      <sheetName val="Cutting_Dies_1"/>
      <sheetName val="SHOX_REMID_II1"/>
      <sheetName val="Sheet1_(2)"/>
      <sheetName val="Spray_Tower_Machine"/>
      <sheetName val="HUARACHE_DANCE_LOW"/>
      <sheetName val="IP_(_Spray_)_"/>
      <sheetName val="내수1_8GL"/>
      <sheetName val="LOB_Auto_CS_90"/>
      <sheetName val="PU_"/>
      <sheetName val="SHOX_NAVINA_,_SHOX_REVEAL"/>
      <sheetName val="Spray_Turbulence_16_-_17"/>
      <sheetName val="_Wedge_"/>
      <sheetName val="Shox_NZ"/>
      <sheetName val="Chi_tiet"/>
      <sheetName val="Vietnam_Report"/>
      <sheetName val="GFP_Type"/>
      <sheetName val="ESTI_"/>
      <sheetName val="Tai_khoan"/>
      <sheetName val="PU_CSS3"/>
      <sheetName val="new_CSS_PU_form(95)3"/>
      <sheetName val="Raw_Data_Sheet2"/>
      <sheetName val="Cutting_Dies_2"/>
      <sheetName val="SHOX_REMID_II2"/>
      <sheetName val="Sheet1_(2)1"/>
      <sheetName val="Spray_Tower_Machine1"/>
      <sheetName val="HUARACHE_DANCE_LOW1"/>
      <sheetName val="IP_(_Spray_)_1"/>
      <sheetName val="내수1_8GL1"/>
      <sheetName val="LOB_Auto_CS_901"/>
      <sheetName val="PU_1"/>
      <sheetName val="SHOX_NAVINA_,_SHOX_REVEAL1"/>
      <sheetName val="Spray_Turbulence_16_-_171"/>
      <sheetName val="_Wedge_1"/>
      <sheetName val="Shox_NZ1"/>
      <sheetName val="Chi_tiet1"/>
      <sheetName val="Vietnam_Report1"/>
      <sheetName val="GFP_Type1"/>
      <sheetName val="ESTI_1"/>
      <sheetName val="Tai_khoan1"/>
      <sheetName val="new_CSS_PU_form(95)4"/>
      <sheetName val="PU_CSS5"/>
      <sheetName val="new_CSS_PU_form(95)6"/>
      <sheetName val="Raw_Data_Sheet4"/>
      <sheetName val="PU_CSS4"/>
      <sheetName val="new_CSS_PU_form(95)5"/>
      <sheetName val="Raw_Data_Sheet3"/>
      <sheetName val="PU_CSS6"/>
      <sheetName val="new_CSS_PU_form(95)7"/>
      <sheetName val="Raw_Data_Sheet5"/>
      <sheetName val="PU_CSS7"/>
      <sheetName val="new_CSS_PU_form(95)8"/>
      <sheetName val="Raw_Data_Sheet6"/>
      <sheetName val="PU_CSS9"/>
      <sheetName val="new_CSS_PU_form(95)10"/>
      <sheetName val="Raw_Data_Sheet8"/>
      <sheetName val="PU_CSS8"/>
      <sheetName val="new_CSS_PU_form(95)9"/>
      <sheetName val="Raw_Data_Sheet7"/>
      <sheetName val="PU_CSS10"/>
      <sheetName val="new_CSS_PU_form(95)11"/>
      <sheetName val="Raw_Data_Sheet9"/>
      <sheetName val="PU_CSS11"/>
      <sheetName val="new_CSS_PU_form(95)12"/>
      <sheetName val="Raw_Data_Sheet10"/>
      <sheetName val="PU_CSS12"/>
      <sheetName val="new_CSS_PU_form(95)13"/>
      <sheetName val="Raw_Data_Sheet11"/>
      <sheetName val="PU_CSS14"/>
      <sheetName val="new_CSS_PU_form(95)15"/>
      <sheetName val="Raw_Data_Sheet13"/>
      <sheetName val="PU_CSS13"/>
      <sheetName val="new_CSS_PU_form(95)14"/>
      <sheetName val="Raw_Data_Sheet12"/>
      <sheetName val="PU_CSS15"/>
      <sheetName val="new_CSS_PU_form(95)16"/>
      <sheetName val="Raw_Data_Sheet14"/>
      <sheetName val="PU_CSS17"/>
      <sheetName val="new_CSS_PU_form(95)18"/>
      <sheetName val="Raw_Data_Sheet16"/>
      <sheetName val="PU_CSS16"/>
      <sheetName val="new_CSS_PU_form(95)17"/>
      <sheetName val="Raw_Data_Sheet15"/>
      <sheetName val="PU_CSS18"/>
      <sheetName val="new_CSS_PU_form(95)19"/>
      <sheetName val="Raw_Data_Sheet17"/>
      <sheetName val="PU_CSS19"/>
      <sheetName val="new_CSS_PU_form(95)20"/>
      <sheetName val="Raw_Data_Sheet18"/>
      <sheetName val="PU_CSS20"/>
      <sheetName val="new_CSS_PU_form(95)21"/>
      <sheetName val="Raw_Data_Sheet19"/>
      <sheetName val="PU_CSS21"/>
      <sheetName val="new_CSS_PU_form(95)22"/>
      <sheetName val="Raw_Data_Sheet20"/>
      <sheetName val="new_CSS_PU_form(95)23"/>
      <sheetName val="PU_CSS22"/>
      <sheetName val="new_CSS_PU_form(95)24"/>
      <sheetName val="Raw_Data_Sheet21"/>
      <sheetName val="PU_CSS23"/>
      <sheetName val="new_CSS_PU_form(95)25"/>
      <sheetName val="Raw_Data_Sheet22"/>
      <sheetName val="new_CSS_PU_form(95)26"/>
      <sheetName val="PU_CSS24"/>
      <sheetName val="new_CSS_PU_form(95)27"/>
      <sheetName val="Raw_Data_Sheet23"/>
      <sheetName val="PU_CSS25"/>
      <sheetName val="new_CSS_PU_form(95)28"/>
      <sheetName val="Raw_Data_Sheet24"/>
      <sheetName val="new_CSS_PU_form(95)29"/>
      <sheetName val="PU_CSS26"/>
      <sheetName val="new_CSS_PU_form(95)30"/>
      <sheetName val="Raw_Data_Sheet25"/>
      <sheetName val="PU_CSS27"/>
      <sheetName val="new_CSS_PU_form(95)31"/>
      <sheetName val="Raw_Data_Sheet26"/>
      <sheetName val="PU_CSS28"/>
      <sheetName val="new_CSS_PU_form(95)32"/>
      <sheetName val="Raw_Data_Sheet27"/>
      <sheetName val="PU_CSS29"/>
      <sheetName val="new_CSS_PU_form(95)33"/>
      <sheetName val="Raw_Data_Sheet28"/>
      <sheetName val="new_CSS_PU_form(95)34"/>
      <sheetName val="Stockfit Standard"/>
      <sheetName val="Gia V1L"/>
      <sheetName val="RESULT B"/>
      <sheetName val="Assembly "/>
      <sheetName val="0103"/>
      <sheetName val="高周波流程"/>
      <sheetName val="calculations"/>
      <sheetName val="FORCE I (DS)"/>
      <sheetName val="IMPAX RUN (DS)"/>
      <sheetName val="CITY COURT (HY)"/>
      <sheetName val="CITY COURT (DS)"/>
      <sheetName val="IMPAX RUN (HY)"/>
      <sheetName val="FORCE I (HY)"/>
      <sheetName val="Gia_V1L"/>
      <sheetName val="RESULT_B"/>
      <sheetName val="Assembly_"/>
      <sheetName val="Stockfit_Standard"/>
      <sheetName val="5.수정데이터통합"/>
      <sheetName val="QMCT"/>
      <sheetName val="제조공정도5"/>
      <sheetName val="XREF"/>
      <sheetName val="DropDown"/>
      <sheetName val="new CSS PU form(95).xl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%20CSS%20PU%20form(95).xls"/>
      <sheetName val="XL4Poppy"/>
      <sheetName val="Sheet2"/>
      <sheetName val="7-3"/>
      <sheetName val="PU_CSS36"/>
      <sheetName val="new_CSS_PU_form(95)44"/>
      <sheetName val="Raw_Data_Sheet35"/>
      <sheetName val="Cutting_Dies_9"/>
      <sheetName val="SHOX_REMID_II9"/>
      <sheetName val="Sheet1_(2)8"/>
      <sheetName val="Spray_Tower_Machine8"/>
      <sheetName val="HUARACHE_DANCE_LOW8"/>
      <sheetName val="IP_(_Spray_)_8"/>
      <sheetName val="내수1_8GL8"/>
      <sheetName val="PU_8"/>
      <sheetName val="SHOX_NAVINA_,_SHOX_REVEAL8"/>
      <sheetName val="Spray_Turbulence_16_-_178"/>
      <sheetName val="_Wedge_8"/>
      <sheetName val="Shox_NZ8"/>
      <sheetName val="LOB_Auto_CS_908"/>
      <sheetName val="Chi_tiet8"/>
      <sheetName val="Vietnam_Report8"/>
      <sheetName val="GFP_Type8"/>
      <sheetName val="ESTI_8"/>
      <sheetName val="Tai_khoan8"/>
      <sheetName val="PU_CSS30"/>
      <sheetName val="new_CSS_PU_form(95)35"/>
      <sheetName val="Raw_Data_Sheet29"/>
      <sheetName val="Cutting_Dies_3"/>
      <sheetName val="SHOX_REMID_II3"/>
      <sheetName val="Sheet1_(2)2"/>
      <sheetName val="Spray_Tower_Machine2"/>
      <sheetName val="HUARACHE_DANCE_LOW2"/>
      <sheetName val="IP_(_Spray_)_2"/>
      <sheetName val="내수1_8GL2"/>
      <sheetName val="PU_2"/>
      <sheetName val="SHOX_NAVINA_,_SHOX_REVEAL2"/>
      <sheetName val="Spray_Turbulence_16_-_172"/>
      <sheetName val="_Wedge_2"/>
      <sheetName val="Shox_NZ2"/>
      <sheetName val="LOB_Auto_CS_902"/>
      <sheetName val="Chi_tiet2"/>
      <sheetName val="Vietnam_Report2"/>
      <sheetName val="GFP_Type2"/>
      <sheetName val="ESTI_2"/>
      <sheetName val="Tai_khoan2"/>
      <sheetName val="PU_CSS33"/>
      <sheetName val="new_CSS_PU_form(95)40"/>
      <sheetName val="Raw_Data_Sheet32"/>
      <sheetName val="Cutting_Dies_6"/>
      <sheetName val="SHOX_REMID_II6"/>
      <sheetName val="Sheet1_(2)5"/>
      <sheetName val="Spray_Tower_Machine5"/>
      <sheetName val="HUARACHE_DANCE_LOW5"/>
      <sheetName val="IP_(_Spray_)_5"/>
      <sheetName val="내수1_8GL5"/>
      <sheetName val="PU_5"/>
      <sheetName val="SHOX_NAVINA_,_SHOX_REVEAL5"/>
      <sheetName val="Spray_Turbulence_16_-_175"/>
      <sheetName val="_Wedge_5"/>
      <sheetName val="Shox_NZ5"/>
      <sheetName val="LOB_Auto_CS_905"/>
      <sheetName val="Chi_tiet5"/>
      <sheetName val="Vietnam_Report5"/>
      <sheetName val="GFP_Type5"/>
      <sheetName val="ESTI_5"/>
      <sheetName val="Tai_khoan5"/>
      <sheetName val="PU_CSS31"/>
      <sheetName val="new_CSS_PU_form(95)36"/>
      <sheetName val="Raw_Data_Sheet30"/>
      <sheetName val="Cutting_Dies_4"/>
      <sheetName val="SHOX_REMID_II4"/>
      <sheetName val="Sheet1_(2)3"/>
      <sheetName val="Spray_Tower_Machine3"/>
      <sheetName val="HUARACHE_DANCE_LOW3"/>
      <sheetName val="IP_(_Spray_)_3"/>
      <sheetName val="내수1_8GL3"/>
      <sheetName val="PU_3"/>
      <sheetName val="SHOX_NAVINA_,_SHOX_REVEAL3"/>
      <sheetName val="Spray_Turbulence_16_-_173"/>
      <sheetName val="_Wedge_3"/>
      <sheetName val="Shox_NZ3"/>
      <sheetName val="LOB_Auto_CS_903"/>
      <sheetName val="Chi_tiet3"/>
      <sheetName val="Vietnam_Report3"/>
      <sheetName val="GFP_Type3"/>
      <sheetName val="ESTI_3"/>
      <sheetName val="Tai_khoan3"/>
      <sheetName val="new_CSS_PU_form(95)37"/>
      <sheetName val="new_CSS_PU_form(95)38"/>
      <sheetName val="PU_CSS32"/>
      <sheetName val="Raw_Data_Sheet31"/>
      <sheetName val="Cutting_Dies_5"/>
      <sheetName val="SHOX_REMID_II5"/>
      <sheetName val="Sheet1_(2)4"/>
      <sheetName val="Spray_Tower_Machine4"/>
      <sheetName val="HUARACHE_DANCE_LOW4"/>
      <sheetName val="IP_(_Spray_)_4"/>
      <sheetName val="내수1_8GL4"/>
      <sheetName val="PU_4"/>
      <sheetName val="SHOX_NAVINA_,_SHOX_REVEAL4"/>
      <sheetName val="Spray_Turbulence_16_-_174"/>
      <sheetName val="_Wedge_4"/>
      <sheetName val="Shox_NZ4"/>
      <sheetName val="LOB_Auto_CS_904"/>
      <sheetName val="Chi_tiet4"/>
      <sheetName val="Vietnam_Report4"/>
      <sheetName val="GFP_Type4"/>
      <sheetName val="ESTI_4"/>
      <sheetName val="Tai_khoan4"/>
      <sheetName val="new_CSS_PU_form(95)39"/>
      <sheetName val="new_CSS_PU_form(95)41"/>
      <sheetName val="PU_CSS34"/>
      <sheetName val="new_CSS_PU_form(95)42"/>
      <sheetName val="Raw_Data_Sheet33"/>
      <sheetName val="Cutting_Dies_7"/>
      <sheetName val="SHOX_REMID_II7"/>
      <sheetName val="Sheet1_(2)6"/>
      <sheetName val="Spray_Tower_Machine6"/>
      <sheetName val="HUARACHE_DANCE_LOW6"/>
      <sheetName val="IP_(_Spray_)_6"/>
      <sheetName val="내수1_8GL6"/>
      <sheetName val="PU_6"/>
      <sheetName val="SHOX_NAVINA_,_SHOX_REVEAL6"/>
      <sheetName val="Spray_Turbulence_16_-_176"/>
      <sheetName val="_Wedge_6"/>
      <sheetName val="Shox_NZ6"/>
      <sheetName val="LOB_Auto_CS_906"/>
      <sheetName val="Chi_tiet6"/>
      <sheetName val="Vietnam_Report6"/>
      <sheetName val="GFP_Type6"/>
      <sheetName val="ESTI_6"/>
      <sheetName val="Tai_khoan6"/>
      <sheetName val="PU_CSS35"/>
      <sheetName val="new_CSS_PU_form(95)43"/>
      <sheetName val="Raw_Data_Sheet34"/>
      <sheetName val="Cutting_Dies_8"/>
      <sheetName val="SHOX_REMID_II8"/>
      <sheetName val="Sheet1_(2)7"/>
      <sheetName val="Spray_Tower_Machine7"/>
      <sheetName val="HUARACHE_DANCE_LOW7"/>
      <sheetName val="IP_(_Spray_)_7"/>
      <sheetName val="내수1_8GL7"/>
      <sheetName val="PU_7"/>
      <sheetName val="SHOX_NAVINA_,_SHOX_REVEAL7"/>
      <sheetName val="Spray_Turbulence_16_-_177"/>
      <sheetName val="_Wedge_7"/>
      <sheetName val="Shox_NZ7"/>
      <sheetName val="LOB_Auto_CS_907"/>
      <sheetName val="Chi_tiet7"/>
      <sheetName val="Vietnam_Report7"/>
      <sheetName val="GFP_Type7"/>
      <sheetName val="ESTI_7"/>
      <sheetName val="Tai_khoan7"/>
      <sheetName val="new_CSS_PU_form(95)45"/>
      <sheetName val="new_CSS_PU_form(95)46"/>
      <sheetName val="new_CSS_PU_form(95)52"/>
      <sheetName val="PU_CSS42"/>
      <sheetName val="Raw_Data_Sheet41"/>
      <sheetName val="Cutting_Dies_15"/>
      <sheetName val="SHOX_REMID_II15"/>
      <sheetName val="Sheet1_(2)14"/>
      <sheetName val="Spray_Tower_Machine14"/>
      <sheetName val="HUARACHE_DANCE_LOW14"/>
      <sheetName val="IP_(_Spray_)_14"/>
      <sheetName val="내수1_8GL14"/>
      <sheetName val="PU_14"/>
      <sheetName val="SHOX_NAVINA_,_SHOX_REVEAL14"/>
      <sheetName val="Spray_Turbulence_16_-_1714"/>
      <sheetName val="_Wedge_14"/>
      <sheetName val="Shox_NZ14"/>
      <sheetName val="LOB_Auto_CS_9014"/>
      <sheetName val="Chi_tiet14"/>
      <sheetName val="Vietnam_Report14"/>
      <sheetName val="GFP_Type14"/>
      <sheetName val="ESTI_14"/>
      <sheetName val="Tai_khoan14"/>
      <sheetName val="new_CSS_PU_form(95)47"/>
      <sheetName val="PU_CSS37"/>
      <sheetName val="Raw_Data_Sheet36"/>
      <sheetName val="Cutting_Dies_10"/>
      <sheetName val="SHOX_REMID_II10"/>
      <sheetName val="Sheet1_(2)9"/>
      <sheetName val="Spray_Tower_Machine9"/>
      <sheetName val="HUARACHE_DANCE_LOW9"/>
      <sheetName val="IP_(_Spray_)_9"/>
      <sheetName val="내수1_8GL9"/>
      <sheetName val="PU_9"/>
      <sheetName val="SHOX_NAVINA_,_SHOX_REVEAL9"/>
      <sheetName val="Spray_Turbulence_16_-_179"/>
      <sheetName val="_Wedge_9"/>
      <sheetName val="Shox_NZ9"/>
      <sheetName val="LOB_Auto_CS_909"/>
      <sheetName val="Chi_tiet9"/>
      <sheetName val="Vietnam_Report9"/>
      <sheetName val="GFP_Type9"/>
      <sheetName val="ESTI_9"/>
      <sheetName val="Tai_khoan9"/>
      <sheetName val="new_CSS_PU_form(95)48"/>
      <sheetName val="PU_CSS38"/>
      <sheetName val="Raw_Data_Sheet37"/>
      <sheetName val="Cutting_Dies_11"/>
      <sheetName val="SHOX_REMID_II11"/>
      <sheetName val="Sheet1_(2)10"/>
      <sheetName val="Spray_Tower_Machine10"/>
      <sheetName val="HUARACHE_DANCE_LOW10"/>
      <sheetName val="IP_(_Spray_)_10"/>
      <sheetName val="내수1_8GL10"/>
      <sheetName val="PU_10"/>
      <sheetName val="SHOX_NAVINA_,_SHOX_REVEAL10"/>
      <sheetName val="Spray_Turbulence_16_-_1710"/>
      <sheetName val="_Wedge_10"/>
      <sheetName val="Shox_NZ10"/>
      <sheetName val="LOB_Auto_CS_9010"/>
      <sheetName val="Chi_tiet10"/>
      <sheetName val="Vietnam_Report10"/>
      <sheetName val="GFP_Type10"/>
      <sheetName val="ESTI_10"/>
      <sheetName val="Tai_khoan10"/>
      <sheetName val="new_CSS_PU_form(95)49"/>
      <sheetName val="PU_CSS39"/>
      <sheetName val="Raw_Data_Sheet38"/>
      <sheetName val="Cutting_Dies_12"/>
      <sheetName val="SHOX_REMID_II12"/>
      <sheetName val="Sheet1_(2)11"/>
      <sheetName val="Spray_Tower_Machine11"/>
      <sheetName val="HUARACHE_DANCE_LOW11"/>
      <sheetName val="IP_(_Spray_)_11"/>
      <sheetName val="내수1_8GL11"/>
      <sheetName val="PU_11"/>
      <sheetName val="SHOX_NAVINA_,_SHOX_REVEAL11"/>
      <sheetName val="Spray_Turbulence_16_-_1711"/>
      <sheetName val="_Wedge_11"/>
      <sheetName val="Shox_NZ11"/>
      <sheetName val="LOB_Auto_CS_9011"/>
      <sheetName val="Chi_tiet11"/>
      <sheetName val="Vietnam_Report11"/>
      <sheetName val="GFP_Type11"/>
      <sheetName val="ESTI_11"/>
      <sheetName val="Tai_khoan11"/>
      <sheetName val="new_CSS_PU_form(95)50"/>
      <sheetName val="PU_CSS40"/>
      <sheetName val="Raw_Data_Sheet39"/>
      <sheetName val="Cutting_Dies_13"/>
      <sheetName val="SHOX_REMID_II13"/>
      <sheetName val="Sheet1_(2)12"/>
      <sheetName val="Spray_Tower_Machine12"/>
      <sheetName val="HUARACHE_DANCE_LOW12"/>
      <sheetName val="IP_(_Spray_)_12"/>
      <sheetName val="내수1_8GL12"/>
      <sheetName val="PU_12"/>
      <sheetName val="SHOX_NAVINA_,_SHOX_REVEAL12"/>
      <sheetName val="Spray_Turbulence_16_-_1712"/>
      <sheetName val="_Wedge_12"/>
      <sheetName val="Shox_NZ12"/>
      <sheetName val="LOB_Auto_CS_9012"/>
      <sheetName val="Chi_tiet12"/>
      <sheetName val="Vietnam_Report12"/>
      <sheetName val="GFP_Type12"/>
      <sheetName val="ESTI_12"/>
      <sheetName val="Tai_khoan12"/>
      <sheetName val="new_CSS_PU_form(95)51"/>
      <sheetName val="PU_CSS41"/>
      <sheetName val="Raw_Data_Sheet40"/>
      <sheetName val="Cutting_Dies_14"/>
      <sheetName val="SHOX_REMID_II14"/>
      <sheetName val="Sheet1_(2)13"/>
      <sheetName val="Spray_Tower_Machine13"/>
      <sheetName val="HUARACHE_DANCE_LOW13"/>
      <sheetName val="IP_(_Spray_)_13"/>
      <sheetName val="내수1_8GL13"/>
      <sheetName val="PU_13"/>
      <sheetName val="SHOX_NAVINA_,_SHOX_REVEAL13"/>
      <sheetName val="Spray_Turbulence_16_-_1713"/>
      <sheetName val="_Wedge_13"/>
      <sheetName val="Shox_NZ13"/>
      <sheetName val="LOB_Auto_CS_9013"/>
      <sheetName val="Chi_tiet13"/>
      <sheetName val="Vietnam_Report13"/>
      <sheetName val="GFP_Type13"/>
      <sheetName val="ESTI_13"/>
      <sheetName val="Tai_khoan13"/>
      <sheetName val="new_CSS_PU_form(95)53"/>
      <sheetName val="PU_CSS43"/>
      <sheetName val="Raw_Data_Sheet42"/>
      <sheetName val="Cutting_Dies_16"/>
      <sheetName val="SHOX_REMID_II16"/>
      <sheetName val="Sheet1_(2)15"/>
      <sheetName val="Spray_Tower_Machine15"/>
      <sheetName val="HUARACHE_DANCE_LOW15"/>
      <sheetName val="IP_(_Spray_)_15"/>
      <sheetName val="내수1_8GL15"/>
      <sheetName val="PU_15"/>
      <sheetName val="SHOX_NAVINA_,_SHOX_REVEAL15"/>
      <sheetName val="Spray_Turbulence_16_-_1715"/>
      <sheetName val="_Wedge_15"/>
      <sheetName val="Shox_NZ15"/>
      <sheetName val="LOB_Auto_CS_9015"/>
      <sheetName val="Chi_tiet15"/>
      <sheetName val="Vietnam_Report15"/>
      <sheetName val="GFP_Type15"/>
      <sheetName val="ESTI_15"/>
      <sheetName val="Tai_khoan15"/>
      <sheetName val="PU_CSS45"/>
      <sheetName val="new_CSS_PU_form(95)55"/>
      <sheetName val="Raw_Data_Sheet44"/>
      <sheetName val="Cutting_Dies_18"/>
      <sheetName val="SHOX_REMID_II18"/>
      <sheetName val="Sheet1_(2)17"/>
      <sheetName val="Spray_Tower_Machine17"/>
      <sheetName val="HUARACHE_DANCE_LOW17"/>
      <sheetName val="IP_(_Spray_)_17"/>
      <sheetName val="내수1_8GL17"/>
      <sheetName val="PU_17"/>
      <sheetName val="SHOX_NAVINA_,_SHOX_REVEAL17"/>
      <sheetName val="Spray_Turbulence_16_-_1717"/>
      <sheetName val="_Wedge_17"/>
      <sheetName val="Shox_NZ17"/>
      <sheetName val="LOB_Auto_CS_9017"/>
      <sheetName val="Chi_tiet17"/>
      <sheetName val="Vietnam_Report17"/>
      <sheetName val="GFP_Type17"/>
      <sheetName val="ESTI_17"/>
      <sheetName val="Tai_khoan17"/>
      <sheetName val="new_CSS_PU_form(95)54"/>
      <sheetName val="PU_CSS44"/>
      <sheetName val="Raw_Data_Sheet43"/>
      <sheetName val="Cutting_Dies_17"/>
      <sheetName val="SHOX_REMID_II17"/>
      <sheetName val="Sheet1_(2)16"/>
      <sheetName val="Spray_Tower_Machine16"/>
      <sheetName val="HUARACHE_DANCE_LOW16"/>
      <sheetName val="IP_(_Spray_)_16"/>
      <sheetName val="내수1_8GL16"/>
      <sheetName val="PU_16"/>
      <sheetName val="SHOX_NAVINA_,_SHOX_REVEAL16"/>
      <sheetName val="Spray_Turbulence_16_-_1716"/>
      <sheetName val="_Wedge_16"/>
      <sheetName val="Shox_NZ16"/>
      <sheetName val="LOB_Auto_CS_9016"/>
      <sheetName val="Chi_tiet16"/>
      <sheetName val="Vietnam_Report16"/>
      <sheetName val="GFP_Type16"/>
      <sheetName val="ESTI_16"/>
      <sheetName val="Tai_khoan16"/>
      <sheetName val="new_CSS_PU_form(95)56"/>
      <sheetName val="new_CSS_PU_form(95)57"/>
      <sheetName val="PU_CSS46"/>
      <sheetName val="Raw_Data_Sheet45"/>
      <sheetName val="Cutting_Dies_19"/>
      <sheetName val="SHOX_REMID_II19"/>
      <sheetName val="Sheet1_(2)18"/>
      <sheetName val="Spray_Tower_Machine18"/>
      <sheetName val="HUARACHE_DANCE_LOW18"/>
      <sheetName val="IP_(_Spray_)_18"/>
      <sheetName val="내수1_8GL18"/>
      <sheetName val="PU_18"/>
      <sheetName val="SHOX_NAVINA_,_SHOX_REVEAL18"/>
      <sheetName val="Spray_Turbulence_16_-_1718"/>
      <sheetName val="_Wedge_18"/>
      <sheetName val="Shox_NZ18"/>
      <sheetName val="LOB_Auto_CS_9018"/>
      <sheetName val="Chi_tiet18"/>
      <sheetName val="Vietnam_Report18"/>
      <sheetName val="GFP_Type18"/>
      <sheetName val="ESTI_18"/>
      <sheetName val="Tai_khoan18"/>
      <sheetName val="new_CSS_PU_form(95)58"/>
      <sheetName val="PU_CSS47"/>
      <sheetName val="Raw_Data_Sheet46"/>
      <sheetName val="Cutting_Dies_20"/>
      <sheetName val="SHOX_REMID_II20"/>
      <sheetName val="Sheet1_(2)19"/>
      <sheetName val="Spray_Tower_Machine19"/>
      <sheetName val="HUARACHE_DANCE_LOW19"/>
      <sheetName val="IP_(_Spray_)_19"/>
      <sheetName val="내수1_8GL19"/>
      <sheetName val="PU_19"/>
      <sheetName val="SHOX_NAVINA_,_SHOX_REVEAL19"/>
      <sheetName val="Spray_Turbulence_16_-_1719"/>
      <sheetName val="_Wedge_19"/>
      <sheetName val="Shox_NZ19"/>
      <sheetName val="LOB_Auto_CS_9019"/>
      <sheetName val="Chi_tiet19"/>
      <sheetName val="Vietnam_Report19"/>
      <sheetName val="GFP_Type19"/>
      <sheetName val="ESTI_19"/>
      <sheetName val="Tai_khoan19"/>
      <sheetName val="new_CSS_PU_form(95)59"/>
      <sheetName val="PU_CSS48"/>
      <sheetName val="Raw_Data_Sheet47"/>
      <sheetName val="Cutting_Dies_21"/>
      <sheetName val="SHOX_REMID_II21"/>
      <sheetName val="Sheet1_(2)20"/>
      <sheetName val="Spray_Tower_Machine20"/>
      <sheetName val="HUARACHE_DANCE_LOW20"/>
      <sheetName val="IP_(_Spray_)_20"/>
      <sheetName val="내수1_8GL20"/>
      <sheetName val="PU_20"/>
      <sheetName val="SHOX_NAVINA_,_SHOX_REVEAL20"/>
      <sheetName val="Spray_Turbulence_16_-_1720"/>
      <sheetName val="_Wedge_20"/>
      <sheetName val="Shox_NZ20"/>
      <sheetName val="LOB_Auto_CS_9020"/>
      <sheetName val="Chi_tiet20"/>
      <sheetName val="Vietnam_Report20"/>
      <sheetName val="GFP_Type20"/>
      <sheetName val="ESTI_20"/>
      <sheetName val="Tai_khoan20"/>
      <sheetName val="new_CSS_PU_form(95)60"/>
      <sheetName val="PU_CSS49"/>
      <sheetName val="Raw_Data_Sheet48"/>
      <sheetName val="Cutting_Dies_22"/>
      <sheetName val="SHOX_REMID_II22"/>
      <sheetName val="Sheet1_(2)21"/>
      <sheetName val="Spray_Tower_Machine21"/>
      <sheetName val="HUARACHE_DANCE_LOW21"/>
      <sheetName val="IP_(_Spray_)_21"/>
      <sheetName val="내수1_8GL21"/>
      <sheetName val="PU_21"/>
      <sheetName val="SHOX_NAVINA_,_SHOX_REVEAL21"/>
      <sheetName val="Spray_Turbulence_16_-_1721"/>
      <sheetName val="_Wedge_21"/>
      <sheetName val="Shox_NZ21"/>
      <sheetName val="LOB_Auto_CS_9021"/>
      <sheetName val="Chi_tiet21"/>
      <sheetName val="Vietnam_Report21"/>
      <sheetName val="GFP_Type21"/>
      <sheetName val="ESTI_21"/>
      <sheetName val="Tai_khoan21"/>
      <sheetName val="new_CSS_PU_form(95)61"/>
      <sheetName val="List"/>
      <sheetName val="WB Primer Shoe"/>
      <sheetName val="PU_CSS50"/>
      <sheetName val="new_CSS_PU_form(95)62"/>
      <sheetName val="Raw_Data_Sheet49"/>
      <sheetName val="Cutting_Dies_23"/>
      <sheetName val="SHOX_REMID_II23"/>
      <sheetName val="Sheet1_(2)22"/>
      <sheetName val="Spray_Tower_Machine22"/>
      <sheetName val="HUARACHE_DANCE_LOW22"/>
      <sheetName val="IP_(_Spray_)_22"/>
      <sheetName val="내수1_8GL22"/>
      <sheetName val="LOB_Auto_CS_9022"/>
      <sheetName val="PU_22"/>
      <sheetName val="SHOX_NAVINA_,_SHOX_REVEAL22"/>
      <sheetName val="Spray_Turbulence_16_-_1722"/>
      <sheetName val="_Wedge_22"/>
      <sheetName val="Shox_NZ22"/>
      <sheetName val="Chi_tiet22"/>
      <sheetName val="Vietnam_Report22"/>
      <sheetName val="GFP_Type22"/>
      <sheetName val="ESTI_22"/>
      <sheetName val="Tai_khoan22"/>
      <sheetName val="Stockfit_Standard1"/>
      <sheetName val="Gia_V1L1"/>
      <sheetName val="RESULT_B1"/>
      <sheetName val="Assembly_1"/>
      <sheetName val="FORCE_I_(DS)"/>
      <sheetName val="IMPAX_RUN_(DS)"/>
      <sheetName val="CITY_COURT_(HY)"/>
      <sheetName val="CITY_COURT_(DS)"/>
      <sheetName val="IMPAX_RUN_(HY)"/>
      <sheetName val="FORCE_I_(HY)"/>
      <sheetName val="5_수정데이터통합"/>
      <sheetName val="new_CSS_PU_form(95)_xl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%20CSS%20PU%20form(95)_xls"/>
      <sheetName val="WB_Primer_Shoe"/>
      <sheetName val="PU_CSS51"/>
      <sheetName val="new_CSS_PU_form(95)63"/>
      <sheetName val="Raw_Data_Sheet50"/>
      <sheetName val="Cutting_Dies_24"/>
      <sheetName val="SHOX_REMID_II24"/>
      <sheetName val="Sheet1_(2)23"/>
      <sheetName val="Spray_Tower_Machine23"/>
      <sheetName val="HUARACHE_DANCE_LOW23"/>
      <sheetName val="IP_(_Spray_)_23"/>
      <sheetName val="내수1_8GL23"/>
      <sheetName val="LOB_Auto_CS_9023"/>
      <sheetName val="PU_23"/>
      <sheetName val="SHOX_NAVINA_,_SHOX_REVEAL23"/>
      <sheetName val="Spray_Turbulence_16_-_1723"/>
      <sheetName val="_Wedge_23"/>
      <sheetName val="Shox_NZ23"/>
      <sheetName val="Chi_tiet23"/>
      <sheetName val="Vietnam_Report23"/>
      <sheetName val="GFP_Type23"/>
      <sheetName val="ESTI_23"/>
      <sheetName val="Tai_khoan23"/>
      <sheetName val="Stockfit_Standard2"/>
      <sheetName val="Gia_V1L2"/>
      <sheetName val="RESULT_B2"/>
      <sheetName val="Assembly_2"/>
      <sheetName val="FORCE_I_(DS)1"/>
      <sheetName val="IMPAX_RUN_(DS)1"/>
      <sheetName val="CITY_COURT_(HY)1"/>
      <sheetName val="CITY_COURT_(DS)1"/>
      <sheetName val="IMPAX_RUN_(HY)1"/>
      <sheetName val="FORCE_I_(HY)1"/>
      <sheetName val="5_수정데이터통합1"/>
      <sheetName val="new_CSS_PU_form(95)_xl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%20CSS%20PU%20form(95)_xls1"/>
      <sheetName val="WB_Primer_Shoe1"/>
      <sheetName val="heso"/>
    </sheetNames>
    <definedNames>
      <definedName name="A_ANALYSIS"/>
      <definedName name="A_HARDNESS"/>
      <definedName name="A_SG"/>
      <definedName name="A_VOLUME"/>
      <definedName name="A_WEIGHTS"/>
      <definedName name="A4PAPER"/>
      <definedName name="Letter"/>
      <definedName name="PAGE_WIDTH"/>
      <definedName name="view100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 CSS PU form(95)"/>
      <sheetName val="Sum"/>
      <sheetName val="PU_CS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_CSS_PU_form(95)"/>
      <sheetName val="PU_CS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_CSS_PU_form(95)1"/>
      <sheetName val="3.I-Prefit Stitching"/>
      <sheetName val="Shox NZ"/>
      <sheetName val=" Wedge "/>
      <sheetName val="SHOX REMID II"/>
      <sheetName val="Sheet1"/>
      <sheetName val="Vietnam Report"/>
      <sheetName val="GFP Type"/>
      <sheetName val="Raw Data Sheet"/>
      <sheetName val="K2"/>
      <sheetName val="MTL$-INTER"/>
      <sheetName val="obs1"/>
      <sheetName val="Tables"/>
      <sheetName val="TDTKP"/>
      <sheetName val="DK-KH"/>
      <sheetName val="Cutting Dies "/>
      <sheetName val="Master"/>
      <sheetName val="#REF!"/>
      <sheetName val="NAME"/>
      <sheetName val="MTL(AG)"/>
      <sheetName val="new%20CSS%20PU%20form(95)"/>
      <sheetName val="PU_CSS2"/>
      <sheetName val="Assembling_Process(1)2"/>
      <sheetName val="Assembling_Process(2)2"/>
      <sheetName val="Back_Part_Molding_Spec_2"/>
      <sheetName val="Production_Checklist2"/>
      <sheetName val="Sockliner_Specification2"/>
      <sheetName val="Upper_Measurement_Spec_2"/>
      <sheetName val="Wrapping_Process__2"/>
      <sheetName val="Height_list2"/>
      <sheetName val="new_CSS_PU_form(95)2"/>
      <sheetName val="3_I-Prefit_Stitching"/>
      <sheetName val="Shox_NZ"/>
      <sheetName val="_Wedge_"/>
      <sheetName val="SHOX_REMID_II"/>
      <sheetName val="Vietnam_Report"/>
      <sheetName val="GFP_Type"/>
      <sheetName val="Raw_Data_Sheet"/>
      <sheetName val="Cutting_Dies_"/>
      <sheetName val=""/>
      <sheetName val="new%20CSS%20PU%20form(95).xls"/>
      <sheetName val="new CSS PU form(95).xls"/>
      <sheetName val="#REF"/>
      <sheetName val="PU_CSS3"/>
      <sheetName val="Assembling_Process(1)3"/>
      <sheetName val="Assembling_Process(2)3"/>
      <sheetName val="Back_Part_Molding_Spec_3"/>
      <sheetName val="Production_Checklist3"/>
      <sheetName val="Sockliner_Specification3"/>
      <sheetName val="Upper_Measurement_Spec_3"/>
      <sheetName val="Wrapping_Process__3"/>
      <sheetName val="Height_list3"/>
      <sheetName val="new_CSS_PU_form(95)3"/>
      <sheetName val="new_CSS_PU_form(95)4"/>
      <sheetName val="PU_CSS5"/>
      <sheetName val="Assembling_Process(1)5"/>
      <sheetName val="Assembling_Process(2)5"/>
      <sheetName val="Back_Part_Molding_Spec_5"/>
      <sheetName val="Production_Checklist5"/>
      <sheetName val="Sockliner_Specification5"/>
      <sheetName val="Upper_Measurement_Spec_5"/>
      <sheetName val="Wrapping_Process__5"/>
      <sheetName val="Height_list5"/>
      <sheetName val="new_CSS_PU_form(95)6"/>
      <sheetName val="PU_CSS4"/>
      <sheetName val="Assembling_Process(1)4"/>
      <sheetName val="Assembling_Process(2)4"/>
      <sheetName val="Back_Part_Molding_Spec_4"/>
      <sheetName val="Production_Checklist4"/>
      <sheetName val="Sockliner_Specification4"/>
      <sheetName val="Upper_Measurement_Spec_4"/>
      <sheetName val="Wrapping_Process__4"/>
      <sheetName val="Height_list4"/>
      <sheetName val="new_CSS_PU_form(95)5"/>
      <sheetName val="PU_CSS6"/>
      <sheetName val="Assembling_Process(1)6"/>
      <sheetName val="Assembling_Process(2)6"/>
      <sheetName val="Back_Part_Molding_Spec_6"/>
      <sheetName val="Production_Checklist6"/>
      <sheetName val="Sockliner_Specification6"/>
      <sheetName val="Upper_Measurement_Spec_6"/>
      <sheetName val="Wrapping_Process__6"/>
      <sheetName val="Height_list6"/>
      <sheetName val="new_CSS_PU_form(95)7"/>
      <sheetName val="PU_CSS7"/>
      <sheetName val="Assembling_Process(1)7"/>
      <sheetName val="Assembling_Process(2)7"/>
      <sheetName val="Back_Part_Molding_Spec_7"/>
      <sheetName val="Production_Checklist7"/>
      <sheetName val="Sockliner_Specification7"/>
      <sheetName val="Upper_Measurement_Spec_7"/>
      <sheetName val="Wrapping_Process__7"/>
      <sheetName val="Height_list7"/>
      <sheetName val="new_CSS_PU_form(95)8"/>
      <sheetName val="PU_CSS9"/>
      <sheetName val="Assembling_Process(1)9"/>
      <sheetName val="Assembling_Process(2)9"/>
      <sheetName val="Back_Part_Molding_Spec_9"/>
      <sheetName val="Production_Checklist9"/>
      <sheetName val="Sockliner_Specification9"/>
      <sheetName val="Upper_Measurement_Spec_9"/>
      <sheetName val="Wrapping_Process__9"/>
      <sheetName val="Height_list9"/>
      <sheetName val="new_CSS_PU_form(95)10"/>
      <sheetName val="PU_CSS8"/>
      <sheetName val="Assembling_Process(1)8"/>
      <sheetName val="Assembling_Process(2)8"/>
      <sheetName val="Back_Part_Molding_Spec_8"/>
      <sheetName val="Production_Checklist8"/>
      <sheetName val="Sockliner_Specification8"/>
      <sheetName val="Upper_Measurement_Spec_8"/>
      <sheetName val="Wrapping_Process__8"/>
      <sheetName val="Height_list8"/>
      <sheetName val="new_CSS_PU_form(95)9"/>
      <sheetName val="PU_CSS10"/>
      <sheetName val="Assembling_Process(1)10"/>
      <sheetName val="Assembling_Process(2)10"/>
      <sheetName val="Back_Part_Molding_Spec_10"/>
      <sheetName val="Production_Checklist10"/>
      <sheetName val="Sockliner_Specification10"/>
      <sheetName val="Upper_Measurement_Spec_10"/>
      <sheetName val="Wrapping_Process__10"/>
      <sheetName val="Height_list10"/>
      <sheetName val="new_CSS_PU_form(95)11"/>
      <sheetName val="PU_CSS11"/>
      <sheetName val="Assembling_Process(1)11"/>
      <sheetName val="Assembling_Process(2)11"/>
      <sheetName val="Back_Part_Molding_Spec_11"/>
      <sheetName val="Production_Checklist11"/>
      <sheetName val="Sockliner_Specification11"/>
      <sheetName val="Upper_Measurement_Spec_11"/>
      <sheetName val="Wrapping_Process__11"/>
      <sheetName val="Height_list11"/>
      <sheetName val="new_CSS_PU_form(95)12"/>
      <sheetName val="PU_CSS12"/>
      <sheetName val="Assembling_Process(1)12"/>
      <sheetName val="Assembling_Process(2)12"/>
      <sheetName val="Back_Part_Molding_Spec_12"/>
      <sheetName val="Production_Checklist12"/>
      <sheetName val="Sockliner_Specification12"/>
      <sheetName val="Upper_Measurement_Spec_12"/>
      <sheetName val="Wrapping_Process__12"/>
      <sheetName val="Height_list12"/>
      <sheetName val="new_CSS_PU_form(95)13"/>
      <sheetName val="PU_CSS14"/>
      <sheetName val="Assembling_Process(1)14"/>
      <sheetName val="Assembling_Process(2)14"/>
      <sheetName val="Back_Part_Molding_Spec_14"/>
      <sheetName val="Production_Checklist14"/>
      <sheetName val="Sockliner_Specification14"/>
      <sheetName val="Upper_Measurement_Spec_14"/>
      <sheetName val="Wrapping_Process__14"/>
      <sheetName val="Height_list14"/>
      <sheetName val="new_CSS_PU_form(95)15"/>
      <sheetName val="PU_CSS13"/>
      <sheetName val="Assembling_Process(1)13"/>
      <sheetName val="Assembling_Process(2)13"/>
      <sheetName val="Back_Part_Molding_Spec_13"/>
      <sheetName val="Production_Checklist13"/>
      <sheetName val="Sockliner_Specification13"/>
      <sheetName val="Upper_Measurement_Spec_13"/>
      <sheetName val="Wrapping_Process__13"/>
      <sheetName val="Height_list13"/>
      <sheetName val="new_CSS_PU_form(95)14"/>
      <sheetName val="PU_CSS15"/>
      <sheetName val="Assembling_Process(1)15"/>
      <sheetName val="Assembling_Process(2)15"/>
      <sheetName val="Back_Part_Molding_Spec_15"/>
      <sheetName val="Production_Checklist15"/>
      <sheetName val="Sockliner_Specification15"/>
      <sheetName val="Upper_Measurement_Spec_15"/>
      <sheetName val="Wrapping_Process__15"/>
      <sheetName val="Height_list15"/>
      <sheetName val="new_CSS_PU_form(95)16"/>
      <sheetName val="PU_CSS17"/>
      <sheetName val="Assembling_Process(1)17"/>
      <sheetName val="Assembling_Process(2)17"/>
      <sheetName val="Back_Part_Molding_Spec_17"/>
      <sheetName val="Production_Checklist17"/>
      <sheetName val="Sockliner_Specification17"/>
      <sheetName val="Upper_Measurement_Spec_17"/>
      <sheetName val="Wrapping_Process__17"/>
      <sheetName val="Height_list17"/>
      <sheetName val="new_CSS_PU_form(95)18"/>
      <sheetName val="PU_CSS16"/>
      <sheetName val="Assembling_Process(1)16"/>
      <sheetName val="Assembling_Process(2)16"/>
      <sheetName val="Back_Part_Molding_Spec_16"/>
      <sheetName val="Production_Checklist16"/>
      <sheetName val="Sockliner_Specification16"/>
      <sheetName val="Upper_Measurement_Spec_16"/>
      <sheetName val="Wrapping_Process__16"/>
      <sheetName val="Height_list16"/>
      <sheetName val="new_CSS_PU_form(95)17"/>
      <sheetName val="PU_CSS18"/>
      <sheetName val="Assembling_Process(1)18"/>
      <sheetName val="Assembling_Process(2)18"/>
      <sheetName val="Back_Part_Molding_Spec_18"/>
      <sheetName val="Production_Checklist18"/>
      <sheetName val="Sockliner_Specification18"/>
      <sheetName val="Upper_Measurement_Spec_18"/>
      <sheetName val="Wrapping_Process__18"/>
      <sheetName val="Height_list18"/>
      <sheetName val="new_CSS_PU_form(95)19"/>
      <sheetName val="PU_CSS19"/>
      <sheetName val="Assembling_Process(1)19"/>
      <sheetName val="Assembling_Process(2)19"/>
      <sheetName val="Back_Part_Molding_Spec_19"/>
      <sheetName val="Production_Checklist19"/>
      <sheetName val="Sockliner_Specification19"/>
      <sheetName val="Upper_Measurement_Spec_19"/>
      <sheetName val="Wrapping_Process__19"/>
      <sheetName val="Height_list19"/>
      <sheetName val="new_CSS_PU_form(95)20"/>
      <sheetName val="PU_CSS20"/>
      <sheetName val="Assembling_Process(1)20"/>
      <sheetName val="Assembling_Process(2)20"/>
      <sheetName val="Back_Part_Molding_Spec_20"/>
      <sheetName val="Production_Checklist20"/>
      <sheetName val="Sockliner_Specification20"/>
      <sheetName val="Upper_Measurement_Spec_20"/>
      <sheetName val="Wrapping_Process__20"/>
      <sheetName val="Height_list20"/>
      <sheetName val="new_CSS_PU_form(95)21"/>
      <sheetName val="PU_CSS21"/>
      <sheetName val="Assembling_Process(1)21"/>
      <sheetName val="Assembling_Process(2)21"/>
      <sheetName val="Back_Part_Molding_Spec_21"/>
      <sheetName val="Production_Checklist21"/>
      <sheetName val="Sockliner_Specification21"/>
      <sheetName val="Upper_Measurement_Spec_21"/>
      <sheetName val="Wrapping_Process__21"/>
      <sheetName val="Height_list21"/>
      <sheetName val="new_CSS_PU_form(95)22"/>
      <sheetName val="new_CSS_PU_form(95)23"/>
      <sheetName val="PU_CSS22"/>
      <sheetName val="Assembling_Process(1)22"/>
      <sheetName val="Assembling_Process(2)22"/>
      <sheetName val="Back_Part_Molding_Spec_22"/>
      <sheetName val="Production_Checklist22"/>
      <sheetName val="Sockliner_Specification22"/>
      <sheetName val="Upper_Measurement_Spec_22"/>
      <sheetName val="Wrapping_Process__22"/>
      <sheetName val="Height_list22"/>
      <sheetName val="new_CSS_PU_form(95)24"/>
      <sheetName val="PU_CSS23"/>
      <sheetName val="Assembling_Process(1)23"/>
      <sheetName val="Assembling_Process(2)23"/>
      <sheetName val="Back_Part_Molding_Spec_23"/>
      <sheetName val="Production_Checklist23"/>
      <sheetName val="Sockliner_Specification23"/>
      <sheetName val="Upper_Measurement_Spec_23"/>
      <sheetName val="Wrapping_Process__23"/>
      <sheetName val="Height_list23"/>
      <sheetName val="new_CSS_PU_form(95)25"/>
      <sheetName val="new_CSS_PU_form(95)26"/>
      <sheetName val="PU_CSS24"/>
      <sheetName val="Assembling_Process(1)24"/>
      <sheetName val="Assembling_Process(2)24"/>
      <sheetName val="Back_Part_Molding_Spec_24"/>
      <sheetName val="Production_Checklist24"/>
      <sheetName val="Sockliner_Specification24"/>
      <sheetName val="Upper_Measurement_Spec_24"/>
      <sheetName val="Wrapping_Process__24"/>
      <sheetName val="Height_list24"/>
      <sheetName val="new_CSS_PU_form(95)27"/>
      <sheetName val="PU_CSS25"/>
      <sheetName val="Assembling_Process(1)25"/>
      <sheetName val="Assembling_Process(2)25"/>
      <sheetName val="Back_Part_Molding_Spec_25"/>
      <sheetName val="Production_Checklist25"/>
      <sheetName val="Sockliner_Specification25"/>
      <sheetName val="Upper_Measurement_Spec_25"/>
      <sheetName val="Wrapping_Process__25"/>
      <sheetName val="Height_list25"/>
      <sheetName val="new_CSS_PU_form(95)28"/>
      <sheetName val="new_CSS_PU_form(95)29"/>
      <sheetName val="PU_CSS26"/>
      <sheetName val="Assembling_Process(1)26"/>
      <sheetName val="Assembling_Process(2)26"/>
      <sheetName val="Back_Part_Molding_Spec_26"/>
      <sheetName val="Production_Checklist26"/>
      <sheetName val="Sockliner_Specification26"/>
      <sheetName val="Upper_Measurement_Spec_26"/>
      <sheetName val="Wrapping_Process__26"/>
      <sheetName val="Height_list26"/>
      <sheetName val="new_CSS_PU_form(95)30"/>
      <sheetName val="PU_CSS27"/>
      <sheetName val="Assembling_Process(1)27"/>
      <sheetName val="Assembling_Process(2)27"/>
      <sheetName val="Back_Part_Molding_Spec_27"/>
      <sheetName val="Production_Checklist27"/>
      <sheetName val="Sockliner_Specification27"/>
      <sheetName val="Upper_Measurement_Spec_27"/>
      <sheetName val="Wrapping_Process__27"/>
      <sheetName val="Height_list27"/>
      <sheetName val="new_CSS_PU_form(95)31"/>
      <sheetName val="PU_CSS28"/>
      <sheetName val="Assembling_Process(1)28"/>
      <sheetName val="Assembling_Process(2)28"/>
      <sheetName val="Back_Part_Molding_Spec_28"/>
      <sheetName val="Production_Checklist28"/>
      <sheetName val="Sockliner_Specification28"/>
      <sheetName val="Upper_Measurement_Spec_28"/>
      <sheetName val="Wrapping_Process__28"/>
      <sheetName val="Height_list28"/>
      <sheetName val="new_CSS_PU_form(95)32"/>
      <sheetName val="PU_CSS29"/>
      <sheetName val="Assembling_Process(1)29"/>
      <sheetName val="Assembling_Process(2)29"/>
      <sheetName val="Back_Part_Molding_Spec_29"/>
      <sheetName val="Production_Checklist29"/>
      <sheetName val="Sockliner_Specification29"/>
      <sheetName val="Upper_Measurement_Spec_29"/>
      <sheetName val="Wrapping_Process__29"/>
      <sheetName val="Height_list29"/>
      <sheetName val="new_CSS_PU_form(95)33"/>
      <sheetName val="new_CSS_PU_form(95)34"/>
      <sheetName val="Sheet1 (2)"/>
      <sheetName val="입금"/>
      <sheetName val="IBASE"/>
      <sheetName val="Sheet2"/>
      <sheetName val="XL4Poppy"/>
      <sheetName val="당월(1)"/>
      <sheetName val="gVL"/>
      <sheetName val="heso"/>
      <sheetName val="02DB"/>
      <sheetName val="제조공정도5"/>
      <sheetName val="Rubber Spec. (1)"/>
      <sheetName val="3_I-Prefit_Stitching4"/>
      <sheetName val="Raw_Data_Sheet4"/>
      <sheetName val="Shox_NZ4"/>
      <sheetName val="_Wedge_4"/>
      <sheetName val="SHOX_REMID_II4"/>
      <sheetName val="Vietnam_Report4"/>
      <sheetName val="GFP_Type4"/>
      <sheetName val="3_I-Prefit_Stitching2"/>
      <sheetName val="Raw_Data_Sheet2"/>
      <sheetName val="Shox_NZ2"/>
      <sheetName val="_Wedge_2"/>
      <sheetName val="SHOX_REMID_II2"/>
      <sheetName val="Vietnam_Report2"/>
      <sheetName val="GFP_Type2"/>
      <sheetName val="3_I-Prefit_Stitching1"/>
      <sheetName val="Raw_Data_Sheet1"/>
      <sheetName val="Shox_NZ1"/>
      <sheetName val="_Wedge_1"/>
      <sheetName val="SHOX_REMID_II1"/>
      <sheetName val="Vietnam_Report1"/>
      <sheetName val="GFP_Type1"/>
      <sheetName val="3_I-Prefit_Stitching3"/>
      <sheetName val="Raw_Data_Sheet3"/>
      <sheetName val="Shox_NZ3"/>
      <sheetName val="_Wedge_3"/>
      <sheetName val="SHOX_REMID_II3"/>
      <sheetName val="Vietnam_Report3"/>
      <sheetName val="GFP_Type3"/>
      <sheetName val="3_I-Prefit_Stitching5"/>
      <sheetName val="3_I-Prefit_Stitching9"/>
      <sheetName val="Raw_Data_Sheet8"/>
      <sheetName val="Shox_NZ8"/>
      <sheetName val="_Wedge_8"/>
      <sheetName val="SHOX_REMID_II8"/>
      <sheetName val="Vietnam_Report8"/>
      <sheetName val="GFP_Type8"/>
      <sheetName val="3_I-Prefit_Stitching7"/>
      <sheetName val="Raw_Data_Sheet6"/>
      <sheetName val="Shox_NZ6"/>
      <sheetName val="_Wedge_6"/>
      <sheetName val="SHOX_REMID_II6"/>
      <sheetName val="Vietnam_Report6"/>
      <sheetName val="GFP_Type6"/>
      <sheetName val="3_I-Prefit_Stitching6"/>
      <sheetName val="Raw_Data_Sheet5"/>
      <sheetName val="Shox_NZ5"/>
      <sheetName val="_Wedge_5"/>
      <sheetName val="SHOX_REMID_II5"/>
      <sheetName val="Vietnam_Report5"/>
      <sheetName val="GFP_Type5"/>
      <sheetName val="3_I-Prefit_Stitching8"/>
      <sheetName val="Raw_Data_Sheet7"/>
      <sheetName val="Shox_NZ7"/>
      <sheetName val="_Wedge_7"/>
      <sheetName val="SHOX_REMID_II7"/>
      <sheetName val="Vietnam_Report7"/>
      <sheetName val="GFP_Type7"/>
      <sheetName val="3_I-Prefit_Stitching10"/>
      <sheetName val="Raw_Data_Sheet9"/>
      <sheetName val="Shox_NZ9"/>
      <sheetName val="_Wedge_9"/>
      <sheetName val="SHOX_REMID_II9"/>
      <sheetName val="Vietnam_Report9"/>
      <sheetName val="GFP_Type9"/>
      <sheetName val="3_I-Prefit_Stitching18"/>
      <sheetName val="Raw_Data_Sheet17"/>
      <sheetName val="Shox_NZ17"/>
      <sheetName val="_Wedge_17"/>
      <sheetName val="SHOX_REMID_II17"/>
      <sheetName val="Vietnam_Report17"/>
      <sheetName val="GFP_Type17"/>
      <sheetName val="3_I-Prefit_Stitching11"/>
      <sheetName val="Raw_Data_Sheet10"/>
      <sheetName val="Shox_NZ10"/>
      <sheetName val="_Wedge_10"/>
      <sheetName val="SHOX_REMID_II10"/>
      <sheetName val="Vietnam_Report10"/>
      <sheetName val="GFP_Type10"/>
      <sheetName val="3_I-Prefit_Stitching12"/>
      <sheetName val="Raw_Data_Sheet11"/>
      <sheetName val="Shox_NZ11"/>
      <sheetName val="_Wedge_11"/>
      <sheetName val="SHOX_REMID_II11"/>
      <sheetName val="Vietnam_Report11"/>
      <sheetName val="GFP_Type11"/>
      <sheetName val="3_I-Prefit_Stitching13"/>
      <sheetName val="Raw_Data_Sheet12"/>
      <sheetName val="Shox_NZ12"/>
      <sheetName val="_Wedge_12"/>
      <sheetName val="SHOX_REMID_II12"/>
      <sheetName val="Vietnam_Report12"/>
      <sheetName val="GFP_Type12"/>
      <sheetName val="3_I-Prefit_Stitching14"/>
      <sheetName val="Raw_Data_Sheet13"/>
      <sheetName val="Shox_NZ13"/>
      <sheetName val="_Wedge_13"/>
      <sheetName val="SHOX_REMID_II13"/>
      <sheetName val="Vietnam_Report13"/>
      <sheetName val="GFP_Type13"/>
      <sheetName val="3_I-Prefit_Stitching16"/>
      <sheetName val="Raw_Data_Sheet15"/>
      <sheetName val="Shox_NZ15"/>
      <sheetName val="_Wedge_15"/>
      <sheetName val="SHOX_REMID_II15"/>
      <sheetName val="Vietnam_Report15"/>
      <sheetName val="GFP_Type15"/>
      <sheetName val="3_I-Prefit_Stitching15"/>
      <sheetName val="Raw_Data_Sheet14"/>
      <sheetName val="Shox_NZ14"/>
      <sheetName val="_Wedge_14"/>
      <sheetName val="SHOX_REMID_II14"/>
      <sheetName val="Vietnam_Report14"/>
      <sheetName val="GFP_Type14"/>
      <sheetName val="3_I-Prefit_Stitching17"/>
      <sheetName val="Raw_Data_Sheet16"/>
      <sheetName val="Shox_NZ16"/>
      <sheetName val="_Wedge_16"/>
      <sheetName val="SHOX_REMID_II16"/>
      <sheetName val="Vietnam_Report16"/>
      <sheetName val="GFP_Type16"/>
      <sheetName val="3_I-Prefit_Stitching19"/>
      <sheetName val="Raw_Data_Sheet18"/>
      <sheetName val="Shox_NZ18"/>
      <sheetName val="_Wedge_18"/>
      <sheetName val="SHOX_REMID_II18"/>
      <sheetName val="Vietnam_Report18"/>
      <sheetName val="GFP_Type18"/>
      <sheetName val="3_I-Prefit_Stitching21"/>
      <sheetName val="Raw_Data_Sheet20"/>
      <sheetName val="Shox_NZ20"/>
      <sheetName val="_Wedge_20"/>
      <sheetName val="SHOX_REMID_II20"/>
      <sheetName val="Vietnam_Report20"/>
      <sheetName val="GFP_Type20"/>
      <sheetName val="APL"/>
      <sheetName val="RESULT"/>
      <sheetName val="SPEC"/>
      <sheetName val="Auto Laser Cut Parts Schedule"/>
      <sheetName val="5.수정데이터통합"/>
      <sheetName val="RESULT B"/>
      <sheetName val="Upper Cutting Schedules (8)"/>
      <sheetName val="FORCE I (DS)"/>
      <sheetName val="IMPAX RUN (DS)"/>
      <sheetName val="CITY COURT (HY)"/>
      <sheetName val="CITY COURT (DS)"/>
      <sheetName val="IMPAX RUN (HY)"/>
      <sheetName val="FORCE I (HY)"/>
      <sheetName val="Finished Shoe"/>
      <sheetName val="3_I-Prefit_Stitching20"/>
      <sheetName val="Raw_Data_Sheet19"/>
      <sheetName val="Shox_NZ19"/>
      <sheetName val="_Wedge_19"/>
      <sheetName val="SHOX_REMID_II19"/>
      <sheetName val="Vietnam_Report19"/>
      <sheetName val="GFP_Type19"/>
      <sheetName val="Rubber_Spec__(1)"/>
      <sheetName val="Auto_Laser_Cut_Parts_Schedule"/>
      <sheetName val="5_수정데이터통합"/>
      <sheetName val="RESULT_B"/>
      <sheetName val="Upper_Cutting_Schedules_(8)"/>
      <sheetName val="FORCE_I_(DS)"/>
      <sheetName val="IMPAX_RUN_(DS)"/>
      <sheetName val="CITY_COURT_(HY)"/>
      <sheetName val="CITY_COURT_(DS)"/>
      <sheetName val="IMPAX_RUN_(HY)"/>
      <sheetName val="FORCE_I_(HY)"/>
      <sheetName val="PTRSS - Finished Shoe"/>
      <sheetName val="Indirect List"/>
      <sheetName val="SUMM LOADING "/>
      <sheetName val="PU_CSS36"/>
      <sheetName val="Assembling_Process(1)36"/>
      <sheetName val="Assembling_Process(2)36"/>
      <sheetName val="Back_Part_Molding_Spec_36"/>
      <sheetName val="Production_Checklist36"/>
      <sheetName val="Sockliner_Specification36"/>
      <sheetName val="Upper_Measurement_Spec_36"/>
      <sheetName val="Wrapping_Process__36"/>
      <sheetName val="Height_list36"/>
      <sheetName val="new_CSS_PU_form(95)44"/>
      <sheetName val="Cutting_Dies_7"/>
      <sheetName val="new%20CSS%20PU%20form(95)_xls6"/>
      <sheetName val="new_CSS_PU_form(95)_xls6"/>
      <sheetName val="PU_CSS30"/>
      <sheetName val="Assembling_Process(1)30"/>
      <sheetName val="Assembling_Process(2)30"/>
      <sheetName val="Back_Part_Molding_Spec_30"/>
      <sheetName val="Production_Checklist30"/>
      <sheetName val="Sockliner_Specification30"/>
      <sheetName val="Upper_Measurement_Spec_30"/>
      <sheetName val="Wrapping_Process__30"/>
      <sheetName val="Height_list30"/>
      <sheetName val="new_CSS_PU_form(95)35"/>
      <sheetName val="Cutting_Dies_1"/>
      <sheetName val="new%20CSS%20PU%20form(95)_xls"/>
      <sheetName val="new_CSS_PU_form(95)_xls"/>
      <sheetName val="PU_CSS33"/>
      <sheetName val="Assembling_Process(1)33"/>
      <sheetName val="Assembling_Process(2)33"/>
      <sheetName val="Back_Part_Molding_Spec_33"/>
      <sheetName val="Production_Checklist33"/>
      <sheetName val="Sockliner_Specification33"/>
      <sheetName val="Upper_Measurement_Spec_33"/>
      <sheetName val="Wrapping_Process__33"/>
      <sheetName val="Height_list33"/>
      <sheetName val="new_CSS_PU_form(95)40"/>
      <sheetName val="Cutting_Dies_4"/>
      <sheetName val="new%20CSS%20PU%20form(95)_xls3"/>
      <sheetName val="new_CSS_PU_form(95)_xls3"/>
      <sheetName val="PU_CSS31"/>
      <sheetName val="Assembling_Process(1)31"/>
      <sheetName val="Assembling_Process(2)31"/>
      <sheetName val="Back_Part_Molding_Spec_31"/>
      <sheetName val="Production_Checklist31"/>
      <sheetName val="Sockliner_Specification31"/>
      <sheetName val="Upper_Measurement_Spec_31"/>
      <sheetName val="Wrapping_Process__31"/>
      <sheetName val="Height_list31"/>
      <sheetName val="new_CSS_PU_form(95)36"/>
      <sheetName val="Cutting_Dies_2"/>
      <sheetName val="new%20CSS%20PU%20form(95)_xls1"/>
      <sheetName val="new_CSS_PU_form(95)_xls1"/>
      <sheetName val="new_CSS_PU_form(95)37"/>
      <sheetName val="new_CSS_PU_form(95)38"/>
      <sheetName val="PU_CSS32"/>
      <sheetName val="Assembling_Process(1)32"/>
      <sheetName val="Assembling_Process(2)32"/>
      <sheetName val="Back_Part_Molding_Spec_32"/>
      <sheetName val="Production_Checklist32"/>
      <sheetName val="Sockliner_Specification32"/>
      <sheetName val="Upper_Measurement_Spec_32"/>
      <sheetName val="Wrapping_Process__32"/>
      <sheetName val="Height_list32"/>
      <sheetName val="Cutting_Dies_3"/>
      <sheetName val="new%20CSS%20PU%20form(95)_xls2"/>
      <sheetName val="new_CSS_PU_form(95)_xls2"/>
      <sheetName val="new_CSS_PU_form(95)39"/>
      <sheetName val="new_CSS_PU_form(95)41"/>
      <sheetName val="PU_CSS34"/>
      <sheetName val="Assembling_Process(1)34"/>
      <sheetName val="Assembling_Process(2)34"/>
      <sheetName val="Back_Part_Molding_Spec_34"/>
      <sheetName val="Production_Checklist34"/>
      <sheetName val="Sockliner_Specification34"/>
      <sheetName val="Upper_Measurement_Spec_34"/>
      <sheetName val="Wrapping_Process__34"/>
      <sheetName val="Height_list34"/>
      <sheetName val="new_CSS_PU_form(95)42"/>
      <sheetName val="Cutting_Dies_5"/>
      <sheetName val="new%20CSS%20PU%20form(95)_xls4"/>
      <sheetName val="new_CSS_PU_form(95)_xls4"/>
      <sheetName val="PU_CSS35"/>
      <sheetName val="Assembling_Process(1)35"/>
      <sheetName val="Assembling_Process(2)35"/>
      <sheetName val="Back_Part_Molding_Spec_35"/>
      <sheetName val="Production_Checklist35"/>
      <sheetName val="Sockliner_Specification35"/>
      <sheetName val="Upper_Measurement_Spec_35"/>
      <sheetName val="Wrapping_Process__35"/>
      <sheetName val="Height_list35"/>
      <sheetName val="new_CSS_PU_form(95)43"/>
      <sheetName val="Cutting_Dies_6"/>
      <sheetName val="new%20CSS%20PU%20form(95)_xls5"/>
      <sheetName val="new_CSS_PU_form(95)_xls5"/>
      <sheetName val="new_CSS_PU_form(95)45"/>
      <sheetName val="new_CSS_PU_form(95)46"/>
      <sheetName val="new_CSS_PU_form(95)52"/>
      <sheetName val="PU_CSS42"/>
      <sheetName val="Assembling_Process(1)42"/>
      <sheetName val="Assembling_Process(2)42"/>
      <sheetName val="Back_Part_Molding_Spec_42"/>
      <sheetName val="Production_Checklist42"/>
      <sheetName val="Sockliner_Specification42"/>
      <sheetName val="Upper_Measurement_Spec_42"/>
      <sheetName val="Wrapping_Process__42"/>
      <sheetName val="Height_list42"/>
      <sheetName val="Cutting_Dies_13"/>
      <sheetName val="new%20CSS%20PU%20form(95)_xls12"/>
      <sheetName val="new_CSS_PU_form(95)_xls12"/>
      <sheetName val="new_CSS_PU_form(95)47"/>
      <sheetName val="PU_CSS37"/>
      <sheetName val="Assembling_Process(1)37"/>
      <sheetName val="Assembling_Process(2)37"/>
      <sheetName val="Back_Part_Molding_Spec_37"/>
      <sheetName val="Production_Checklist37"/>
      <sheetName val="Sockliner_Specification37"/>
      <sheetName val="Upper_Measurement_Spec_37"/>
      <sheetName val="Wrapping_Process__37"/>
      <sheetName val="Height_list37"/>
      <sheetName val="Cutting_Dies_8"/>
      <sheetName val="new%20CSS%20PU%20form(95)_xls7"/>
      <sheetName val="new_CSS_PU_form(95)_xls7"/>
      <sheetName val="new_CSS_PU_form(95)48"/>
      <sheetName val="PU_CSS38"/>
      <sheetName val="Assembling_Process(1)38"/>
      <sheetName val="Assembling_Process(2)38"/>
      <sheetName val="Back_Part_Molding_Spec_38"/>
      <sheetName val="Production_Checklist38"/>
      <sheetName val="Sockliner_Specification38"/>
      <sheetName val="Upper_Measurement_Spec_38"/>
      <sheetName val="Wrapping_Process__38"/>
      <sheetName val="Height_list38"/>
      <sheetName val="Cutting_Dies_9"/>
      <sheetName val="new%20CSS%20PU%20form(95)_xls8"/>
      <sheetName val="new_CSS_PU_form(95)_xls8"/>
      <sheetName val="new_CSS_PU_form(95)49"/>
      <sheetName val="PU_CSS39"/>
      <sheetName val="Assembling_Process(1)39"/>
      <sheetName val="Assembling_Process(2)39"/>
      <sheetName val="Back_Part_Molding_Spec_39"/>
      <sheetName val="Production_Checklist39"/>
      <sheetName val="Sockliner_Specification39"/>
      <sheetName val="Upper_Measurement_Spec_39"/>
      <sheetName val="Wrapping_Process__39"/>
      <sheetName val="Height_list39"/>
      <sheetName val="Cutting_Dies_10"/>
      <sheetName val="new%20CSS%20PU%20form(95)_xls9"/>
      <sheetName val="new_CSS_PU_form(95)_xls9"/>
      <sheetName val="new_CSS_PU_form(95)50"/>
      <sheetName val="PU_CSS40"/>
      <sheetName val="Assembling_Process(1)40"/>
      <sheetName val="Assembling_Process(2)40"/>
      <sheetName val="Back_Part_Molding_Spec_40"/>
      <sheetName val="Production_Checklist40"/>
      <sheetName val="Sockliner_Specification40"/>
      <sheetName val="Upper_Measurement_Spec_40"/>
      <sheetName val="Wrapping_Process__40"/>
      <sheetName val="Height_list40"/>
      <sheetName val="Cutting_Dies_11"/>
      <sheetName val="new%20CSS%20PU%20form(95)_xls10"/>
      <sheetName val="new_CSS_PU_form(95)_xls10"/>
      <sheetName val="new_CSS_PU_form(95)51"/>
      <sheetName val="PU_CSS41"/>
      <sheetName val="Assembling_Process(1)41"/>
      <sheetName val="Assembling_Process(2)41"/>
      <sheetName val="Back_Part_Molding_Spec_41"/>
      <sheetName val="Production_Checklist41"/>
      <sheetName val="Sockliner_Specification41"/>
      <sheetName val="Upper_Measurement_Spec_41"/>
      <sheetName val="Wrapping_Process__41"/>
      <sheetName val="Height_list41"/>
      <sheetName val="Cutting_Dies_12"/>
      <sheetName val="new%20CSS%20PU%20form(95)_xls11"/>
      <sheetName val="new_CSS_PU_form(95)_xls11"/>
      <sheetName val="new_CSS_PU_form(95)53"/>
      <sheetName val="PU_CSS43"/>
      <sheetName val="Assembling_Process(1)43"/>
      <sheetName val="Assembling_Process(2)43"/>
      <sheetName val="Back_Part_Molding_Spec_43"/>
      <sheetName val="Production_Checklist43"/>
      <sheetName val="Sockliner_Specification43"/>
      <sheetName val="Upper_Measurement_Spec_43"/>
      <sheetName val="Wrapping_Process__43"/>
      <sheetName val="Height_list43"/>
      <sheetName val="Cutting_Dies_14"/>
      <sheetName val="new%20CSS%20PU%20form(95)_xls13"/>
      <sheetName val="new_CSS_PU_form(95)_xls13"/>
      <sheetName val="PU_CSS45"/>
      <sheetName val="Assembling_Process(1)45"/>
      <sheetName val="Assembling_Process(2)45"/>
      <sheetName val="Back_Part_Molding_Spec_45"/>
      <sheetName val="Production_Checklist45"/>
      <sheetName val="Sockliner_Specification45"/>
      <sheetName val="Upper_Measurement_Spec_45"/>
      <sheetName val="Wrapping_Process__45"/>
      <sheetName val="Height_list45"/>
      <sheetName val="new_CSS_PU_form(95)55"/>
      <sheetName val="Cutting_Dies_16"/>
      <sheetName val="new%20CSS%20PU%20form(95)_xls15"/>
      <sheetName val="new_CSS_PU_form(95)_xls15"/>
      <sheetName val="new_CSS_PU_form(95)54"/>
      <sheetName val="PU_CSS44"/>
      <sheetName val="Assembling_Process(1)44"/>
      <sheetName val="Assembling_Process(2)44"/>
      <sheetName val="Back_Part_Molding_Spec_44"/>
      <sheetName val="Production_Checklist44"/>
      <sheetName val="Sockliner_Specification44"/>
      <sheetName val="Upper_Measurement_Spec_44"/>
      <sheetName val="Wrapping_Process__44"/>
      <sheetName val="Height_list44"/>
      <sheetName val="Cutting_Dies_15"/>
      <sheetName val="new%20CSS%20PU%20form(95)_xls14"/>
      <sheetName val="new_CSS_PU_form(95)_xls14"/>
      <sheetName val="new_CSS_PU_form(95)56"/>
      <sheetName val="new_CSS_PU_form(95)57"/>
      <sheetName val="PU_CSS46"/>
      <sheetName val="Assembling_Process(1)46"/>
      <sheetName val="Assembling_Process(2)46"/>
      <sheetName val="Back_Part_Molding_Spec_46"/>
      <sheetName val="Production_Checklist46"/>
      <sheetName val="Sockliner_Specification46"/>
      <sheetName val="Upper_Measurement_Spec_46"/>
      <sheetName val="Wrapping_Process__46"/>
      <sheetName val="Height_list46"/>
      <sheetName val="Cutting_Dies_17"/>
      <sheetName val="new%20CSS%20PU%20form(95)_xls16"/>
      <sheetName val="new_CSS_PU_form(95)_xls16"/>
      <sheetName val="new_CSS_PU_form(95)58"/>
      <sheetName val="PU_CSS47"/>
      <sheetName val="Assembling_Process(1)47"/>
      <sheetName val="Assembling_Process(2)47"/>
      <sheetName val="Back_Part_Molding_Spec_47"/>
      <sheetName val="Production_Checklist47"/>
      <sheetName val="Sockliner_Specification47"/>
      <sheetName val="Upper_Measurement_Spec_47"/>
      <sheetName val="Wrapping_Process__47"/>
      <sheetName val="Height_list47"/>
      <sheetName val="Cutting_Dies_18"/>
      <sheetName val="new%20CSS%20PU%20form(95)_xls17"/>
      <sheetName val="new_CSS_PU_form(95)_xls17"/>
      <sheetName val="new_CSS_PU_form(95)59"/>
      <sheetName val="PU_CSS48"/>
      <sheetName val="Assembling_Process(1)48"/>
      <sheetName val="Assembling_Process(2)48"/>
      <sheetName val="Back_Part_Molding_Spec_48"/>
      <sheetName val="Production_Checklist48"/>
      <sheetName val="Sockliner_Specification48"/>
      <sheetName val="Upper_Measurement_Spec_48"/>
      <sheetName val="Wrapping_Process__48"/>
      <sheetName val="Height_list48"/>
      <sheetName val="Cutting_Dies_19"/>
      <sheetName val="new%20CSS%20PU%20form(95)_xls18"/>
      <sheetName val="new_CSS_PU_form(95)_xls18"/>
      <sheetName val="new_CSS_PU_form(95)60"/>
      <sheetName val="PU_CSS49"/>
      <sheetName val="Assembling_Process(1)49"/>
      <sheetName val="Assembling_Process(2)49"/>
      <sheetName val="Back_Part_Molding_Spec_49"/>
      <sheetName val="Production_Checklist49"/>
      <sheetName val="Sockliner_Specification49"/>
      <sheetName val="Upper_Measurement_Spec_49"/>
      <sheetName val="Wrapping_Process__49"/>
      <sheetName val="Height_list49"/>
      <sheetName val="Cutting_Dies_20"/>
      <sheetName val="new%20CSS%20PU%20form(95)_xls19"/>
      <sheetName val="new_CSS_PU_form(95)_xls19"/>
      <sheetName val="new_CSS_PU_form(95)61"/>
      <sheetName val="List"/>
      <sheetName val="PU_CSS50"/>
      <sheetName val="Assembling_Process(1)50"/>
      <sheetName val="Assembling_Process(2)50"/>
      <sheetName val="Back_Part_Molding_Spec_50"/>
      <sheetName val="Production_Checklist50"/>
      <sheetName val="Sockliner_Specification50"/>
      <sheetName val="Upper_Measurement_Spec_50"/>
      <sheetName val="Wrapping_Process__50"/>
      <sheetName val="Height_list50"/>
      <sheetName val="new_CSS_PU_form(95)62"/>
      <sheetName val="3_I-Prefit_Stitching22"/>
      <sheetName val="Shox_NZ21"/>
      <sheetName val="_Wedge_21"/>
      <sheetName val="SHOX_REMID_II21"/>
      <sheetName val="Vietnam_Report21"/>
      <sheetName val="GFP_Type21"/>
      <sheetName val="Raw_Data_Sheet21"/>
      <sheetName val="Cutting_Dies_21"/>
      <sheetName val="new%20CSS%20PU%20form(95)_xls20"/>
      <sheetName val="new_CSS_PU_form(95)_xls20"/>
      <sheetName val="Sheet1_(2)"/>
      <sheetName val="Rubber_Spec__(1)1"/>
      <sheetName val="Auto_Laser_Cut_Parts_Schedule1"/>
      <sheetName val="5_수정데이터통합1"/>
      <sheetName val="RESULT_B1"/>
      <sheetName val="Upper_Cutting_Schedules_(8)1"/>
      <sheetName val="FORCE_I_(DS)1"/>
      <sheetName val="IMPAX_RUN_(DS)1"/>
      <sheetName val="CITY_COURT_(HY)1"/>
      <sheetName val="CITY_COURT_(DS)1"/>
      <sheetName val="IMPAX_RUN_(HY)1"/>
      <sheetName val="FORCE_I_(HY)1"/>
      <sheetName val="Finished_Shoe"/>
      <sheetName val="PTRSS_-_Finished_Shoe"/>
      <sheetName val="Indirect_List"/>
      <sheetName val="SUMM_LOADING_"/>
      <sheetName val="PU_CSS51"/>
      <sheetName val="Assembling_Process(1)51"/>
      <sheetName val="Assembling_Process(2)51"/>
      <sheetName val="Back_Part_Molding_Spec_51"/>
      <sheetName val="Production_Checklist51"/>
      <sheetName val="Sockliner_Specification51"/>
      <sheetName val="Upper_Measurement_Spec_51"/>
      <sheetName val="Wrapping_Process__51"/>
      <sheetName val="Height_list51"/>
      <sheetName val="new_CSS_PU_form(95)63"/>
      <sheetName val="3_I-Prefit_Stitching23"/>
      <sheetName val="Shox_NZ22"/>
      <sheetName val="_Wedge_22"/>
      <sheetName val="SHOX_REMID_II22"/>
      <sheetName val="Vietnam_Report22"/>
      <sheetName val="GFP_Type22"/>
      <sheetName val="Raw_Data_Sheet22"/>
      <sheetName val="Cutting_Dies_22"/>
      <sheetName val="new%20CSS%20PU%20form(95)_xls21"/>
      <sheetName val="new_CSS_PU_form(95)_xls21"/>
      <sheetName val="Sheet1_(2)1"/>
      <sheetName val="Rubber_Spec__(1)2"/>
      <sheetName val="Auto_Laser_Cut_Parts_Schedule2"/>
      <sheetName val="5_수정데이터통합2"/>
      <sheetName val="RESULT_B2"/>
      <sheetName val="Upper_Cutting_Schedules_(8)2"/>
      <sheetName val="FORCE_I_(DS)2"/>
      <sheetName val="IMPAX_RUN_(DS)2"/>
      <sheetName val="CITY_COURT_(HY)2"/>
      <sheetName val="CITY_COURT_(DS)2"/>
      <sheetName val="IMPAX_RUN_(HY)2"/>
      <sheetName val="FORCE_I_(HY)2"/>
      <sheetName val="Finished_Shoe1"/>
      <sheetName val="PTRSS_-_Finished_Shoe1"/>
      <sheetName val="Indirect_List1"/>
      <sheetName val="SUMM_LOADING_1"/>
      <sheetName val="APACHE"/>
      <sheetName val="CLU"/>
      <sheetName val="EVN"/>
      <sheetName val="HSD"/>
      <sheetName val="IDS HYPERION gts"/>
      <sheetName val="IDS HYPERION "/>
      <sheetName val="入力用1"/>
      <sheetName val="IDS_HYPERION_gts"/>
      <sheetName val="IDS_HYPERION_"/>
    </sheetNames>
    <definedNames>
      <definedName name="A4PAPER" sheetId="50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 refreshError="1"/>
      <sheetData sheetId="876"/>
      <sheetData sheetId="87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titching (G-Flux)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Cutting Dies"/>
      <sheetName val="GFP Type"/>
      <sheetName val="8A"/>
      <sheetName val="5"/>
      <sheetName val="79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Sep"/>
      <sheetName val="May"/>
      <sheetName val="Jun"/>
      <sheetName val="Jul"/>
      <sheetName val="Aug"/>
      <sheetName val="Oct"/>
      <sheetName val="Nov"/>
      <sheetName val="Dec"/>
      <sheetName val="Tables"/>
      <sheetName val="Upper Cutting Schedules (8)"/>
      <sheetName val="Sheet1"/>
      <sheetName val="Gant Chart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PPH"/>
      <sheetName val="Performance Line PPH"/>
      <sheetName val="Technology Tracking"/>
      <sheetName val="ME Activity"/>
      <sheetName val="List"/>
      <sheetName val="Technology List"/>
      <sheetName val="master"/>
      <sheetName val="Sheet2"/>
      <sheetName val="DROP DOWN REFERENCE"/>
    </sheetNames>
    <sheetDataSet>
      <sheetData sheetId="0"/>
      <sheetData sheetId="1"/>
      <sheetData sheetId="2"/>
      <sheetData sheetId="3"/>
      <sheetData sheetId="4">
        <row r="2">
          <cell r="B2" t="str">
            <v>CUTTING</v>
          </cell>
          <cell r="C2" t="str">
            <v>Auto-Cutting</v>
          </cell>
        </row>
        <row r="3">
          <cell r="B3" t="str">
            <v>STITCHING</v>
          </cell>
          <cell r="C3" t="str">
            <v>Computer Stitching</v>
          </cell>
        </row>
        <row r="4">
          <cell r="B4" t="str">
            <v>PREPARATION</v>
          </cell>
          <cell r="C4" t="str">
            <v>HF&amp;Cut</v>
          </cell>
        </row>
        <row r="5">
          <cell r="B5" t="str">
            <v>STOCKFITTING</v>
          </cell>
          <cell r="C5" t="str">
            <v>Auto Printing</v>
          </cell>
        </row>
        <row r="6">
          <cell r="B6" t="str">
            <v>ASSEMBLY</v>
          </cell>
          <cell r="C6" t="str">
            <v>2D PUR</v>
          </cell>
        </row>
        <row r="7">
          <cell r="B7" t="str">
            <v>RUBBER ROOM</v>
          </cell>
          <cell r="C7" t="str">
            <v>3D PUR</v>
          </cell>
        </row>
        <row r="8">
          <cell r="B8">
            <v>0</v>
          </cell>
          <cell r="C8" t="str">
            <v>Pelletize Rubber</v>
          </cell>
        </row>
        <row r="9">
          <cell r="B9">
            <v>0</v>
          </cell>
          <cell r="C9" t="str">
            <v>TPU Powder</v>
          </cell>
        </row>
        <row r="10">
          <cell r="B10">
            <v>0</v>
          </cell>
          <cell r="C10" t="str">
            <v>Plasma Treatment</v>
          </cell>
        </row>
        <row r="11">
          <cell r="B11">
            <v>0</v>
          </cell>
          <cell r="C11" t="str">
            <v>Pad Printing</v>
          </cell>
        </row>
        <row r="12">
          <cell r="B12">
            <v>0</v>
          </cell>
          <cell r="C12" t="str">
            <v>Laser cutting</v>
          </cell>
        </row>
        <row r="13">
          <cell r="B13">
            <v>0</v>
          </cell>
          <cell r="C13" t="str">
            <v>UVR</v>
          </cell>
        </row>
        <row r="14">
          <cell r="B14">
            <v>0</v>
          </cell>
          <cell r="C14" t="str">
            <v>Injection Rubber</v>
          </cell>
        </row>
        <row r="15">
          <cell r="B15">
            <v>0</v>
          </cell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PPH"/>
      <sheetName val="Performance Line PPH"/>
      <sheetName val="Technology Tracking"/>
      <sheetName val="ME Activity"/>
      <sheetName val="List"/>
      <sheetName val="Technology List"/>
      <sheetName val="master"/>
      <sheetName val="Sheet2"/>
      <sheetName val="DROP DOWN REFERENCE"/>
    </sheetNames>
    <sheetDataSet>
      <sheetData sheetId="0"/>
      <sheetData sheetId="1"/>
      <sheetData sheetId="2"/>
      <sheetData sheetId="3"/>
      <sheetData sheetId="4">
        <row r="2">
          <cell r="B2" t="str">
            <v>CUTTING</v>
          </cell>
          <cell r="C2" t="str">
            <v>Auto-Cutting</v>
          </cell>
        </row>
        <row r="3">
          <cell r="B3" t="str">
            <v>STITCHING</v>
          </cell>
          <cell r="C3" t="str">
            <v>Computer Stitching</v>
          </cell>
        </row>
        <row r="4">
          <cell r="B4" t="str">
            <v>PREPARATION</v>
          </cell>
          <cell r="C4" t="str">
            <v>HF&amp;Cut</v>
          </cell>
        </row>
        <row r="5">
          <cell r="B5" t="str">
            <v>STOCKFITTING</v>
          </cell>
          <cell r="C5" t="str">
            <v>Auto Printing</v>
          </cell>
        </row>
        <row r="6">
          <cell r="B6" t="str">
            <v>ASSEMBLY</v>
          </cell>
          <cell r="C6" t="str">
            <v>2D PUR</v>
          </cell>
        </row>
        <row r="7">
          <cell r="B7" t="str">
            <v>RUBBER ROOM</v>
          </cell>
          <cell r="C7" t="str">
            <v>3D PUR</v>
          </cell>
        </row>
        <row r="8">
          <cell r="B8">
            <v>0</v>
          </cell>
          <cell r="C8" t="str">
            <v>Pelletize Rubber</v>
          </cell>
        </row>
        <row r="9">
          <cell r="B9">
            <v>0</v>
          </cell>
          <cell r="C9" t="str">
            <v>TPU Powder</v>
          </cell>
        </row>
        <row r="10">
          <cell r="B10">
            <v>0</v>
          </cell>
          <cell r="C10" t="str">
            <v>Plasma Treatment</v>
          </cell>
        </row>
        <row r="11">
          <cell r="B11">
            <v>0</v>
          </cell>
          <cell r="C11" t="str">
            <v>Pad Printing</v>
          </cell>
        </row>
        <row r="12">
          <cell r="B12">
            <v>0</v>
          </cell>
          <cell r="C12" t="str">
            <v>Laser cutting</v>
          </cell>
        </row>
        <row r="13">
          <cell r="B13">
            <v>0</v>
          </cell>
          <cell r="C13" t="str">
            <v>UVR</v>
          </cell>
        </row>
        <row r="14">
          <cell r="B14">
            <v>0</v>
          </cell>
          <cell r="C14" t="str">
            <v>Injection Rubber</v>
          </cell>
        </row>
        <row r="15">
          <cell r="B15">
            <v>0</v>
          </cell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_07"/>
      <sheetName val="Feb_07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 08"/>
      <sheetName val="Feb 08"/>
      <sheetName val="Mar 08"/>
      <sheetName val="Apr 08"/>
      <sheetName val="Mei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Sum"/>
      <sheetName val="Monday Data"/>
      <sheetName val="Tuesday Data"/>
      <sheetName val="Wednesday Data"/>
      <sheetName val="Thursday Data"/>
      <sheetName val="Friday Data"/>
      <sheetName val="Saturday Data"/>
      <sheetName val="Raw Data Sheet"/>
      <sheetName val="KidsWklyProdTempR1"/>
      <sheetName val="Monday_Data"/>
      <sheetName val="Tuesday_Data"/>
      <sheetName val="Wednesday_Data"/>
      <sheetName val="Thursday_Data"/>
      <sheetName val="Friday_Data"/>
      <sheetName val="Saturday_Data"/>
      <sheetName val="Raw_Data_Sheet"/>
      <sheetName val="Monday_Data1"/>
      <sheetName val="Tuesday_Data1"/>
      <sheetName val="Wednesday_Data1"/>
      <sheetName val="Thursday_Data1"/>
      <sheetName val="Friday_Data1"/>
      <sheetName val="Saturday_Data1"/>
      <sheetName val="Raw_Data_Sheet1"/>
      <sheetName val="MODEL SHOX TURBO OZ (PS+TD)"/>
      <sheetName val="SPRAY (A MX PLUS)"/>
      <sheetName val="PU "/>
      <sheetName val="Spray Tower Machine"/>
      <sheetName val="SHOX REMID II"/>
      <sheetName val="BTRSS"/>
      <sheetName val="KPI-Desember"/>
      <sheetName val="pricing"/>
      <sheetName val="XL4Poppy"/>
      <sheetName val="Vietnam Report"/>
      <sheetName val="Sheet1"/>
      <sheetName val="APL"/>
      <sheetName val="Monday_Data2"/>
      <sheetName val="Tuesday_Data2"/>
      <sheetName val="Wednesday_Data2"/>
      <sheetName val="Thursday_Data2"/>
      <sheetName val="Friday_Data2"/>
      <sheetName val="Saturday_Data2"/>
      <sheetName val="Raw_Data_Sheet2"/>
      <sheetName val="PU (pouring)"/>
      <sheetName val="Bangke"/>
      <sheetName val="MACHINE LIST"/>
      <sheetName val="Shox NZ"/>
      <sheetName val=" Wedge "/>
      <sheetName val="22"/>
      <sheetName val="map"/>
      <sheetName val="GFP Type"/>
      <sheetName val="SPM (Cutting&amp;Pre)"/>
      <sheetName val="KidsWklyProdTempR1.xlt"/>
      <sheetName val="Subcapacity outsoles "/>
      <sheetName val="FA15 Detail"/>
      <sheetName val="Prebuild"/>
      <sheetName val="SU15 Detail"/>
      <sheetName val="PVD Details"/>
      <sheetName val="BPFC ASSEMBLING"/>
      <sheetName val="入力用1"/>
      <sheetName val="Monday_Data3"/>
      <sheetName val="Tuesday_Data3"/>
      <sheetName val="Wednesday_Data3"/>
      <sheetName val="Thursday_Data3"/>
      <sheetName val="Friday_Data3"/>
      <sheetName val="Saturday_Data3"/>
      <sheetName val="Raw_Data_Sheet3"/>
      <sheetName val="MODEL_SHOX_TURBO_OZ_(PS+TD)"/>
      <sheetName val="SPRAY_(A_MX_PLUS)"/>
      <sheetName val="PU_"/>
      <sheetName val="Spray_Tower_Machine"/>
      <sheetName val="SHOX_REMID_II"/>
      <sheetName val="Vietnam_Report"/>
      <sheetName val="PU_(pouring)"/>
      <sheetName val="MACHINE_LIST"/>
      <sheetName val="Shox_NZ"/>
      <sheetName val="_Wedge_"/>
      <sheetName val="GFP_Type"/>
      <sheetName val="SPM_(Cutting&amp;Pre)"/>
      <sheetName val="KidsWklyProdTempR1_xlt"/>
      <sheetName val="Subcapacity_outsoles_"/>
      <sheetName val="FA15_Detail"/>
      <sheetName val="SU15_Detail"/>
      <sheetName val="PVD_Details"/>
      <sheetName val="BPFC_ASSEMBLING"/>
      <sheetName val="79"/>
      <sheetName val="Plan Prod Per cell (40jam)"/>
      <sheetName val="Back up L Capa (BM01-03'18)"/>
      <sheetName val="Prod Plan BM (06-08)"/>
      <sheetName val="Order Per Line"/>
      <sheetName val="Back up L Capa (06-08'18)"/>
      <sheetName val="QTY ORDER SHB"/>
      <sheetName val="Pembagian model"/>
      <sheetName val="SD2"/>
      <sheetName val="Summ MC (BM01-03-18)"/>
      <sheetName val="DATA HRD 2019 DEC-31"/>
      <sheetName val="MP Act vs HRD(02-04)"/>
      <sheetName val="MP Act vs HRD(ALLW)"/>
      <sheetName val="Back up TO MC (BM01-03'20)"/>
      <sheetName val="Summary All"/>
      <sheetName val="Remark"/>
      <sheetName val="Monday_Data4"/>
      <sheetName val="Tuesday_Data4"/>
      <sheetName val="Wednesday_Data4"/>
      <sheetName val="Thursday_Data4"/>
      <sheetName val="Friday_Data4"/>
      <sheetName val="Saturday_Data4"/>
      <sheetName val="Raw_Data_Sheet4"/>
      <sheetName val="Monday_Data5"/>
      <sheetName val="Tuesday_Data5"/>
      <sheetName val="Wednesday_Data5"/>
      <sheetName val="Thursday_Data5"/>
      <sheetName val="Friday_Data5"/>
      <sheetName val="Saturday_Data5"/>
      <sheetName val="Raw_Data_Sheet5"/>
      <sheetName val="Monday_Data7"/>
      <sheetName val="Tuesday_Data7"/>
      <sheetName val="Wednesday_Data7"/>
      <sheetName val="Thursday_Data7"/>
      <sheetName val="Friday_Data7"/>
      <sheetName val="Saturday_Data7"/>
      <sheetName val="Raw_Data_Sheet7"/>
      <sheetName val="Monday_Data6"/>
      <sheetName val="Tuesday_Data6"/>
      <sheetName val="Wednesday_Data6"/>
      <sheetName val="Thursday_Data6"/>
      <sheetName val="Friday_Data6"/>
      <sheetName val="Saturday_Data6"/>
      <sheetName val="Raw_Data_Sheet6"/>
      <sheetName val="Monday_Data8"/>
      <sheetName val="Tuesday_Data8"/>
      <sheetName val="Wednesday_Data8"/>
      <sheetName val="Thursday_Data8"/>
      <sheetName val="Friday_Data8"/>
      <sheetName val="Saturday_Data8"/>
      <sheetName val="Raw_Data_Sheet8"/>
      <sheetName val="Monday_Data9"/>
      <sheetName val="Tuesday_Data9"/>
      <sheetName val="Wednesday_Data9"/>
      <sheetName val="Thursday_Data9"/>
      <sheetName val="Friday_Data9"/>
      <sheetName val="Saturday_Data9"/>
      <sheetName val="Raw_Data_Sheet9"/>
      <sheetName val="Monday_Data10"/>
      <sheetName val="Tuesday_Data10"/>
      <sheetName val="Wednesday_Data10"/>
      <sheetName val="Thursday_Data10"/>
      <sheetName val="Friday_Data10"/>
      <sheetName val="Saturday_Data10"/>
      <sheetName val="Raw_Data_Sheet10"/>
      <sheetName val="Monday_Data12"/>
      <sheetName val="Tuesday_Data12"/>
      <sheetName val="Wednesday_Data12"/>
      <sheetName val="Thursday_Data12"/>
      <sheetName val="Friday_Data12"/>
      <sheetName val="Saturday_Data12"/>
      <sheetName val="Raw_Data_Sheet12"/>
      <sheetName val="Monday_Data11"/>
      <sheetName val="Tuesday_Data11"/>
      <sheetName val="Wednesday_Data11"/>
      <sheetName val="Thursday_Data11"/>
      <sheetName val="Friday_Data11"/>
      <sheetName val="Saturday_Data11"/>
      <sheetName val="Raw_Data_Sheet11"/>
      <sheetName val="Monday_Data13"/>
      <sheetName val="Tuesday_Data13"/>
      <sheetName val="Wednesday_Data13"/>
      <sheetName val="Thursday_Data13"/>
      <sheetName val="Friday_Data13"/>
      <sheetName val="Saturday_Data13"/>
      <sheetName val="Raw_Data_Sheet13"/>
      <sheetName val="Monday_Data15"/>
      <sheetName val="Tuesday_Data15"/>
      <sheetName val="Wednesday_Data15"/>
      <sheetName val="Thursday_Data15"/>
      <sheetName val="Friday_Data15"/>
      <sheetName val="Saturday_Data15"/>
      <sheetName val="Raw_Data_Sheet15"/>
      <sheetName val="Monday_Data14"/>
      <sheetName val="Tuesday_Data14"/>
      <sheetName val="Wednesday_Data14"/>
      <sheetName val="Thursday_Data14"/>
      <sheetName val="Friday_Data14"/>
      <sheetName val="Saturday_Data14"/>
      <sheetName val="Raw_Data_Sheet14"/>
      <sheetName val="Monday_Data16"/>
      <sheetName val="Tuesday_Data16"/>
      <sheetName val="Wednesday_Data16"/>
      <sheetName val="Thursday_Data16"/>
      <sheetName val="Friday_Data16"/>
      <sheetName val="Saturday_Data16"/>
      <sheetName val="Raw_Data_Sheet16"/>
      <sheetName val="Monday_Data17"/>
      <sheetName val="Tuesday_Data17"/>
      <sheetName val="Wednesday_Data17"/>
      <sheetName val="Thursday_Data17"/>
      <sheetName val="Friday_Data17"/>
      <sheetName val="Saturday_Data17"/>
      <sheetName val="Raw_Data_Sheet17"/>
      <sheetName val="Monday_Data18"/>
      <sheetName val="Tuesday_Data18"/>
      <sheetName val="Wednesday_Data18"/>
      <sheetName val="Thursday_Data18"/>
      <sheetName val="Friday_Data18"/>
      <sheetName val="Saturday_Data18"/>
      <sheetName val="Raw_Data_Sheet18"/>
      <sheetName val="Monday_Data19"/>
      <sheetName val="Tuesday_Data19"/>
      <sheetName val="Wednesday_Data19"/>
      <sheetName val="Thursday_Data19"/>
      <sheetName val="Friday_Data19"/>
      <sheetName val="Saturday_Data19"/>
      <sheetName val="Raw_Data_Sheet19"/>
      <sheetName val="Monday_Data20"/>
      <sheetName val="Tuesday_Data20"/>
      <sheetName val="Wednesday_Data20"/>
      <sheetName val="Thursday_Data20"/>
      <sheetName val="Friday_Data20"/>
      <sheetName val="Saturday_Data20"/>
      <sheetName val="Raw_Data_Sheet20"/>
      <sheetName val="Monday_Data21"/>
      <sheetName val="Tuesday_Data21"/>
      <sheetName val="Wednesday_Data21"/>
      <sheetName val="Thursday_Data21"/>
      <sheetName val="Friday_Data21"/>
      <sheetName val="Saturday_Data21"/>
      <sheetName val="Raw_Data_Sheet21"/>
      <sheetName val="Monday_Data22"/>
      <sheetName val="Tuesday_Data22"/>
      <sheetName val="Wednesday_Data22"/>
      <sheetName val="Thursday_Data22"/>
      <sheetName val="Friday_Data22"/>
      <sheetName val="Saturday_Data22"/>
      <sheetName val="Raw_Data_Sheet22"/>
      <sheetName val="Monday_Data23"/>
      <sheetName val="Tuesday_Data23"/>
      <sheetName val="Wednesday_Data23"/>
      <sheetName val="Thursday_Data23"/>
      <sheetName val="Friday_Data23"/>
      <sheetName val="Saturday_Data23"/>
      <sheetName val="Raw_Data_Sheet23"/>
      <sheetName val="Monday_Data24"/>
      <sheetName val="Tuesday_Data24"/>
      <sheetName val="Wednesday_Data24"/>
      <sheetName val="Thursday_Data24"/>
      <sheetName val="Friday_Data24"/>
      <sheetName val="Saturday_Data24"/>
      <sheetName val="Raw_Data_Sheet24"/>
      <sheetName val="Monday_Data25"/>
      <sheetName val="Tuesday_Data25"/>
      <sheetName val="Wednesday_Data25"/>
      <sheetName val="Thursday_Data25"/>
      <sheetName val="Friday_Data25"/>
      <sheetName val="Saturday_Data25"/>
      <sheetName val="Raw_Data_Sheet25"/>
      <sheetName val="Monday_Data26"/>
      <sheetName val="Tuesday_Data26"/>
      <sheetName val="Wednesday_Data26"/>
      <sheetName val="Thursday_Data26"/>
      <sheetName val="Friday_Data26"/>
      <sheetName val="Saturday_Data26"/>
      <sheetName val="Raw_Data_Sheet26"/>
      <sheetName val="Monday_Data27"/>
      <sheetName val="Tuesday_Data27"/>
      <sheetName val="Wednesday_Data27"/>
      <sheetName val="Thursday_Data27"/>
      <sheetName val="Friday_Data27"/>
      <sheetName val="Saturday_Data27"/>
      <sheetName val="Raw_Data_Sheet27"/>
      <sheetName val="LOP Tool"/>
      <sheetName val="Form PDCA Single Project - IA"/>
      <sheetName val="MTO REV.0"/>
      <sheetName val="SPEC"/>
      <sheetName val="Process Flow Chart"/>
      <sheetName val="#REF!"/>
      <sheetName val="Cutting Dies "/>
      <sheetName val="heso"/>
      <sheetName val="Tables"/>
      <sheetName val="Monday_Data34"/>
      <sheetName val="Tuesday_Data34"/>
      <sheetName val="Wednesday_Data34"/>
      <sheetName val="Thursday_Data34"/>
      <sheetName val="Friday_Data34"/>
      <sheetName val="Saturday_Data34"/>
      <sheetName val="Raw_Data_Sheet34"/>
      <sheetName val="MODEL_SHOX_TURBO_OZ_(PS+TD)7"/>
      <sheetName val="SPRAY_(A_MX_PLUS)7"/>
      <sheetName val="PU_7"/>
      <sheetName val="Spray_Tower_Machine7"/>
      <sheetName val="SHOX_REMID_II7"/>
      <sheetName val="Vietnam_Report7"/>
      <sheetName val="PU_(pouring)7"/>
      <sheetName val="MACHINE_LIST7"/>
      <sheetName val="Shox_NZ7"/>
      <sheetName val="_Wedge_7"/>
      <sheetName val="GFP_Type7"/>
      <sheetName val="SPM_(Cutting&amp;Pre)7"/>
      <sheetName val="KidsWklyProdTempR1_xlt7"/>
      <sheetName val="Subcapacity_outsoles_7"/>
      <sheetName val="FA15_Detail7"/>
      <sheetName val="SU15_Detail7"/>
      <sheetName val="PVD_Details7"/>
      <sheetName val="BPFC_ASSEMBLING7"/>
      <sheetName val="Monday_Data28"/>
      <sheetName val="Tuesday_Data28"/>
      <sheetName val="Wednesday_Data28"/>
      <sheetName val="Thursday_Data28"/>
      <sheetName val="Friday_Data28"/>
      <sheetName val="Saturday_Data28"/>
      <sheetName val="Raw_Data_Sheet28"/>
      <sheetName val="MODEL_SHOX_TURBO_OZ_(PS+TD)1"/>
      <sheetName val="SPRAY_(A_MX_PLUS)1"/>
      <sheetName val="PU_1"/>
      <sheetName val="Spray_Tower_Machine1"/>
      <sheetName val="SHOX_REMID_II1"/>
      <sheetName val="Vietnam_Report1"/>
      <sheetName val="PU_(pouring)1"/>
      <sheetName val="MACHINE_LIST1"/>
      <sheetName val="Shox_NZ1"/>
      <sheetName val="_Wedge_1"/>
      <sheetName val="GFP_Type1"/>
      <sheetName val="SPM_(Cutting&amp;Pre)1"/>
      <sheetName val="KidsWklyProdTempR1_xlt1"/>
      <sheetName val="Subcapacity_outsoles_1"/>
      <sheetName val="FA15_Detail1"/>
      <sheetName val="SU15_Detail1"/>
      <sheetName val="PVD_Details1"/>
      <sheetName val="BPFC_ASSEMBLING1"/>
      <sheetName val="Monday_Data31"/>
      <sheetName val="Tuesday_Data31"/>
      <sheetName val="Wednesday_Data31"/>
      <sheetName val="Thursday_Data31"/>
      <sheetName val="Friday_Data31"/>
      <sheetName val="Saturday_Data31"/>
      <sheetName val="Raw_Data_Sheet31"/>
      <sheetName val="MODEL_SHOX_TURBO_OZ_(PS+TD)4"/>
      <sheetName val="SPRAY_(A_MX_PLUS)4"/>
      <sheetName val="PU_4"/>
      <sheetName val="Spray_Tower_Machine4"/>
      <sheetName val="SHOX_REMID_II4"/>
      <sheetName val="Vietnam_Report4"/>
      <sheetName val="PU_(pouring)4"/>
      <sheetName val="MACHINE_LIST4"/>
      <sheetName val="Shox_NZ4"/>
      <sheetName val="_Wedge_4"/>
      <sheetName val="GFP_Type4"/>
      <sheetName val="SPM_(Cutting&amp;Pre)4"/>
      <sheetName val="KidsWklyProdTempR1_xlt4"/>
      <sheetName val="Subcapacity_outsoles_4"/>
      <sheetName val="FA15_Detail4"/>
      <sheetName val="SU15_Detail4"/>
      <sheetName val="PVD_Details4"/>
      <sheetName val="BPFC_ASSEMBLING4"/>
      <sheetName val="Monday_Data29"/>
      <sheetName val="Tuesday_Data29"/>
      <sheetName val="Wednesday_Data29"/>
      <sheetName val="Thursday_Data29"/>
      <sheetName val="Friday_Data29"/>
      <sheetName val="Saturday_Data29"/>
      <sheetName val="Raw_Data_Sheet29"/>
      <sheetName val="MODEL_SHOX_TURBO_OZ_(PS+TD)2"/>
      <sheetName val="SPRAY_(A_MX_PLUS)2"/>
      <sheetName val="PU_2"/>
      <sheetName val="Spray_Tower_Machine2"/>
      <sheetName val="SHOX_REMID_II2"/>
      <sheetName val="Vietnam_Report2"/>
      <sheetName val="PU_(pouring)2"/>
      <sheetName val="MACHINE_LIST2"/>
      <sheetName val="Shox_NZ2"/>
      <sheetName val="_Wedge_2"/>
      <sheetName val="GFP_Type2"/>
      <sheetName val="SPM_(Cutting&amp;Pre)2"/>
      <sheetName val="KidsWklyProdTempR1_xlt2"/>
      <sheetName val="Subcapacity_outsoles_2"/>
      <sheetName val="FA15_Detail2"/>
      <sheetName val="SU15_Detail2"/>
      <sheetName val="PVD_Details2"/>
      <sheetName val="BPFC_ASSEMBLING2"/>
      <sheetName val="Monday_Data30"/>
      <sheetName val="Tuesday_Data30"/>
      <sheetName val="Wednesday_Data30"/>
      <sheetName val="Thursday_Data30"/>
      <sheetName val="Friday_Data30"/>
      <sheetName val="Saturday_Data30"/>
      <sheetName val="Raw_Data_Sheet30"/>
      <sheetName val="MODEL_SHOX_TURBO_OZ_(PS+TD)3"/>
      <sheetName val="SPRAY_(A_MX_PLUS)3"/>
      <sheetName val="PU_3"/>
      <sheetName val="Spray_Tower_Machine3"/>
      <sheetName val="SHOX_REMID_II3"/>
      <sheetName val="Vietnam_Report3"/>
      <sheetName val="PU_(pouring)3"/>
      <sheetName val="MACHINE_LIST3"/>
      <sheetName val="Shox_NZ3"/>
      <sheetName val="_Wedge_3"/>
      <sheetName val="GFP_Type3"/>
      <sheetName val="SPM_(Cutting&amp;Pre)3"/>
      <sheetName val="KidsWklyProdTempR1_xlt3"/>
      <sheetName val="Subcapacity_outsoles_3"/>
      <sheetName val="FA15_Detail3"/>
      <sheetName val="SU15_Detail3"/>
      <sheetName val="PVD_Details3"/>
      <sheetName val="BPFC_ASSEMBLING3"/>
      <sheetName val="Monday_Data32"/>
      <sheetName val="Tuesday_Data32"/>
      <sheetName val="Wednesday_Data32"/>
      <sheetName val="Thursday_Data32"/>
      <sheetName val="Friday_Data32"/>
      <sheetName val="Saturday_Data32"/>
      <sheetName val="Raw_Data_Sheet32"/>
      <sheetName val="MODEL_SHOX_TURBO_OZ_(PS+TD)5"/>
      <sheetName val="SPRAY_(A_MX_PLUS)5"/>
      <sheetName val="PU_5"/>
      <sheetName val="Spray_Tower_Machine5"/>
      <sheetName val="SHOX_REMID_II5"/>
      <sheetName val="Vietnam_Report5"/>
      <sheetName val="PU_(pouring)5"/>
      <sheetName val="MACHINE_LIST5"/>
      <sheetName val="Shox_NZ5"/>
      <sheetName val="_Wedge_5"/>
      <sheetName val="GFP_Type5"/>
      <sheetName val="SPM_(Cutting&amp;Pre)5"/>
      <sheetName val="KidsWklyProdTempR1_xlt5"/>
      <sheetName val="Subcapacity_outsoles_5"/>
      <sheetName val="FA15_Detail5"/>
      <sheetName val="SU15_Detail5"/>
      <sheetName val="PVD_Details5"/>
      <sheetName val="BPFC_ASSEMBLING5"/>
      <sheetName val="Monday_Data33"/>
      <sheetName val="Tuesday_Data33"/>
      <sheetName val="Wednesday_Data33"/>
      <sheetName val="Thursday_Data33"/>
      <sheetName val="Friday_Data33"/>
      <sheetName val="Saturday_Data33"/>
      <sheetName val="Raw_Data_Sheet33"/>
      <sheetName val="MODEL_SHOX_TURBO_OZ_(PS+TD)6"/>
      <sheetName val="SPRAY_(A_MX_PLUS)6"/>
      <sheetName val="PU_6"/>
      <sheetName val="Spray_Tower_Machine6"/>
      <sheetName val="SHOX_REMID_II6"/>
      <sheetName val="Vietnam_Report6"/>
      <sheetName val="PU_(pouring)6"/>
      <sheetName val="MACHINE_LIST6"/>
      <sheetName val="Shox_NZ6"/>
      <sheetName val="_Wedge_6"/>
      <sheetName val="GFP_Type6"/>
      <sheetName val="SPM_(Cutting&amp;Pre)6"/>
      <sheetName val="KidsWklyProdTempR1_xlt6"/>
      <sheetName val="Subcapacity_outsoles_6"/>
      <sheetName val="FA15_Detail6"/>
      <sheetName val="SU15_Detail6"/>
      <sheetName val="PVD_Details6"/>
      <sheetName val="BPFC_ASSEMBLING6"/>
      <sheetName val="Monday_Data40"/>
      <sheetName val="Tuesday_Data40"/>
      <sheetName val="Wednesday_Data40"/>
      <sheetName val="Thursday_Data40"/>
      <sheetName val="Friday_Data40"/>
      <sheetName val="Saturday_Data40"/>
      <sheetName val="Raw_Data_Sheet40"/>
      <sheetName val="MODEL_SHOX_TURBO_OZ_(PS+TD)13"/>
      <sheetName val="SPRAY_(A_MX_PLUS)13"/>
      <sheetName val="PU_13"/>
      <sheetName val="Spray_Tower_Machine13"/>
      <sheetName val="SHOX_REMID_II13"/>
      <sheetName val="Vietnam_Report13"/>
      <sheetName val="PU_(pouring)13"/>
      <sheetName val="MACHINE_LIST13"/>
      <sheetName val="Shox_NZ13"/>
      <sheetName val="_Wedge_13"/>
      <sheetName val="GFP_Type13"/>
      <sheetName val="SPM_(Cutting&amp;Pre)13"/>
      <sheetName val="KidsWklyProdTempR1_xlt13"/>
      <sheetName val="Subcapacity_outsoles_13"/>
      <sheetName val="FA15_Detail13"/>
      <sheetName val="SU15_Detail13"/>
      <sheetName val="PVD_Details13"/>
      <sheetName val="BPFC_ASSEMBLING13"/>
      <sheetName val="Monday_Data35"/>
      <sheetName val="Tuesday_Data35"/>
      <sheetName val="Wednesday_Data35"/>
      <sheetName val="Thursday_Data35"/>
      <sheetName val="Friday_Data35"/>
      <sheetName val="Saturday_Data35"/>
      <sheetName val="Raw_Data_Sheet35"/>
      <sheetName val="MODEL_SHOX_TURBO_OZ_(PS+TD)8"/>
      <sheetName val="SPRAY_(A_MX_PLUS)8"/>
      <sheetName val="PU_8"/>
      <sheetName val="Spray_Tower_Machine8"/>
      <sheetName val="SHOX_REMID_II8"/>
      <sheetName val="Vietnam_Report8"/>
      <sheetName val="PU_(pouring)8"/>
      <sheetName val="MACHINE_LIST8"/>
      <sheetName val="Shox_NZ8"/>
      <sheetName val="_Wedge_8"/>
      <sheetName val="GFP_Type8"/>
      <sheetName val="SPM_(Cutting&amp;Pre)8"/>
      <sheetName val="KidsWklyProdTempR1_xlt8"/>
      <sheetName val="Subcapacity_outsoles_8"/>
      <sheetName val="FA15_Detail8"/>
      <sheetName val="SU15_Detail8"/>
      <sheetName val="PVD_Details8"/>
      <sheetName val="BPFC_ASSEMBLING8"/>
      <sheetName val="Monday_Data36"/>
      <sheetName val="Tuesday_Data36"/>
      <sheetName val="Wednesday_Data36"/>
      <sheetName val="Thursday_Data36"/>
      <sheetName val="Friday_Data36"/>
      <sheetName val="Saturday_Data36"/>
      <sheetName val="Raw_Data_Sheet36"/>
      <sheetName val="MODEL_SHOX_TURBO_OZ_(PS+TD)9"/>
      <sheetName val="SPRAY_(A_MX_PLUS)9"/>
      <sheetName val="PU_9"/>
      <sheetName val="Spray_Tower_Machine9"/>
      <sheetName val="SHOX_REMID_II9"/>
      <sheetName val="Vietnam_Report9"/>
      <sheetName val="PU_(pouring)9"/>
      <sheetName val="MACHINE_LIST9"/>
      <sheetName val="Shox_NZ9"/>
      <sheetName val="_Wedge_9"/>
      <sheetName val="GFP_Type9"/>
      <sheetName val="SPM_(Cutting&amp;Pre)9"/>
      <sheetName val="KidsWklyProdTempR1_xlt9"/>
      <sheetName val="Subcapacity_outsoles_9"/>
      <sheetName val="FA15_Detail9"/>
      <sheetName val="SU15_Detail9"/>
      <sheetName val="PVD_Details9"/>
      <sheetName val="BPFC_ASSEMBLING9"/>
      <sheetName val="Monday_Data37"/>
      <sheetName val="Tuesday_Data37"/>
      <sheetName val="Wednesday_Data37"/>
      <sheetName val="Thursday_Data37"/>
      <sheetName val="Friday_Data37"/>
      <sheetName val="Saturday_Data37"/>
      <sheetName val="Raw_Data_Sheet37"/>
      <sheetName val="MODEL_SHOX_TURBO_OZ_(PS+TD)10"/>
      <sheetName val="SPRAY_(A_MX_PLUS)10"/>
      <sheetName val="PU_10"/>
      <sheetName val="Spray_Tower_Machine10"/>
      <sheetName val="SHOX_REMID_II10"/>
      <sheetName val="Vietnam_Report10"/>
      <sheetName val="PU_(pouring)10"/>
      <sheetName val="MACHINE_LIST10"/>
      <sheetName val="Shox_NZ10"/>
      <sheetName val="_Wedge_10"/>
      <sheetName val="GFP_Type10"/>
      <sheetName val="SPM_(Cutting&amp;Pre)10"/>
      <sheetName val="KidsWklyProdTempR1_xlt10"/>
      <sheetName val="Subcapacity_outsoles_10"/>
      <sheetName val="FA15_Detail10"/>
      <sheetName val="SU15_Detail10"/>
      <sheetName val="PVD_Details10"/>
      <sheetName val="BPFC_ASSEMBLING10"/>
      <sheetName val="Monday_Data38"/>
      <sheetName val="Tuesday_Data38"/>
      <sheetName val="Wednesday_Data38"/>
      <sheetName val="Thursday_Data38"/>
      <sheetName val="Friday_Data38"/>
      <sheetName val="Saturday_Data38"/>
      <sheetName val="Raw_Data_Sheet38"/>
      <sheetName val="MODEL_SHOX_TURBO_OZ_(PS+TD)11"/>
      <sheetName val="SPRAY_(A_MX_PLUS)11"/>
      <sheetName val="PU_11"/>
      <sheetName val="Spray_Tower_Machine11"/>
      <sheetName val="SHOX_REMID_II11"/>
      <sheetName val="Vietnam_Report11"/>
      <sheetName val="PU_(pouring)11"/>
      <sheetName val="MACHINE_LIST11"/>
      <sheetName val="Shox_NZ11"/>
      <sheetName val="_Wedge_11"/>
      <sheetName val="GFP_Type11"/>
      <sheetName val="SPM_(Cutting&amp;Pre)11"/>
      <sheetName val="KidsWklyProdTempR1_xlt11"/>
      <sheetName val="Subcapacity_outsoles_11"/>
      <sheetName val="FA15_Detail11"/>
      <sheetName val="SU15_Detail11"/>
      <sheetName val="PVD_Details11"/>
      <sheetName val="BPFC_ASSEMBLING11"/>
      <sheetName val="Monday_Data39"/>
      <sheetName val="Tuesday_Data39"/>
      <sheetName val="Wednesday_Data39"/>
      <sheetName val="Thursday_Data39"/>
      <sheetName val="Friday_Data39"/>
      <sheetName val="Saturday_Data39"/>
      <sheetName val="Raw_Data_Sheet39"/>
      <sheetName val="MODEL_SHOX_TURBO_OZ_(PS+TD)12"/>
      <sheetName val="SPRAY_(A_MX_PLUS)12"/>
      <sheetName val="PU_12"/>
      <sheetName val="Spray_Tower_Machine12"/>
      <sheetName val="SHOX_REMID_II12"/>
      <sheetName val="Vietnam_Report12"/>
      <sheetName val="PU_(pouring)12"/>
      <sheetName val="MACHINE_LIST12"/>
      <sheetName val="Shox_NZ12"/>
      <sheetName val="_Wedge_12"/>
      <sheetName val="GFP_Type12"/>
      <sheetName val="SPM_(Cutting&amp;Pre)12"/>
      <sheetName val="KidsWklyProdTempR1_xlt12"/>
      <sheetName val="Subcapacity_outsoles_12"/>
      <sheetName val="FA15_Detail12"/>
      <sheetName val="SU15_Detail12"/>
      <sheetName val="PVD_Details12"/>
      <sheetName val="BPFC_ASSEMBLING12"/>
      <sheetName val="Monday_Data41"/>
      <sheetName val="Tuesday_Data41"/>
      <sheetName val="Wednesday_Data41"/>
      <sheetName val="Thursday_Data41"/>
      <sheetName val="Friday_Data41"/>
      <sheetName val="Saturday_Data41"/>
      <sheetName val="Raw_Data_Sheet41"/>
      <sheetName val="MODEL_SHOX_TURBO_OZ_(PS+TD)14"/>
      <sheetName val="SPRAY_(A_MX_PLUS)14"/>
      <sheetName val="PU_14"/>
      <sheetName val="Spray_Tower_Machine14"/>
      <sheetName val="SHOX_REMID_II14"/>
      <sheetName val="Vietnam_Report14"/>
      <sheetName val="PU_(pouring)14"/>
      <sheetName val="MACHINE_LIST14"/>
      <sheetName val="Shox_NZ14"/>
      <sheetName val="_Wedge_14"/>
      <sheetName val="GFP_Type14"/>
      <sheetName val="SPM_(Cutting&amp;Pre)14"/>
      <sheetName val="KidsWklyProdTempR1_xlt14"/>
      <sheetName val="Subcapacity_outsoles_14"/>
      <sheetName val="FA15_Detail14"/>
      <sheetName val="SU15_Detail14"/>
      <sheetName val="PVD_Details14"/>
      <sheetName val="BPFC_ASSEMBLING14"/>
      <sheetName val="Monday_Data43"/>
      <sheetName val="Tuesday_Data43"/>
      <sheetName val="Wednesday_Data43"/>
      <sheetName val="Thursday_Data43"/>
      <sheetName val="Friday_Data43"/>
      <sheetName val="Saturday_Data43"/>
      <sheetName val="Raw_Data_Sheet43"/>
      <sheetName val="MODEL_SHOX_TURBO_OZ_(PS+TD)16"/>
      <sheetName val="SPRAY_(A_MX_PLUS)16"/>
      <sheetName val="PU_16"/>
      <sheetName val="Spray_Tower_Machine16"/>
      <sheetName val="SHOX_REMID_II16"/>
      <sheetName val="Vietnam_Report16"/>
      <sheetName val="PU_(pouring)16"/>
      <sheetName val="MACHINE_LIST16"/>
      <sheetName val="Shox_NZ16"/>
      <sheetName val="_Wedge_16"/>
      <sheetName val="GFP_Type16"/>
      <sheetName val="SPM_(Cutting&amp;Pre)16"/>
      <sheetName val="KidsWklyProdTempR1_xlt16"/>
      <sheetName val="Subcapacity_outsoles_16"/>
      <sheetName val="FA15_Detail16"/>
      <sheetName val="SU15_Detail16"/>
      <sheetName val="PVD_Details16"/>
      <sheetName val="BPFC_ASSEMBLING16"/>
      <sheetName val="Monday_Data42"/>
      <sheetName val="Tuesday_Data42"/>
      <sheetName val="Wednesday_Data42"/>
      <sheetName val="Thursday_Data42"/>
      <sheetName val="Friday_Data42"/>
      <sheetName val="Saturday_Data42"/>
      <sheetName val="Raw_Data_Sheet42"/>
      <sheetName val="MODEL_SHOX_TURBO_OZ_(PS+TD)15"/>
      <sheetName val="SPRAY_(A_MX_PLUS)15"/>
      <sheetName val="PU_15"/>
      <sheetName val="Spray_Tower_Machine15"/>
      <sheetName val="SHOX_REMID_II15"/>
      <sheetName val="Vietnam_Report15"/>
      <sheetName val="PU_(pouring)15"/>
      <sheetName val="MACHINE_LIST15"/>
      <sheetName val="Shox_NZ15"/>
      <sheetName val="_Wedge_15"/>
      <sheetName val="GFP_Type15"/>
      <sheetName val="SPM_(Cutting&amp;Pre)15"/>
      <sheetName val="KidsWklyProdTempR1_xlt15"/>
      <sheetName val="Subcapacity_outsoles_15"/>
      <sheetName val="FA15_Detail15"/>
      <sheetName val="SU15_Detail15"/>
      <sheetName val="PVD_Details15"/>
      <sheetName val="BPFC_ASSEMBLING15"/>
      <sheetName val="Monday_Data44"/>
      <sheetName val="Tuesday_Data44"/>
      <sheetName val="Wednesday_Data44"/>
      <sheetName val="Thursday_Data44"/>
      <sheetName val="Friday_Data44"/>
      <sheetName val="Saturday_Data44"/>
      <sheetName val="Raw_Data_Sheet44"/>
      <sheetName val="MODEL_SHOX_TURBO_OZ_(PS+TD)17"/>
      <sheetName val="SPRAY_(A_MX_PLUS)17"/>
      <sheetName val="PU_17"/>
      <sheetName val="Spray_Tower_Machine17"/>
      <sheetName val="SHOX_REMID_II17"/>
      <sheetName val="Vietnam_Report17"/>
      <sheetName val="PU_(pouring)17"/>
      <sheetName val="MACHINE_LIST17"/>
      <sheetName val="Shox_NZ17"/>
      <sheetName val="_Wedge_17"/>
      <sheetName val="GFP_Type17"/>
      <sheetName val="SPM_(Cutting&amp;Pre)17"/>
      <sheetName val="KidsWklyProdTempR1_xlt17"/>
      <sheetName val="Subcapacity_outsoles_17"/>
      <sheetName val="FA15_Detail17"/>
      <sheetName val="SU15_Detail17"/>
      <sheetName val="PVD_Details17"/>
      <sheetName val="BPFC_ASSEMBLING17"/>
      <sheetName val="Monday_Data45"/>
      <sheetName val="Tuesday_Data45"/>
      <sheetName val="Wednesday_Data45"/>
      <sheetName val="Thursday_Data45"/>
      <sheetName val="Friday_Data45"/>
      <sheetName val="Saturday_Data45"/>
      <sheetName val="Raw_Data_Sheet45"/>
      <sheetName val="MODEL_SHOX_TURBO_OZ_(PS+TD)18"/>
      <sheetName val="SPRAY_(A_MX_PLUS)18"/>
      <sheetName val="PU_18"/>
      <sheetName val="Spray_Tower_Machine18"/>
      <sheetName val="SHOX_REMID_II18"/>
      <sheetName val="Vietnam_Report18"/>
      <sheetName val="PU_(pouring)18"/>
      <sheetName val="MACHINE_LIST18"/>
      <sheetName val="Shox_NZ18"/>
      <sheetName val="_Wedge_18"/>
      <sheetName val="GFP_Type18"/>
      <sheetName val="SPM_(Cutting&amp;Pre)18"/>
      <sheetName val="KidsWklyProdTempR1_xlt18"/>
      <sheetName val="Subcapacity_outsoles_18"/>
      <sheetName val="FA15_Detail18"/>
      <sheetName val="SU15_Detail18"/>
      <sheetName val="PVD_Details18"/>
      <sheetName val="BPFC_ASSEMBLING18"/>
      <sheetName val="Monday_Data46"/>
      <sheetName val="Tuesday_Data46"/>
      <sheetName val="Wednesday_Data46"/>
      <sheetName val="Thursday_Data46"/>
      <sheetName val="Friday_Data46"/>
      <sheetName val="Saturday_Data46"/>
      <sheetName val="Raw_Data_Sheet46"/>
      <sheetName val="MODEL_SHOX_TURBO_OZ_(PS+TD)19"/>
      <sheetName val="SPRAY_(A_MX_PLUS)19"/>
      <sheetName val="PU_19"/>
      <sheetName val="Spray_Tower_Machine19"/>
      <sheetName val="SHOX_REMID_II19"/>
      <sheetName val="Vietnam_Report19"/>
      <sheetName val="PU_(pouring)19"/>
      <sheetName val="MACHINE_LIST19"/>
      <sheetName val="Shox_NZ19"/>
      <sheetName val="_Wedge_19"/>
      <sheetName val="GFP_Type19"/>
      <sheetName val="SPM_(Cutting&amp;Pre)19"/>
      <sheetName val="KidsWklyProdTempR1_xlt19"/>
      <sheetName val="Subcapacity_outsoles_19"/>
      <sheetName val="FA15_Detail19"/>
      <sheetName val="SU15_Detail19"/>
      <sheetName val="PVD_Details19"/>
      <sheetName val="BPFC_ASSEMBLING19"/>
      <sheetName val="Monday_Data47"/>
      <sheetName val="Tuesday_Data47"/>
      <sheetName val="Wednesday_Data47"/>
      <sheetName val="Thursday_Data47"/>
      <sheetName val="Friday_Data47"/>
      <sheetName val="Saturday_Data47"/>
      <sheetName val="Raw_Data_Sheet47"/>
      <sheetName val="MODEL_SHOX_TURBO_OZ_(PS+TD)20"/>
      <sheetName val="SPRAY_(A_MX_PLUS)20"/>
      <sheetName val="PU_20"/>
      <sheetName val="Spray_Tower_Machine20"/>
      <sheetName val="SHOX_REMID_II20"/>
      <sheetName val="Vietnam_Report20"/>
      <sheetName val="PU_(pouring)20"/>
      <sheetName val="MACHINE_LIST20"/>
      <sheetName val="Shox_NZ20"/>
      <sheetName val="_Wedge_20"/>
      <sheetName val="GFP_Type20"/>
      <sheetName val="SPM_(Cutting&amp;Pre)20"/>
      <sheetName val="KidsWklyProdTempR1_xlt20"/>
      <sheetName val="Subcapacity_outsoles_20"/>
      <sheetName val="FA15_Detail20"/>
      <sheetName val="SU15_Detail20"/>
      <sheetName val="PVD_Details20"/>
      <sheetName val="BPFC_ASSEMBLING20"/>
      <sheetName val="PU CSS"/>
      <sheetName val="Upper Cutting Schedules (8)"/>
      <sheetName val="RESULT B"/>
      <sheetName val="당월(1)"/>
      <sheetName val="PTRSS - Finished Shoe"/>
      <sheetName val="Stitching Instruction (3)"/>
      <sheetName val="Finished Shoe"/>
      <sheetName val="Assembly Bonding PFC"/>
      <sheetName val="Sheet1 (2)"/>
      <sheetName val="Sep"/>
      <sheetName val="Oct"/>
      <sheetName val="Nov"/>
      <sheetName val="Dec"/>
      <sheetName val="Monday_Data48"/>
      <sheetName val="Tuesday_Data48"/>
      <sheetName val="Wednesday_Data48"/>
      <sheetName val="Thursday_Data48"/>
      <sheetName val="Friday_Data48"/>
      <sheetName val="Saturday_Data48"/>
      <sheetName val="Raw_Data_Sheet48"/>
      <sheetName val="MODEL_SHOX_TURBO_OZ_(PS+TD)21"/>
      <sheetName val="SPRAY_(A_MX_PLUS)21"/>
      <sheetName val="PU_21"/>
      <sheetName val="Spray_Tower_Machine21"/>
      <sheetName val="SHOX_REMID_II21"/>
      <sheetName val="Vietnam_Report21"/>
      <sheetName val="PU_(pouring)21"/>
      <sheetName val="MACHINE_LIST21"/>
      <sheetName val="Shox_NZ21"/>
      <sheetName val="_Wedge_21"/>
      <sheetName val="GFP_Type21"/>
      <sheetName val="SPM_(Cutting&amp;Pre)21"/>
      <sheetName val="KidsWklyProdTempR1_xlt21"/>
      <sheetName val="Subcapacity_outsoles_21"/>
      <sheetName val="FA15_Detail21"/>
      <sheetName val="SU15_Detail21"/>
      <sheetName val="PVD_Details21"/>
      <sheetName val="BPFC_ASSEMBLING21"/>
      <sheetName val="Plan_Prod_Per_cell_(40jam)"/>
      <sheetName val="Back_up_L_Capa_(BM01-03'18)"/>
      <sheetName val="Prod_Plan_BM_(06-08)"/>
      <sheetName val="Order_Per_Line"/>
      <sheetName val="Back_up_L_Capa_(06-08'18)"/>
      <sheetName val="QTY_ORDER_SHB"/>
      <sheetName val="Pembagian_model"/>
      <sheetName val="Summ_MC_(BM01-03-18)"/>
      <sheetName val="DATA_HRD_2019_DEC-31"/>
      <sheetName val="MP_Act_vs_HRD(02-04)"/>
      <sheetName val="MP_Act_vs_HRD(ALLW)"/>
      <sheetName val="Back_up_TO_MC_(BM01-03'20)"/>
      <sheetName val="Summary_All"/>
      <sheetName val="LOP_Tool"/>
      <sheetName val="Form_PDCA_Single_Project_-_IA"/>
      <sheetName val="MTO_REV_0"/>
      <sheetName val="Process_Flow_Chart"/>
      <sheetName val="Cutting_Dies_"/>
      <sheetName val="PU_CSS"/>
      <sheetName val="Upper_Cutting_Schedules_(8)"/>
      <sheetName val="RESULT_B"/>
      <sheetName val="PTRSS_-_Finished_Shoe"/>
      <sheetName val="Stitching_Instruction_(3)"/>
      <sheetName val="Finished_Shoe"/>
      <sheetName val="Assembly_Bonding_PFC"/>
      <sheetName val="Sheet1_(2)"/>
      <sheetName val="Monday_Data49"/>
      <sheetName val="Tuesday_Data49"/>
      <sheetName val="Wednesday_Data49"/>
      <sheetName val="Thursday_Data49"/>
      <sheetName val="Friday_Data49"/>
      <sheetName val="Saturday_Data49"/>
      <sheetName val="Raw_Data_Sheet49"/>
      <sheetName val="MODEL_SHOX_TURBO_OZ_(PS+TD)22"/>
      <sheetName val="SPRAY_(A_MX_PLUS)22"/>
      <sheetName val="PU_22"/>
      <sheetName val="Spray_Tower_Machine22"/>
      <sheetName val="SHOX_REMID_II22"/>
      <sheetName val="Vietnam_Report22"/>
      <sheetName val="PU_(pouring)22"/>
      <sheetName val="MACHINE_LIST22"/>
      <sheetName val="Shox_NZ22"/>
      <sheetName val="_Wedge_22"/>
      <sheetName val="GFP_Type22"/>
      <sheetName val="SPM_(Cutting&amp;Pre)22"/>
      <sheetName val="KidsWklyProdTempR1_xlt22"/>
      <sheetName val="Subcapacity_outsoles_22"/>
      <sheetName val="FA15_Detail22"/>
      <sheetName val="SU15_Detail22"/>
      <sheetName val="PVD_Details22"/>
      <sheetName val="BPFC_ASSEMBLING22"/>
      <sheetName val="Plan_Prod_Per_cell_(40jam)1"/>
      <sheetName val="Back_up_L_Capa_(BM01-03'18)1"/>
      <sheetName val="Prod_Plan_BM_(06-08)1"/>
      <sheetName val="Order_Per_Line1"/>
      <sheetName val="Back_up_L_Capa_(06-08'18)1"/>
      <sheetName val="QTY_ORDER_SHB1"/>
      <sheetName val="Pembagian_model1"/>
      <sheetName val="Summ_MC_(BM01-03-18)1"/>
      <sheetName val="DATA_HRD_2019_DEC-311"/>
      <sheetName val="MP_Act_vs_HRD(02-04)1"/>
      <sheetName val="MP_Act_vs_HRD(ALLW)1"/>
      <sheetName val="Back_up_TO_MC_(BM01-03'20)1"/>
      <sheetName val="Summary_All1"/>
      <sheetName val="LOP_Tool1"/>
      <sheetName val="Form_PDCA_Single_Project_-_IA1"/>
      <sheetName val="MTO_REV_01"/>
      <sheetName val="Process_Flow_Chart1"/>
      <sheetName val="Cutting_Dies_1"/>
      <sheetName val="PU_CSS1"/>
      <sheetName val="Upper_Cutting_Schedules_(8)1"/>
      <sheetName val="RESULT_B1"/>
      <sheetName val="PTRSS_-_Finished_Shoe1"/>
      <sheetName val="Stitching_Instruction_(3)1"/>
      <sheetName val="Finished_Shoe1"/>
      <sheetName val="Assembly_Bonding_PFC1"/>
      <sheetName val="Sheet1_(2)1"/>
      <sheetName val="Setup"/>
      <sheetName val="APACHE"/>
      <sheetName val="CLU"/>
      <sheetName val="EVN"/>
      <sheetName val="HSD"/>
      <sheetName val="FLU"/>
      <sheetName val="feb"/>
      <sheetName val="list 12-02 &amp; 01-03"/>
      <sheetName val="DATABASE"/>
      <sheetName val="Supplier List"/>
    </sheetNames>
    <sheetDataSet>
      <sheetData sheetId="0">
        <row r="6">
          <cell r="B6" t="str">
            <v>5.0 C</v>
          </cell>
        </row>
      </sheetData>
      <sheetData sheetId="1" refreshError="1">
        <row r="6">
          <cell r="B6" t="str">
            <v>5.0 C</v>
          </cell>
          <cell r="C6">
            <v>-24.380000000000003</v>
          </cell>
        </row>
        <row r="7">
          <cell r="B7" t="str">
            <v>5.5 C</v>
          </cell>
          <cell r="C7">
            <v>-20.150000000000002</v>
          </cell>
        </row>
        <row r="8">
          <cell r="B8" t="str">
            <v>6.0 C</v>
          </cell>
          <cell r="C8">
            <v>-15.920000000000002</v>
          </cell>
        </row>
        <row r="9">
          <cell r="B9" t="str">
            <v>6.5 C</v>
          </cell>
          <cell r="C9">
            <v>-11.690000000000001</v>
          </cell>
        </row>
        <row r="10">
          <cell r="B10" t="str">
            <v>7.0 C</v>
          </cell>
          <cell r="C10">
            <v>-7.4600000000000009</v>
          </cell>
        </row>
        <row r="11">
          <cell r="B11" t="str">
            <v>7.5 C</v>
          </cell>
          <cell r="C11">
            <v>-3.2300000000000004</v>
          </cell>
        </row>
        <row r="12">
          <cell r="B12" t="str">
            <v>8.0 C</v>
          </cell>
          <cell r="C12">
            <v>1</v>
          </cell>
        </row>
        <row r="13">
          <cell r="B13" t="str">
            <v>8.5 C</v>
          </cell>
          <cell r="C13">
            <v>5.23</v>
          </cell>
        </row>
        <row r="14">
          <cell r="B14" t="str">
            <v>9.0 C</v>
          </cell>
          <cell r="C14">
            <v>9.4600000000000009</v>
          </cell>
        </row>
        <row r="15">
          <cell r="B15" t="str">
            <v>9.5 C</v>
          </cell>
          <cell r="C15">
            <v>13.690000000000001</v>
          </cell>
        </row>
        <row r="16">
          <cell r="B16" t="str">
            <v>10.0 C</v>
          </cell>
          <cell r="C16">
            <v>17.920000000000002</v>
          </cell>
        </row>
        <row r="17">
          <cell r="B17" t="str">
            <v>10.5 C</v>
          </cell>
          <cell r="C17">
            <v>22.150000000000002</v>
          </cell>
        </row>
        <row r="18">
          <cell r="B18" t="str">
            <v>11.0 C</v>
          </cell>
          <cell r="C18">
            <v>26.380000000000003</v>
          </cell>
        </row>
        <row r="19">
          <cell r="B19" t="str">
            <v>11.5 C</v>
          </cell>
          <cell r="C19">
            <v>30.610000000000003</v>
          </cell>
        </row>
        <row r="20">
          <cell r="B20" t="str">
            <v>12.0 C</v>
          </cell>
          <cell r="C20">
            <v>34.840000000000003</v>
          </cell>
        </row>
        <row r="21">
          <cell r="B21" t="str">
            <v>12.5 C</v>
          </cell>
          <cell r="C21">
            <v>39.070000000000007</v>
          </cell>
        </row>
        <row r="22">
          <cell r="B22" t="str">
            <v>13.0 C</v>
          </cell>
          <cell r="C22">
            <v>43.300000000000004</v>
          </cell>
        </row>
        <row r="23">
          <cell r="B23" t="str">
            <v>13.5 C</v>
          </cell>
          <cell r="C23">
            <v>47.53</v>
          </cell>
        </row>
        <row r="24">
          <cell r="B24" t="str">
            <v>1.0 Y</v>
          </cell>
          <cell r="C24">
            <v>51.760000000000005</v>
          </cell>
        </row>
        <row r="25">
          <cell r="B25" t="str">
            <v>1.5 Y</v>
          </cell>
          <cell r="C25">
            <v>55.990000000000009</v>
          </cell>
        </row>
        <row r="26">
          <cell r="B26" t="str">
            <v>2.0 Y</v>
          </cell>
          <cell r="C26">
            <v>60.220000000000006</v>
          </cell>
        </row>
        <row r="27">
          <cell r="B27" t="str">
            <v>2.5 Y</v>
          </cell>
          <cell r="C27">
            <v>64.45</v>
          </cell>
        </row>
        <row r="28">
          <cell r="B28" t="str">
            <v>3.0 Y</v>
          </cell>
          <cell r="C28">
            <v>68.680000000000007</v>
          </cell>
        </row>
        <row r="29">
          <cell r="B29" t="str">
            <v>3.5 Y</v>
          </cell>
          <cell r="C29">
            <v>72.910000000000011</v>
          </cell>
        </row>
        <row r="30">
          <cell r="B30" t="str">
            <v>4.0 Y</v>
          </cell>
          <cell r="C30">
            <v>77.140000000000015</v>
          </cell>
        </row>
        <row r="31">
          <cell r="B31" t="str">
            <v>4.5 Y</v>
          </cell>
          <cell r="C31">
            <v>81.37</v>
          </cell>
        </row>
        <row r="32">
          <cell r="B32" t="str">
            <v>5.0 Y</v>
          </cell>
          <cell r="C32">
            <v>85.600000000000009</v>
          </cell>
        </row>
        <row r="33">
          <cell r="B33" t="str">
            <v>5.5 Y</v>
          </cell>
          <cell r="C33">
            <v>89.830000000000013</v>
          </cell>
        </row>
        <row r="34">
          <cell r="B34" t="str">
            <v>6.0 Y</v>
          </cell>
          <cell r="C34">
            <v>94.06</v>
          </cell>
        </row>
        <row r="48">
          <cell r="B48" t="str">
            <v>5.0 C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>
            <v>0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>
            <v>0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>
            <v>0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>
            <v>0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>
            <v>0</v>
          </cell>
          <cell r="AG48" t="str">
            <v>--</v>
          </cell>
          <cell r="AH48" t="str">
            <v>--</v>
          </cell>
        </row>
        <row r="49">
          <cell r="B49" t="str">
            <v>5.5 C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>
            <v>0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>
            <v>0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>
            <v>0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>
            <v>0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0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>
            <v>0</v>
          </cell>
          <cell r="AG49" t="str">
            <v>--</v>
          </cell>
          <cell r="AH49" t="str">
            <v>--</v>
          </cell>
        </row>
        <row r="50">
          <cell r="B50" t="str">
            <v>6.0 C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>
            <v>0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>
            <v>0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>
            <v>0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>
            <v>0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>
            <v>0</v>
          </cell>
          <cell r="AG50" t="str">
            <v>--</v>
          </cell>
          <cell r="AH50" t="str">
            <v>--</v>
          </cell>
        </row>
        <row r="51">
          <cell r="B51" t="str">
            <v>6.5 C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>
            <v>0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>
            <v>0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>
            <v>0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>
            <v>0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0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>
            <v>0</v>
          </cell>
          <cell r="AG51" t="str">
            <v>--</v>
          </cell>
          <cell r="AH51" t="str">
            <v>--</v>
          </cell>
        </row>
        <row r="52">
          <cell r="B52" t="str">
            <v>7.0C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>
            <v>0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>
            <v>0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>
            <v>0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>
            <v>0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>
            <v>0</v>
          </cell>
          <cell r="AG52" t="str">
            <v>--</v>
          </cell>
          <cell r="AH52" t="str">
            <v>--</v>
          </cell>
        </row>
        <row r="53">
          <cell r="B53" t="str">
            <v>7.5 C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>
            <v>0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>
            <v>0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0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>
            <v>0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0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>
            <v>0</v>
          </cell>
          <cell r="AG53" t="str">
            <v>--</v>
          </cell>
          <cell r="AH53" t="str">
            <v>--</v>
          </cell>
        </row>
        <row r="54">
          <cell r="B54" t="str">
            <v>8.0 C</v>
          </cell>
          <cell r="C54">
            <v>1</v>
          </cell>
          <cell r="D54" t="str">
            <v>-</v>
          </cell>
          <cell r="E54" t="str">
            <v>-</v>
          </cell>
          <cell r="F54" t="str">
            <v>-</v>
          </cell>
          <cell r="G54">
            <v>0</v>
          </cell>
          <cell r="H54">
            <v>1</v>
          </cell>
          <cell r="I54" t="str">
            <v>-</v>
          </cell>
          <cell r="J54" t="str">
            <v>-</v>
          </cell>
          <cell r="K54" t="str">
            <v>-</v>
          </cell>
          <cell r="L54">
            <v>0</v>
          </cell>
          <cell r="M54">
            <v>1</v>
          </cell>
          <cell r="N54" t="str">
            <v>-</v>
          </cell>
          <cell r="O54" t="str">
            <v>-</v>
          </cell>
          <cell r="P54" t="str">
            <v>-</v>
          </cell>
          <cell r="Q54">
            <v>0</v>
          </cell>
          <cell r="R54">
            <v>1</v>
          </cell>
          <cell r="S54" t="str">
            <v>-</v>
          </cell>
          <cell r="T54" t="str">
            <v>-</v>
          </cell>
          <cell r="U54" t="str">
            <v>-</v>
          </cell>
          <cell r="V54">
            <v>0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0</v>
          </cell>
          <cell r="AB54">
            <v>1</v>
          </cell>
          <cell r="AC54" t="str">
            <v>-</v>
          </cell>
          <cell r="AD54" t="str">
            <v>-</v>
          </cell>
          <cell r="AE54" t="str">
            <v>-</v>
          </cell>
          <cell r="AF54">
            <v>0</v>
          </cell>
          <cell r="AG54">
            <v>1</v>
          </cell>
          <cell r="AH54" t="str">
            <v>--</v>
          </cell>
        </row>
        <row r="55">
          <cell r="B55" t="str">
            <v>8.5 C</v>
          </cell>
          <cell r="C55">
            <v>5.23</v>
          </cell>
          <cell r="D55" t="str">
            <v>-</v>
          </cell>
          <cell r="E55" t="str">
            <v>-</v>
          </cell>
          <cell r="F55" t="str">
            <v>-</v>
          </cell>
          <cell r="G55">
            <v>0</v>
          </cell>
          <cell r="H55">
            <v>5.23</v>
          </cell>
          <cell r="I55" t="str">
            <v>-</v>
          </cell>
          <cell r="J55" t="str">
            <v>-</v>
          </cell>
          <cell r="K55" t="str">
            <v>-</v>
          </cell>
          <cell r="L55">
            <v>0</v>
          </cell>
          <cell r="M55">
            <v>5.23</v>
          </cell>
          <cell r="N55" t="str">
            <v>-</v>
          </cell>
          <cell r="O55" t="str">
            <v>-</v>
          </cell>
          <cell r="P55" t="str">
            <v>-</v>
          </cell>
          <cell r="Q55">
            <v>0</v>
          </cell>
          <cell r="R55">
            <v>5.23</v>
          </cell>
          <cell r="S55" t="str">
            <v>-</v>
          </cell>
          <cell r="T55" t="str">
            <v>-</v>
          </cell>
          <cell r="U55" t="str">
            <v>-</v>
          </cell>
          <cell r="V55">
            <v>0</v>
          </cell>
          <cell r="W55">
            <v>5.23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0</v>
          </cell>
          <cell r="AB55">
            <v>5.23</v>
          </cell>
          <cell r="AC55" t="str">
            <v>-</v>
          </cell>
          <cell r="AD55" t="str">
            <v>-</v>
          </cell>
          <cell r="AE55" t="str">
            <v>-</v>
          </cell>
          <cell r="AF55">
            <v>0</v>
          </cell>
          <cell r="AG55">
            <v>5.23</v>
          </cell>
          <cell r="AH55" t="str">
            <v>--</v>
          </cell>
        </row>
        <row r="56">
          <cell r="B56" t="str">
            <v>9.0 C</v>
          </cell>
          <cell r="C56">
            <v>9.4600000000000009</v>
          </cell>
          <cell r="D56" t="str">
            <v>-</v>
          </cell>
          <cell r="E56" t="str">
            <v>-</v>
          </cell>
          <cell r="F56" t="str">
            <v>-</v>
          </cell>
          <cell r="G56">
            <v>0</v>
          </cell>
          <cell r="H56">
            <v>9.4600000000000009</v>
          </cell>
          <cell r="I56" t="str">
            <v>-</v>
          </cell>
          <cell r="J56" t="str">
            <v>-</v>
          </cell>
          <cell r="K56" t="str">
            <v>-</v>
          </cell>
          <cell r="L56">
            <v>0</v>
          </cell>
          <cell r="M56">
            <v>9.4600000000000009</v>
          </cell>
          <cell r="N56" t="str">
            <v>-</v>
          </cell>
          <cell r="O56" t="str">
            <v>-</v>
          </cell>
          <cell r="P56" t="str">
            <v>-</v>
          </cell>
          <cell r="Q56">
            <v>0</v>
          </cell>
          <cell r="R56">
            <v>9.4600000000000009</v>
          </cell>
          <cell r="S56" t="str">
            <v>-</v>
          </cell>
          <cell r="T56" t="str">
            <v>-</v>
          </cell>
          <cell r="U56" t="str">
            <v>-</v>
          </cell>
          <cell r="V56">
            <v>0</v>
          </cell>
          <cell r="W56">
            <v>9.4600000000000009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0</v>
          </cell>
          <cell r="AB56">
            <v>9.4600000000000009</v>
          </cell>
          <cell r="AC56" t="str">
            <v>-</v>
          </cell>
          <cell r="AD56" t="str">
            <v>-</v>
          </cell>
          <cell r="AE56" t="str">
            <v>-</v>
          </cell>
          <cell r="AF56">
            <v>0</v>
          </cell>
          <cell r="AG56">
            <v>9.4600000000000009</v>
          </cell>
          <cell r="AH56" t="str">
            <v>--</v>
          </cell>
        </row>
        <row r="57">
          <cell r="B57" t="str">
            <v>9.5 C</v>
          </cell>
          <cell r="C57">
            <v>13.690000000000001</v>
          </cell>
          <cell r="D57" t="str">
            <v>-</v>
          </cell>
          <cell r="E57" t="str">
            <v>-</v>
          </cell>
          <cell r="F57" t="str">
            <v>-</v>
          </cell>
          <cell r="G57">
            <v>0</v>
          </cell>
          <cell r="H57">
            <v>13.690000000000001</v>
          </cell>
          <cell r="I57" t="str">
            <v>-</v>
          </cell>
          <cell r="J57" t="str">
            <v>-</v>
          </cell>
          <cell r="K57" t="str">
            <v>-</v>
          </cell>
          <cell r="L57">
            <v>0</v>
          </cell>
          <cell r="M57">
            <v>13.690000000000001</v>
          </cell>
          <cell r="N57" t="str">
            <v>-</v>
          </cell>
          <cell r="O57" t="str">
            <v>-</v>
          </cell>
          <cell r="P57" t="str">
            <v>-</v>
          </cell>
          <cell r="Q57">
            <v>0</v>
          </cell>
          <cell r="R57">
            <v>13.690000000000001</v>
          </cell>
          <cell r="S57" t="str">
            <v>-</v>
          </cell>
          <cell r="T57" t="str">
            <v>-</v>
          </cell>
          <cell r="U57" t="str">
            <v>-</v>
          </cell>
          <cell r="V57">
            <v>0</v>
          </cell>
          <cell r="W57">
            <v>13.690000000000001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0</v>
          </cell>
          <cell r="AB57">
            <v>13.690000000000001</v>
          </cell>
          <cell r="AC57" t="str">
            <v>-</v>
          </cell>
          <cell r="AD57" t="str">
            <v>-</v>
          </cell>
          <cell r="AE57" t="str">
            <v>-</v>
          </cell>
          <cell r="AF57">
            <v>0</v>
          </cell>
          <cell r="AG57">
            <v>13.690000000000001</v>
          </cell>
          <cell r="AH57" t="str">
            <v>--</v>
          </cell>
        </row>
        <row r="58">
          <cell r="B58" t="str">
            <v>10.0 C</v>
          </cell>
          <cell r="C58">
            <v>17.920000000000002</v>
          </cell>
          <cell r="D58" t="str">
            <v>-</v>
          </cell>
          <cell r="E58" t="str">
            <v>-</v>
          </cell>
          <cell r="F58" t="str">
            <v>-</v>
          </cell>
          <cell r="G58">
            <v>0</v>
          </cell>
          <cell r="H58">
            <v>17.920000000000002</v>
          </cell>
          <cell r="I58" t="str">
            <v>-</v>
          </cell>
          <cell r="J58" t="str">
            <v>-</v>
          </cell>
          <cell r="K58" t="str">
            <v>-</v>
          </cell>
          <cell r="L58">
            <v>0</v>
          </cell>
          <cell r="M58">
            <v>17.920000000000002</v>
          </cell>
          <cell r="N58" t="str">
            <v>-</v>
          </cell>
          <cell r="O58" t="str">
            <v>-</v>
          </cell>
          <cell r="P58" t="str">
            <v>-</v>
          </cell>
          <cell r="Q58">
            <v>0</v>
          </cell>
          <cell r="R58">
            <v>17.920000000000002</v>
          </cell>
          <cell r="S58" t="str">
            <v>-</v>
          </cell>
          <cell r="T58" t="str">
            <v>-</v>
          </cell>
          <cell r="U58" t="str">
            <v>-</v>
          </cell>
          <cell r="V58">
            <v>0</v>
          </cell>
          <cell r="W58">
            <v>17.920000000000002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0</v>
          </cell>
          <cell r="AB58">
            <v>17.920000000000002</v>
          </cell>
          <cell r="AC58" t="str">
            <v>-</v>
          </cell>
          <cell r="AD58" t="str">
            <v>-</v>
          </cell>
          <cell r="AE58" t="str">
            <v>-</v>
          </cell>
          <cell r="AF58">
            <v>0</v>
          </cell>
          <cell r="AG58">
            <v>17.920000000000002</v>
          </cell>
          <cell r="AH58" t="str">
            <v>--</v>
          </cell>
        </row>
        <row r="59">
          <cell r="B59" t="str">
            <v>10.5 C</v>
          </cell>
          <cell r="C59">
            <v>22.150000000000002</v>
          </cell>
          <cell r="D59" t="str">
            <v>-</v>
          </cell>
          <cell r="E59" t="str">
            <v>-</v>
          </cell>
          <cell r="F59" t="str">
            <v>-</v>
          </cell>
          <cell r="G59">
            <v>0</v>
          </cell>
          <cell r="H59">
            <v>22.150000000000002</v>
          </cell>
          <cell r="I59" t="str">
            <v>-</v>
          </cell>
          <cell r="J59" t="str">
            <v>-</v>
          </cell>
          <cell r="K59" t="str">
            <v>-</v>
          </cell>
          <cell r="L59">
            <v>0</v>
          </cell>
          <cell r="M59">
            <v>22.150000000000002</v>
          </cell>
          <cell r="N59" t="str">
            <v>-</v>
          </cell>
          <cell r="O59" t="str">
            <v>-</v>
          </cell>
          <cell r="P59" t="str">
            <v>-</v>
          </cell>
          <cell r="Q59">
            <v>0</v>
          </cell>
          <cell r="R59">
            <v>22.150000000000002</v>
          </cell>
          <cell r="S59" t="str">
            <v>-</v>
          </cell>
          <cell r="T59" t="str">
            <v>-</v>
          </cell>
          <cell r="U59" t="str">
            <v>-</v>
          </cell>
          <cell r="V59">
            <v>0</v>
          </cell>
          <cell r="W59">
            <v>22.150000000000002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>
            <v>22.150000000000002</v>
          </cell>
          <cell r="AC59" t="str">
            <v>-</v>
          </cell>
          <cell r="AD59" t="str">
            <v>-</v>
          </cell>
          <cell r="AE59" t="str">
            <v>-</v>
          </cell>
          <cell r="AF59">
            <v>0</v>
          </cell>
          <cell r="AG59">
            <v>22.150000000000002</v>
          </cell>
          <cell r="AH59" t="str">
            <v>--</v>
          </cell>
        </row>
        <row r="60">
          <cell r="B60" t="str">
            <v>11.0 C</v>
          </cell>
          <cell r="C60">
            <v>26.380000000000003</v>
          </cell>
          <cell r="D60" t="str">
            <v>-</v>
          </cell>
          <cell r="E60" t="str">
            <v>-</v>
          </cell>
          <cell r="F60" t="str">
            <v>-</v>
          </cell>
          <cell r="G60">
            <v>0</v>
          </cell>
          <cell r="H60">
            <v>26.380000000000003</v>
          </cell>
          <cell r="I60" t="str">
            <v>-</v>
          </cell>
          <cell r="J60" t="str">
            <v>-</v>
          </cell>
          <cell r="K60" t="str">
            <v>-</v>
          </cell>
          <cell r="L60">
            <v>0</v>
          </cell>
          <cell r="M60">
            <v>26.380000000000003</v>
          </cell>
          <cell r="N60" t="str">
            <v>-</v>
          </cell>
          <cell r="O60" t="str">
            <v>-</v>
          </cell>
          <cell r="P60" t="str">
            <v>-</v>
          </cell>
          <cell r="Q60">
            <v>0</v>
          </cell>
          <cell r="R60">
            <v>26.380000000000003</v>
          </cell>
          <cell r="S60" t="str">
            <v>-</v>
          </cell>
          <cell r="T60" t="str">
            <v>-</v>
          </cell>
          <cell r="U60" t="str">
            <v>-</v>
          </cell>
          <cell r="V60">
            <v>0</v>
          </cell>
          <cell r="W60">
            <v>26.380000000000003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0</v>
          </cell>
          <cell r="AB60">
            <v>26.380000000000003</v>
          </cell>
          <cell r="AC60" t="str">
            <v>-</v>
          </cell>
          <cell r="AD60" t="str">
            <v>-</v>
          </cell>
          <cell r="AE60" t="str">
            <v>-</v>
          </cell>
          <cell r="AF60">
            <v>0</v>
          </cell>
          <cell r="AG60">
            <v>26.380000000000003</v>
          </cell>
          <cell r="AH60" t="str">
            <v>--</v>
          </cell>
        </row>
        <row r="61">
          <cell r="B61" t="str">
            <v>11.5 C</v>
          </cell>
          <cell r="C61">
            <v>30.610000000000003</v>
          </cell>
          <cell r="D61" t="str">
            <v>-</v>
          </cell>
          <cell r="E61" t="str">
            <v>-</v>
          </cell>
          <cell r="F61" t="str">
            <v>-</v>
          </cell>
          <cell r="G61">
            <v>0</v>
          </cell>
          <cell r="H61">
            <v>30.610000000000003</v>
          </cell>
          <cell r="I61" t="str">
            <v>-</v>
          </cell>
          <cell r="J61" t="str">
            <v>-</v>
          </cell>
          <cell r="K61" t="str">
            <v>-</v>
          </cell>
          <cell r="L61">
            <v>0</v>
          </cell>
          <cell r="M61">
            <v>30.610000000000003</v>
          </cell>
          <cell r="N61" t="str">
            <v>-</v>
          </cell>
          <cell r="O61" t="str">
            <v>-</v>
          </cell>
          <cell r="P61" t="str">
            <v>-</v>
          </cell>
          <cell r="Q61">
            <v>0</v>
          </cell>
          <cell r="R61">
            <v>30.610000000000003</v>
          </cell>
          <cell r="S61" t="str">
            <v>-</v>
          </cell>
          <cell r="T61" t="str">
            <v>-</v>
          </cell>
          <cell r="U61" t="str">
            <v>-</v>
          </cell>
          <cell r="V61">
            <v>0</v>
          </cell>
          <cell r="W61">
            <v>30.610000000000003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>
            <v>30.610000000000003</v>
          </cell>
          <cell r="AC61" t="str">
            <v>-</v>
          </cell>
          <cell r="AD61" t="str">
            <v>-</v>
          </cell>
          <cell r="AE61" t="str">
            <v>-</v>
          </cell>
          <cell r="AF61">
            <v>0</v>
          </cell>
          <cell r="AG61">
            <v>30.610000000000003</v>
          </cell>
          <cell r="AH61" t="str">
            <v>--</v>
          </cell>
        </row>
        <row r="62">
          <cell r="B62" t="str">
            <v>12.0 C</v>
          </cell>
          <cell r="C62">
            <v>34.840000000000003</v>
          </cell>
          <cell r="D62" t="str">
            <v>-</v>
          </cell>
          <cell r="E62" t="str">
            <v>-</v>
          </cell>
          <cell r="F62" t="str">
            <v>-</v>
          </cell>
          <cell r="G62">
            <v>0</v>
          </cell>
          <cell r="H62">
            <v>34.840000000000003</v>
          </cell>
          <cell r="I62" t="str">
            <v>-</v>
          </cell>
          <cell r="J62" t="str">
            <v>-</v>
          </cell>
          <cell r="K62" t="str">
            <v>-</v>
          </cell>
          <cell r="L62">
            <v>0</v>
          </cell>
          <cell r="M62">
            <v>34.840000000000003</v>
          </cell>
          <cell r="N62" t="str">
            <v>-</v>
          </cell>
          <cell r="O62" t="str">
            <v>-</v>
          </cell>
          <cell r="P62" t="str">
            <v>-</v>
          </cell>
          <cell r="Q62">
            <v>0</v>
          </cell>
          <cell r="R62">
            <v>34.840000000000003</v>
          </cell>
          <cell r="S62" t="str">
            <v>-</v>
          </cell>
          <cell r="T62" t="str">
            <v>-</v>
          </cell>
          <cell r="U62" t="str">
            <v>-</v>
          </cell>
          <cell r="V62">
            <v>0</v>
          </cell>
          <cell r="W62">
            <v>34.840000000000003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>
            <v>34.840000000000003</v>
          </cell>
          <cell r="AC62" t="str">
            <v>-</v>
          </cell>
          <cell r="AD62" t="str">
            <v>-</v>
          </cell>
          <cell r="AE62" t="str">
            <v>-</v>
          </cell>
          <cell r="AF62">
            <v>0</v>
          </cell>
          <cell r="AG62">
            <v>34.840000000000003</v>
          </cell>
          <cell r="AH62" t="str">
            <v>--</v>
          </cell>
        </row>
        <row r="63">
          <cell r="B63" t="str">
            <v>12.5 C</v>
          </cell>
          <cell r="C63">
            <v>39.070000000000007</v>
          </cell>
          <cell r="D63" t="str">
            <v>-</v>
          </cell>
          <cell r="E63" t="str">
            <v>-</v>
          </cell>
          <cell r="F63" t="str">
            <v>-</v>
          </cell>
          <cell r="G63">
            <v>0</v>
          </cell>
          <cell r="H63">
            <v>39.070000000000007</v>
          </cell>
          <cell r="I63" t="str">
            <v>-</v>
          </cell>
          <cell r="J63" t="str">
            <v>-</v>
          </cell>
          <cell r="K63" t="str">
            <v>-</v>
          </cell>
          <cell r="L63">
            <v>0</v>
          </cell>
          <cell r="M63">
            <v>39.070000000000007</v>
          </cell>
          <cell r="N63" t="str">
            <v>-</v>
          </cell>
          <cell r="O63" t="str">
            <v>-</v>
          </cell>
          <cell r="P63" t="str">
            <v>-</v>
          </cell>
          <cell r="Q63">
            <v>0</v>
          </cell>
          <cell r="R63">
            <v>39.070000000000007</v>
          </cell>
          <cell r="S63" t="str">
            <v>-</v>
          </cell>
          <cell r="T63" t="str">
            <v>-</v>
          </cell>
          <cell r="U63" t="str">
            <v>-</v>
          </cell>
          <cell r="V63">
            <v>0</v>
          </cell>
          <cell r="W63">
            <v>39.070000000000007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0</v>
          </cell>
          <cell r="AB63">
            <v>39.070000000000007</v>
          </cell>
          <cell r="AC63" t="str">
            <v>-</v>
          </cell>
          <cell r="AD63" t="str">
            <v>-</v>
          </cell>
          <cell r="AE63" t="str">
            <v>-</v>
          </cell>
          <cell r="AF63">
            <v>0</v>
          </cell>
          <cell r="AG63">
            <v>39.070000000000007</v>
          </cell>
          <cell r="AH63" t="str">
            <v>--</v>
          </cell>
        </row>
        <row r="64">
          <cell r="B64" t="str">
            <v>13.0 C</v>
          </cell>
          <cell r="C64">
            <v>43.300000000000004</v>
          </cell>
          <cell r="D64" t="str">
            <v>-</v>
          </cell>
          <cell r="E64" t="str">
            <v>-</v>
          </cell>
          <cell r="F64" t="str">
            <v>-</v>
          </cell>
          <cell r="G64">
            <v>0</v>
          </cell>
          <cell r="H64">
            <v>43.300000000000004</v>
          </cell>
          <cell r="I64" t="str">
            <v>-</v>
          </cell>
          <cell r="J64" t="str">
            <v>-</v>
          </cell>
          <cell r="K64" t="str">
            <v>-</v>
          </cell>
          <cell r="L64">
            <v>0</v>
          </cell>
          <cell r="M64">
            <v>43.300000000000004</v>
          </cell>
          <cell r="N64" t="str">
            <v>-</v>
          </cell>
          <cell r="O64" t="str">
            <v>-</v>
          </cell>
          <cell r="P64" t="str">
            <v>-</v>
          </cell>
          <cell r="Q64">
            <v>0</v>
          </cell>
          <cell r="R64">
            <v>43.300000000000004</v>
          </cell>
          <cell r="S64" t="str">
            <v>-</v>
          </cell>
          <cell r="T64" t="str">
            <v>-</v>
          </cell>
          <cell r="U64" t="str">
            <v>-</v>
          </cell>
          <cell r="V64">
            <v>0</v>
          </cell>
          <cell r="W64">
            <v>43.300000000000004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0</v>
          </cell>
          <cell r="AB64">
            <v>43.300000000000004</v>
          </cell>
          <cell r="AC64" t="str">
            <v>-</v>
          </cell>
          <cell r="AD64" t="str">
            <v>-</v>
          </cell>
          <cell r="AE64" t="str">
            <v>-</v>
          </cell>
          <cell r="AF64">
            <v>0</v>
          </cell>
          <cell r="AG64">
            <v>43.300000000000004</v>
          </cell>
          <cell r="AH64" t="str">
            <v>--</v>
          </cell>
        </row>
        <row r="65">
          <cell r="B65" t="str">
            <v>13.5 C</v>
          </cell>
          <cell r="C65">
            <v>47.53</v>
          </cell>
          <cell r="D65" t="str">
            <v>-</v>
          </cell>
          <cell r="E65" t="str">
            <v>-</v>
          </cell>
          <cell r="F65" t="str">
            <v>-</v>
          </cell>
          <cell r="G65">
            <v>0</v>
          </cell>
          <cell r="H65">
            <v>47.53</v>
          </cell>
          <cell r="I65" t="str">
            <v>-</v>
          </cell>
          <cell r="J65" t="str">
            <v>-</v>
          </cell>
          <cell r="K65" t="str">
            <v>-</v>
          </cell>
          <cell r="L65">
            <v>0</v>
          </cell>
          <cell r="M65">
            <v>47.53</v>
          </cell>
          <cell r="N65" t="str">
            <v>-</v>
          </cell>
          <cell r="O65" t="str">
            <v>-</v>
          </cell>
          <cell r="P65" t="str">
            <v>-</v>
          </cell>
          <cell r="Q65">
            <v>0</v>
          </cell>
          <cell r="R65">
            <v>47.53</v>
          </cell>
          <cell r="S65" t="str">
            <v>-</v>
          </cell>
          <cell r="T65" t="str">
            <v>-</v>
          </cell>
          <cell r="U65" t="str">
            <v>-</v>
          </cell>
          <cell r="V65">
            <v>0</v>
          </cell>
          <cell r="W65">
            <v>47.53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0</v>
          </cell>
          <cell r="AB65">
            <v>47.53</v>
          </cell>
          <cell r="AC65" t="str">
            <v>-</v>
          </cell>
          <cell r="AD65" t="str">
            <v>-</v>
          </cell>
          <cell r="AE65" t="str">
            <v>-</v>
          </cell>
          <cell r="AF65">
            <v>0</v>
          </cell>
          <cell r="AG65">
            <v>47.53</v>
          </cell>
          <cell r="AH65" t="str">
            <v>--</v>
          </cell>
        </row>
        <row r="66">
          <cell r="B66" t="str">
            <v>1.0 Y</v>
          </cell>
          <cell r="C66">
            <v>51.760000000000005</v>
          </cell>
          <cell r="D66" t="str">
            <v>-</v>
          </cell>
          <cell r="E66" t="str">
            <v>-</v>
          </cell>
          <cell r="F66" t="str">
            <v>-</v>
          </cell>
          <cell r="G66">
            <v>0</v>
          </cell>
          <cell r="H66">
            <v>51.760000000000005</v>
          </cell>
          <cell r="I66" t="str">
            <v>-</v>
          </cell>
          <cell r="J66" t="str">
            <v>-</v>
          </cell>
          <cell r="K66" t="str">
            <v>-</v>
          </cell>
          <cell r="L66">
            <v>0</v>
          </cell>
          <cell r="M66">
            <v>51.760000000000005</v>
          </cell>
          <cell r="N66" t="str">
            <v>-</v>
          </cell>
          <cell r="O66" t="str">
            <v>-</v>
          </cell>
          <cell r="P66" t="str">
            <v>-</v>
          </cell>
          <cell r="Q66">
            <v>0</v>
          </cell>
          <cell r="R66">
            <v>51.760000000000005</v>
          </cell>
          <cell r="S66" t="str">
            <v>-</v>
          </cell>
          <cell r="T66" t="str">
            <v>-</v>
          </cell>
          <cell r="U66" t="str">
            <v>-</v>
          </cell>
          <cell r="V66">
            <v>0</v>
          </cell>
          <cell r="W66">
            <v>51.760000000000005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0</v>
          </cell>
          <cell r="AB66">
            <v>51.760000000000005</v>
          </cell>
          <cell r="AC66" t="str">
            <v>-</v>
          </cell>
          <cell r="AD66" t="str">
            <v>-</v>
          </cell>
          <cell r="AE66" t="str">
            <v>-</v>
          </cell>
          <cell r="AF66">
            <v>0</v>
          </cell>
          <cell r="AG66">
            <v>51.760000000000005</v>
          </cell>
          <cell r="AH66" t="str">
            <v>--</v>
          </cell>
        </row>
        <row r="67">
          <cell r="B67" t="str">
            <v>1.5 Y</v>
          </cell>
          <cell r="C67">
            <v>55.990000000000009</v>
          </cell>
          <cell r="D67" t="str">
            <v>-</v>
          </cell>
          <cell r="E67" t="str">
            <v>-</v>
          </cell>
          <cell r="F67" t="str">
            <v>-</v>
          </cell>
          <cell r="G67">
            <v>0</v>
          </cell>
          <cell r="H67">
            <v>55.990000000000009</v>
          </cell>
          <cell r="I67" t="str">
            <v>-</v>
          </cell>
          <cell r="J67" t="str">
            <v>-</v>
          </cell>
          <cell r="K67" t="str">
            <v>-</v>
          </cell>
          <cell r="L67">
            <v>0</v>
          </cell>
          <cell r="M67">
            <v>55.990000000000009</v>
          </cell>
          <cell r="N67" t="str">
            <v>-</v>
          </cell>
          <cell r="O67" t="str">
            <v>-</v>
          </cell>
          <cell r="P67" t="str">
            <v>-</v>
          </cell>
          <cell r="Q67">
            <v>0</v>
          </cell>
          <cell r="R67">
            <v>55.990000000000009</v>
          </cell>
          <cell r="S67" t="str">
            <v>-</v>
          </cell>
          <cell r="T67" t="str">
            <v>-</v>
          </cell>
          <cell r="U67" t="str">
            <v>-</v>
          </cell>
          <cell r="V67">
            <v>0</v>
          </cell>
          <cell r="W67">
            <v>55.990000000000009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>
            <v>55.990000000000009</v>
          </cell>
          <cell r="AC67" t="str">
            <v>-</v>
          </cell>
          <cell r="AD67" t="str">
            <v>-</v>
          </cell>
          <cell r="AE67" t="str">
            <v>-</v>
          </cell>
          <cell r="AF67">
            <v>0</v>
          </cell>
          <cell r="AG67">
            <v>55.990000000000009</v>
          </cell>
          <cell r="AH67" t="str">
            <v>--</v>
          </cell>
        </row>
        <row r="68">
          <cell r="B68" t="str">
            <v>2.0 Y</v>
          </cell>
          <cell r="C68">
            <v>60.220000000000006</v>
          </cell>
          <cell r="D68" t="str">
            <v>-</v>
          </cell>
          <cell r="E68" t="str">
            <v>-</v>
          </cell>
          <cell r="F68" t="str">
            <v>-</v>
          </cell>
          <cell r="G68">
            <v>0</v>
          </cell>
          <cell r="H68">
            <v>60.220000000000006</v>
          </cell>
          <cell r="I68" t="str">
            <v>-</v>
          </cell>
          <cell r="J68" t="str">
            <v>-</v>
          </cell>
          <cell r="K68" t="str">
            <v>-</v>
          </cell>
          <cell r="L68">
            <v>0</v>
          </cell>
          <cell r="M68">
            <v>60.220000000000006</v>
          </cell>
          <cell r="N68" t="str">
            <v>-</v>
          </cell>
          <cell r="O68" t="str">
            <v>-</v>
          </cell>
          <cell r="P68" t="str">
            <v>-</v>
          </cell>
          <cell r="Q68">
            <v>0</v>
          </cell>
          <cell r="R68">
            <v>60.220000000000006</v>
          </cell>
          <cell r="S68" t="str">
            <v>-</v>
          </cell>
          <cell r="T68" t="str">
            <v>-</v>
          </cell>
          <cell r="U68" t="str">
            <v>-</v>
          </cell>
          <cell r="V68">
            <v>0</v>
          </cell>
          <cell r="W68">
            <v>60.220000000000006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>
            <v>60.220000000000006</v>
          </cell>
          <cell r="AC68" t="str">
            <v>-</v>
          </cell>
          <cell r="AD68" t="str">
            <v>-</v>
          </cell>
          <cell r="AE68" t="str">
            <v>-</v>
          </cell>
          <cell r="AF68">
            <v>0</v>
          </cell>
          <cell r="AG68">
            <v>60.220000000000006</v>
          </cell>
          <cell r="AH68" t="str">
            <v>--</v>
          </cell>
        </row>
        <row r="69">
          <cell r="B69" t="str">
            <v>2.5 Y</v>
          </cell>
          <cell r="C69">
            <v>64.45</v>
          </cell>
          <cell r="D69" t="str">
            <v>-</v>
          </cell>
          <cell r="E69" t="str">
            <v>-</v>
          </cell>
          <cell r="F69" t="str">
            <v>-</v>
          </cell>
          <cell r="G69">
            <v>0</v>
          </cell>
          <cell r="H69">
            <v>64.45</v>
          </cell>
          <cell r="I69" t="str">
            <v>-</v>
          </cell>
          <cell r="J69" t="str">
            <v>-</v>
          </cell>
          <cell r="K69" t="str">
            <v>-</v>
          </cell>
          <cell r="L69">
            <v>0</v>
          </cell>
          <cell r="M69">
            <v>64.45</v>
          </cell>
          <cell r="N69" t="str">
            <v>-</v>
          </cell>
          <cell r="O69" t="str">
            <v>-</v>
          </cell>
          <cell r="P69" t="str">
            <v>-</v>
          </cell>
          <cell r="Q69">
            <v>0</v>
          </cell>
          <cell r="R69">
            <v>64.45</v>
          </cell>
          <cell r="S69" t="str">
            <v>-</v>
          </cell>
          <cell r="T69" t="str">
            <v>-</v>
          </cell>
          <cell r="U69" t="str">
            <v>-</v>
          </cell>
          <cell r="V69">
            <v>0</v>
          </cell>
          <cell r="W69">
            <v>64.45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0</v>
          </cell>
          <cell r="AB69">
            <v>64.45</v>
          </cell>
          <cell r="AC69" t="str">
            <v>-</v>
          </cell>
          <cell r="AD69" t="str">
            <v>-</v>
          </cell>
          <cell r="AE69" t="str">
            <v>-</v>
          </cell>
          <cell r="AF69">
            <v>0</v>
          </cell>
          <cell r="AG69">
            <v>64.45</v>
          </cell>
          <cell r="AH69" t="str">
            <v>--</v>
          </cell>
        </row>
        <row r="70">
          <cell r="B70" t="str">
            <v>3.0 Y</v>
          </cell>
          <cell r="C70">
            <v>68.680000000000007</v>
          </cell>
          <cell r="D70" t="str">
            <v>-</v>
          </cell>
          <cell r="E70" t="str">
            <v>-</v>
          </cell>
          <cell r="F70" t="str">
            <v>-</v>
          </cell>
          <cell r="G70">
            <v>0</v>
          </cell>
          <cell r="H70">
            <v>68.680000000000007</v>
          </cell>
          <cell r="I70" t="str">
            <v>-</v>
          </cell>
          <cell r="J70" t="str">
            <v>-</v>
          </cell>
          <cell r="K70" t="str">
            <v>-</v>
          </cell>
          <cell r="L70">
            <v>0</v>
          </cell>
          <cell r="M70">
            <v>68.680000000000007</v>
          </cell>
          <cell r="N70" t="str">
            <v>-</v>
          </cell>
          <cell r="O70" t="str">
            <v>-</v>
          </cell>
          <cell r="P70" t="str">
            <v>-</v>
          </cell>
          <cell r="Q70">
            <v>0</v>
          </cell>
          <cell r="R70">
            <v>68.680000000000007</v>
          </cell>
          <cell r="S70" t="str">
            <v>-</v>
          </cell>
          <cell r="T70" t="str">
            <v>-</v>
          </cell>
          <cell r="U70" t="str">
            <v>-</v>
          </cell>
          <cell r="V70">
            <v>0</v>
          </cell>
          <cell r="W70">
            <v>68.680000000000007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0</v>
          </cell>
          <cell r="AB70">
            <v>68.680000000000007</v>
          </cell>
          <cell r="AC70" t="str">
            <v>-</v>
          </cell>
          <cell r="AD70" t="str">
            <v>-</v>
          </cell>
          <cell r="AE70" t="str">
            <v>-</v>
          </cell>
          <cell r="AF70">
            <v>0</v>
          </cell>
          <cell r="AG70">
            <v>68.680000000000007</v>
          </cell>
          <cell r="AH70" t="str">
            <v>--</v>
          </cell>
        </row>
        <row r="71">
          <cell r="B71" t="str">
            <v>3.5 Y</v>
          </cell>
          <cell r="C71">
            <v>72.910000000000011</v>
          </cell>
          <cell r="D71" t="str">
            <v>-</v>
          </cell>
          <cell r="E71" t="str">
            <v>-</v>
          </cell>
          <cell r="F71" t="str">
            <v>-</v>
          </cell>
          <cell r="G71">
            <v>0</v>
          </cell>
          <cell r="H71">
            <v>72.910000000000011</v>
          </cell>
          <cell r="I71" t="str">
            <v>-</v>
          </cell>
          <cell r="J71" t="str">
            <v>-</v>
          </cell>
          <cell r="K71" t="str">
            <v>-</v>
          </cell>
          <cell r="L71">
            <v>0</v>
          </cell>
          <cell r="M71">
            <v>72.910000000000011</v>
          </cell>
          <cell r="N71" t="str">
            <v>-</v>
          </cell>
          <cell r="O71" t="str">
            <v>-</v>
          </cell>
          <cell r="P71" t="str">
            <v>-</v>
          </cell>
          <cell r="Q71">
            <v>0</v>
          </cell>
          <cell r="R71">
            <v>72.910000000000011</v>
          </cell>
          <cell r="S71" t="str">
            <v>-</v>
          </cell>
          <cell r="T71" t="str">
            <v>-</v>
          </cell>
          <cell r="U71" t="str">
            <v>-</v>
          </cell>
          <cell r="V71">
            <v>0</v>
          </cell>
          <cell r="W71">
            <v>72.910000000000011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0</v>
          </cell>
          <cell r="AB71">
            <v>72.910000000000011</v>
          </cell>
          <cell r="AC71" t="str">
            <v>-</v>
          </cell>
          <cell r="AD71" t="str">
            <v>-</v>
          </cell>
          <cell r="AE71" t="str">
            <v>-</v>
          </cell>
          <cell r="AF71">
            <v>0</v>
          </cell>
          <cell r="AG71">
            <v>72.910000000000011</v>
          </cell>
          <cell r="AH71" t="str">
            <v>--</v>
          </cell>
        </row>
        <row r="72">
          <cell r="B72" t="str">
            <v>4.0 Y</v>
          </cell>
          <cell r="C72">
            <v>77.140000000000015</v>
          </cell>
          <cell r="D72" t="str">
            <v>-</v>
          </cell>
          <cell r="E72" t="str">
            <v>-</v>
          </cell>
          <cell r="F72" t="str">
            <v>-</v>
          </cell>
          <cell r="G72">
            <v>0</v>
          </cell>
          <cell r="H72">
            <v>77.140000000000015</v>
          </cell>
          <cell r="I72" t="str">
            <v>-</v>
          </cell>
          <cell r="J72" t="str">
            <v>-</v>
          </cell>
          <cell r="K72" t="str">
            <v>-</v>
          </cell>
          <cell r="L72">
            <v>0</v>
          </cell>
          <cell r="M72">
            <v>77.140000000000015</v>
          </cell>
          <cell r="N72" t="str">
            <v>-</v>
          </cell>
          <cell r="O72" t="str">
            <v>-</v>
          </cell>
          <cell r="P72" t="str">
            <v>-</v>
          </cell>
          <cell r="Q72">
            <v>0</v>
          </cell>
          <cell r="R72">
            <v>77.140000000000015</v>
          </cell>
          <cell r="S72" t="str">
            <v>-</v>
          </cell>
          <cell r="T72" t="str">
            <v>-</v>
          </cell>
          <cell r="U72" t="str">
            <v>-</v>
          </cell>
          <cell r="V72">
            <v>0</v>
          </cell>
          <cell r="W72">
            <v>77.140000000000015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0</v>
          </cell>
          <cell r="AB72">
            <v>77.140000000000015</v>
          </cell>
          <cell r="AC72" t="str">
            <v>-</v>
          </cell>
          <cell r="AD72" t="str">
            <v>-</v>
          </cell>
          <cell r="AE72" t="str">
            <v>-</v>
          </cell>
          <cell r="AF72">
            <v>0</v>
          </cell>
          <cell r="AG72">
            <v>77.140000000000015</v>
          </cell>
          <cell r="AH72" t="str">
            <v>--</v>
          </cell>
        </row>
        <row r="73">
          <cell r="B73" t="str">
            <v>4.5 Y</v>
          </cell>
          <cell r="C73">
            <v>81.37</v>
          </cell>
          <cell r="D73" t="str">
            <v>-</v>
          </cell>
          <cell r="E73" t="str">
            <v>-</v>
          </cell>
          <cell r="F73" t="str">
            <v>-</v>
          </cell>
          <cell r="G73">
            <v>0</v>
          </cell>
          <cell r="H73">
            <v>81.37</v>
          </cell>
          <cell r="I73" t="str">
            <v>-</v>
          </cell>
          <cell r="J73" t="str">
            <v>-</v>
          </cell>
          <cell r="K73" t="str">
            <v>-</v>
          </cell>
          <cell r="L73">
            <v>0</v>
          </cell>
          <cell r="M73">
            <v>81.37</v>
          </cell>
          <cell r="N73" t="str">
            <v>-</v>
          </cell>
          <cell r="O73" t="str">
            <v>-</v>
          </cell>
          <cell r="P73" t="str">
            <v>-</v>
          </cell>
          <cell r="Q73">
            <v>0</v>
          </cell>
          <cell r="R73">
            <v>81.37</v>
          </cell>
          <cell r="S73" t="str">
            <v>-</v>
          </cell>
          <cell r="T73" t="str">
            <v>-</v>
          </cell>
          <cell r="U73" t="str">
            <v>-</v>
          </cell>
          <cell r="V73">
            <v>0</v>
          </cell>
          <cell r="W73">
            <v>81.37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0</v>
          </cell>
          <cell r="AB73">
            <v>81.37</v>
          </cell>
          <cell r="AC73" t="str">
            <v>-</v>
          </cell>
          <cell r="AD73" t="str">
            <v>-</v>
          </cell>
          <cell r="AE73" t="str">
            <v>-</v>
          </cell>
          <cell r="AF73">
            <v>0</v>
          </cell>
          <cell r="AG73">
            <v>81.37</v>
          </cell>
          <cell r="AH73" t="str">
            <v>--</v>
          </cell>
        </row>
        <row r="74">
          <cell r="B74" t="str">
            <v>5.0 Y</v>
          </cell>
          <cell r="C74">
            <v>85.600000000000009</v>
          </cell>
          <cell r="D74" t="str">
            <v>-</v>
          </cell>
          <cell r="E74" t="str">
            <v>-</v>
          </cell>
          <cell r="F74" t="str">
            <v>-</v>
          </cell>
          <cell r="G74">
            <v>0</v>
          </cell>
          <cell r="H74">
            <v>85.600000000000009</v>
          </cell>
          <cell r="I74" t="str">
            <v>-</v>
          </cell>
          <cell r="J74" t="str">
            <v>-</v>
          </cell>
          <cell r="K74" t="str">
            <v>-</v>
          </cell>
          <cell r="L74">
            <v>0</v>
          </cell>
          <cell r="M74">
            <v>85.600000000000009</v>
          </cell>
          <cell r="N74" t="str">
            <v>-</v>
          </cell>
          <cell r="O74" t="str">
            <v>-</v>
          </cell>
          <cell r="P74" t="str">
            <v>-</v>
          </cell>
          <cell r="Q74">
            <v>0</v>
          </cell>
          <cell r="R74">
            <v>85.600000000000009</v>
          </cell>
          <cell r="S74" t="str">
            <v>-</v>
          </cell>
          <cell r="T74" t="str">
            <v>-</v>
          </cell>
          <cell r="U74" t="str">
            <v>-</v>
          </cell>
          <cell r="V74">
            <v>0</v>
          </cell>
          <cell r="W74">
            <v>85.600000000000009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0</v>
          </cell>
          <cell r="AB74">
            <v>85.600000000000009</v>
          </cell>
          <cell r="AC74" t="str">
            <v>-</v>
          </cell>
          <cell r="AD74" t="str">
            <v>-</v>
          </cell>
          <cell r="AE74" t="str">
            <v>-</v>
          </cell>
          <cell r="AF74">
            <v>0</v>
          </cell>
          <cell r="AG74">
            <v>85.600000000000009</v>
          </cell>
          <cell r="AH74" t="str">
            <v>--</v>
          </cell>
        </row>
        <row r="75">
          <cell r="B75" t="str">
            <v>5.5 Y</v>
          </cell>
          <cell r="C75">
            <v>89.830000000000013</v>
          </cell>
          <cell r="D75" t="str">
            <v>-</v>
          </cell>
          <cell r="E75" t="str">
            <v>-</v>
          </cell>
          <cell r="F75" t="str">
            <v>-</v>
          </cell>
          <cell r="G75">
            <v>0</v>
          </cell>
          <cell r="H75">
            <v>89.830000000000013</v>
          </cell>
          <cell r="I75" t="str">
            <v>-</v>
          </cell>
          <cell r="J75" t="str">
            <v>-</v>
          </cell>
          <cell r="K75" t="str">
            <v>-</v>
          </cell>
          <cell r="L75">
            <v>0</v>
          </cell>
          <cell r="M75">
            <v>89.830000000000013</v>
          </cell>
          <cell r="N75" t="str">
            <v>-</v>
          </cell>
          <cell r="O75" t="str">
            <v>-</v>
          </cell>
          <cell r="P75" t="str">
            <v>-</v>
          </cell>
          <cell r="Q75">
            <v>0</v>
          </cell>
          <cell r="R75">
            <v>89.830000000000013</v>
          </cell>
          <cell r="S75" t="str">
            <v>-</v>
          </cell>
          <cell r="T75" t="str">
            <v>-</v>
          </cell>
          <cell r="U75" t="str">
            <v>-</v>
          </cell>
          <cell r="V75">
            <v>0</v>
          </cell>
          <cell r="W75">
            <v>89.830000000000013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>
            <v>89.830000000000013</v>
          </cell>
          <cell r="AC75" t="str">
            <v>-</v>
          </cell>
          <cell r="AD75" t="str">
            <v>-</v>
          </cell>
          <cell r="AE75" t="str">
            <v>-</v>
          </cell>
          <cell r="AF75">
            <v>0</v>
          </cell>
          <cell r="AG75">
            <v>89.830000000000013</v>
          </cell>
          <cell r="AH75" t="str">
            <v>--</v>
          </cell>
        </row>
        <row r="76">
          <cell r="B76" t="str">
            <v>6.0 Y</v>
          </cell>
          <cell r="C76">
            <v>94.06</v>
          </cell>
          <cell r="D76" t="str">
            <v>-</v>
          </cell>
          <cell r="E76" t="str">
            <v>-</v>
          </cell>
          <cell r="F76" t="str">
            <v>-</v>
          </cell>
          <cell r="G76">
            <v>0</v>
          </cell>
          <cell r="H76">
            <v>94.06</v>
          </cell>
          <cell r="I76" t="str">
            <v>-</v>
          </cell>
          <cell r="J76" t="str">
            <v>-</v>
          </cell>
          <cell r="K76" t="str">
            <v>-</v>
          </cell>
          <cell r="L76">
            <v>0</v>
          </cell>
          <cell r="M76">
            <v>94.06</v>
          </cell>
          <cell r="N76" t="str">
            <v>-</v>
          </cell>
          <cell r="O76" t="str">
            <v>-</v>
          </cell>
          <cell r="P76" t="str">
            <v>-</v>
          </cell>
          <cell r="Q76">
            <v>0</v>
          </cell>
          <cell r="R76">
            <v>94.06</v>
          </cell>
          <cell r="S76" t="str">
            <v>-</v>
          </cell>
          <cell r="T76" t="str">
            <v>-</v>
          </cell>
          <cell r="U76" t="str">
            <v>-</v>
          </cell>
          <cell r="V76">
            <v>0</v>
          </cell>
          <cell r="W76">
            <v>94.06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0</v>
          </cell>
          <cell r="AB76">
            <v>94.06</v>
          </cell>
          <cell r="AC76" t="str">
            <v>-</v>
          </cell>
          <cell r="AD76" t="str">
            <v>-</v>
          </cell>
          <cell r="AE76" t="str">
            <v>-</v>
          </cell>
          <cell r="AF76">
            <v>0</v>
          </cell>
          <cell r="AG76">
            <v>94.06</v>
          </cell>
          <cell r="AH76" t="str">
            <v>--</v>
          </cell>
        </row>
      </sheetData>
      <sheetData sheetId="2">
        <row r="6">
          <cell r="B6" t="str">
            <v>5.0 C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6">
          <cell r="B6" t="e">
            <v>#REF!</v>
          </cell>
        </row>
      </sheetData>
      <sheetData sheetId="11">
        <row r="6">
          <cell r="B6" t="e">
            <v>#REF!</v>
          </cell>
        </row>
      </sheetData>
      <sheetData sheetId="12">
        <row r="6">
          <cell r="B6" t="e">
            <v>#REF!</v>
          </cell>
        </row>
      </sheetData>
      <sheetData sheetId="13">
        <row r="6">
          <cell r="B6" t="e">
            <v>#REF!</v>
          </cell>
        </row>
      </sheetData>
      <sheetData sheetId="14">
        <row r="6">
          <cell r="B6" t="e">
            <v>#REF!</v>
          </cell>
        </row>
      </sheetData>
      <sheetData sheetId="15">
        <row r="6">
          <cell r="B6" t="e">
            <v>#REF!</v>
          </cell>
        </row>
      </sheetData>
      <sheetData sheetId="16">
        <row r="6">
          <cell r="B6" t="e">
            <v>#REF!</v>
          </cell>
        </row>
      </sheetData>
      <sheetData sheetId="17">
        <row r="6">
          <cell r="B6" t="e">
            <v>#REF!</v>
          </cell>
        </row>
      </sheetData>
      <sheetData sheetId="18">
        <row r="6">
          <cell r="B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B6" t="e">
            <v>#REF!</v>
          </cell>
        </row>
      </sheetData>
      <sheetData sheetId="25">
        <row r="6">
          <cell r="B6" t="e">
            <v>#REF!</v>
          </cell>
        </row>
      </sheetData>
      <sheetData sheetId="26">
        <row r="6">
          <cell r="B6" t="e">
            <v>#REF!</v>
          </cell>
        </row>
      </sheetData>
      <sheetData sheetId="27">
        <row r="6">
          <cell r="B6" t="e">
            <v>#REF!</v>
          </cell>
        </row>
      </sheetData>
      <sheetData sheetId="28">
        <row r="6">
          <cell r="B6" t="e">
            <v>#REF!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B6" t="e">
            <v>#REF!</v>
          </cell>
        </row>
      </sheetData>
      <sheetData sheetId="36">
        <row r="6">
          <cell r="B6" t="e">
            <v>#REF!</v>
          </cell>
        </row>
      </sheetData>
      <sheetData sheetId="37">
        <row r="6">
          <cell r="B6" t="e">
            <v>#REF!</v>
          </cell>
        </row>
      </sheetData>
      <sheetData sheetId="38">
        <row r="6">
          <cell r="B6" t="e">
            <v>#REF!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6">
          <cell r="B6" t="str">
            <v>5.0 C</v>
          </cell>
        </row>
      </sheetData>
      <sheetData sheetId="61">
        <row r="6">
          <cell r="B6" t="str">
            <v>5.0 C</v>
          </cell>
        </row>
      </sheetData>
      <sheetData sheetId="62">
        <row r="6">
          <cell r="B6" t="str">
            <v>5.0 C</v>
          </cell>
        </row>
      </sheetData>
      <sheetData sheetId="63">
        <row r="6">
          <cell r="B6" t="str">
            <v>5.0 C</v>
          </cell>
        </row>
      </sheetData>
      <sheetData sheetId="64">
        <row r="6">
          <cell r="B6" t="str">
            <v>5.0 C</v>
          </cell>
        </row>
      </sheetData>
      <sheetData sheetId="65">
        <row r="6">
          <cell r="B6" t="str">
            <v>5.0 C</v>
          </cell>
        </row>
      </sheetData>
      <sheetData sheetId="66">
        <row r="6">
          <cell r="B6" t="str">
            <v>5.0 C</v>
          </cell>
        </row>
      </sheetData>
      <sheetData sheetId="67">
        <row r="6">
          <cell r="B6" t="str">
            <v>5.0 C</v>
          </cell>
        </row>
      </sheetData>
      <sheetData sheetId="68">
        <row r="6">
          <cell r="B6" t="str">
            <v>5.0 C</v>
          </cell>
        </row>
      </sheetData>
      <sheetData sheetId="69">
        <row r="6">
          <cell r="B6" t="str">
            <v>5.0 C</v>
          </cell>
        </row>
      </sheetData>
      <sheetData sheetId="70">
        <row r="6">
          <cell r="B6" t="str">
            <v>5.0 C</v>
          </cell>
        </row>
      </sheetData>
      <sheetData sheetId="71">
        <row r="6">
          <cell r="B6" t="str">
            <v>5.0 C</v>
          </cell>
        </row>
      </sheetData>
      <sheetData sheetId="72">
        <row r="6">
          <cell r="B6" t="str">
            <v>5.0 C</v>
          </cell>
        </row>
      </sheetData>
      <sheetData sheetId="73">
        <row r="6">
          <cell r="B6" t="str">
            <v>5.0 C</v>
          </cell>
        </row>
      </sheetData>
      <sheetData sheetId="74">
        <row r="6">
          <cell r="B6" t="str">
            <v>5.0 C</v>
          </cell>
        </row>
      </sheetData>
      <sheetData sheetId="75">
        <row r="6">
          <cell r="B6" t="str">
            <v>5.0 C</v>
          </cell>
        </row>
      </sheetData>
      <sheetData sheetId="76">
        <row r="6">
          <cell r="B6" t="str">
            <v>5.0 C</v>
          </cell>
        </row>
      </sheetData>
      <sheetData sheetId="77">
        <row r="6">
          <cell r="B6" t="str">
            <v>5.0 C</v>
          </cell>
        </row>
      </sheetData>
      <sheetData sheetId="78">
        <row r="6">
          <cell r="B6" t="str">
            <v>5.0 C</v>
          </cell>
        </row>
      </sheetData>
      <sheetData sheetId="79">
        <row r="6">
          <cell r="B6" t="str">
            <v>5.0 C</v>
          </cell>
        </row>
      </sheetData>
      <sheetData sheetId="80">
        <row r="6">
          <cell r="B6" t="str">
            <v>5.0 C</v>
          </cell>
        </row>
      </sheetData>
      <sheetData sheetId="81">
        <row r="6">
          <cell r="B6" t="str">
            <v>5.0 C</v>
          </cell>
        </row>
      </sheetData>
      <sheetData sheetId="82">
        <row r="6">
          <cell r="B6" t="str">
            <v>5.0 C</v>
          </cell>
        </row>
      </sheetData>
      <sheetData sheetId="83">
        <row r="6">
          <cell r="B6" t="str">
            <v>5.0 C</v>
          </cell>
        </row>
      </sheetData>
      <sheetData sheetId="84">
        <row r="6">
          <cell r="B6" t="str">
            <v>5.0 C</v>
          </cell>
        </row>
      </sheetData>
      <sheetData sheetId="85" refreshError="1"/>
      <sheetData sheetId="86">
        <row r="6">
          <cell r="B6" t="e">
            <v>#REF!</v>
          </cell>
        </row>
      </sheetData>
      <sheetData sheetId="87">
        <row r="6">
          <cell r="B6" t="e">
            <v>#REF!</v>
          </cell>
        </row>
      </sheetData>
      <sheetData sheetId="88">
        <row r="6">
          <cell r="B6" t="e">
            <v>#REF!</v>
          </cell>
        </row>
      </sheetData>
      <sheetData sheetId="89">
        <row r="6">
          <cell r="B6" t="e">
            <v>#REF!</v>
          </cell>
        </row>
      </sheetData>
      <sheetData sheetId="90">
        <row r="6">
          <cell r="B6" t="e">
            <v>#REF!</v>
          </cell>
        </row>
      </sheetData>
      <sheetData sheetId="91">
        <row r="6">
          <cell r="B6" t="str">
            <v>5.0 C</v>
          </cell>
        </row>
      </sheetData>
      <sheetData sheetId="92">
        <row r="6">
          <cell r="B6" t="e">
            <v>#REF!</v>
          </cell>
        </row>
      </sheetData>
      <sheetData sheetId="93">
        <row r="6">
          <cell r="B6" t="e">
            <v>#REF!</v>
          </cell>
        </row>
      </sheetData>
      <sheetData sheetId="94">
        <row r="6">
          <cell r="B6" t="str">
            <v>5.0 C</v>
          </cell>
        </row>
      </sheetData>
      <sheetData sheetId="95">
        <row r="6">
          <cell r="B6" t="e">
            <v>#REF!</v>
          </cell>
        </row>
      </sheetData>
      <sheetData sheetId="96">
        <row r="6">
          <cell r="B6" t="e">
            <v>#REF!</v>
          </cell>
        </row>
      </sheetData>
      <sheetData sheetId="97">
        <row r="6">
          <cell r="B6" t="str">
            <v>5.0 C</v>
          </cell>
        </row>
      </sheetData>
      <sheetData sheetId="98">
        <row r="6">
          <cell r="B6" t="e">
            <v>#REF!</v>
          </cell>
        </row>
      </sheetData>
      <sheetData sheetId="99">
        <row r="6">
          <cell r="B6" t="e">
            <v>#REF!</v>
          </cell>
        </row>
      </sheetData>
      <sheetData sheetId="100">
        <row r="6">
          <cell r="B6" t="str">
            <v>5.0 C</v>
          </cell>
        </row>
      </sheetData>
      <sheetData sheetId="101">
        <row r="6">
          <cell r="B6" t="e">
            <v>#REF!</v>
          </cell>
        </row>
      </sheetData>
      <sheetData sheetId="102">
        <row r="6">
          <cell r="B6" t="e">
            <v>#REF!</v>
          </cell>
        </row>
      </sheetData>
      <sheetData sheetId="103">
        <row r="6">
          <cell r="B6" t="str">
            <v>5.0 C</v>
          </cell>
        </row>
      </sheetData>
      <sheetData sheetId="104">
        <row r="6">
          <cell r="B6" t="e">
            <v>#REF!</v>
          </cell>
        </row>
      </sheetData>
      <sheetData sheetId="105">
        <row r="6">
          <cell r="B6" t="e">
            <v>#REF!</v>
          </cell>
        </row>
      </sheetData>
      <sheetData sheetId="106">
        <row r="6">
          <cell r="B6" t="str">
            <v>5.0 C</v>
          </cell>
        </row>
      </sheetData>
      <sheetData sheetId="107">
        <row r="6">
          <cell r="B6" t="e">
            <v>#REF!</v>
          </cell>
        </row>
      </sheetData>
      <sheetData sheetId="108">
        <row r="6">
          <cell r="B6" t="e">
            <v>#REF!</v>
          </cell>
        </row>
      </sheetData>
      <sheetData sheetId="109">
        <row r="6">
          <cell r="B6" t="str">
            <v>5.0 C</v>
          </cell>
        </row>
      </sheetData>
      <sheetData sheetId="110">
        <row r="6">
          <cell r="B6" t="e">
            <v>#REF!</v>
          </cell>
        </row>
      </sheetData>
      <sheetData sheetId="111">
        <row r="6">
          <cell r="B6" t="e">
            <v>#REF!</v>
          </cell>
        </row>
      </sheetData>
      <sheetData sheetId="112">
        <row r="6">
          <cell r="B6" t="str">
            <v>5.0 C</v>
          </cell>
        </row>
      </sheetData>
      <sheetData sheetId="113">
        <row r="6">
          <cell r="B6" t="e">
            <v>#REF!</v>
          </cell>
        </row>
      </sheetData>
      <sheetData sheetId="114">
        <row r="6">
          <cell r="B6" t="e">
            <v>#REF!</v>
          </cell>
        </row>
      </sheetData>
      <sheetData sheetId="115">
        <row r="6">
          <cell r="B6" t="str">
            <v>5.0 C</v>
          </cell>
        </row>
      </sheetData>
      <sheetData sheetId="116">
        <row r="6">
          <cell r="B6" t="e">
            <v>#REF!</v>
          </cell>
        </row>
      </sheetData>
      <sheetData sheetId="117">
        <row r="6">
          <cell r="B6" t="e">
            <v>#REF!</v>
          </cell>
        </row>
      </sheetData>
      <sheetData sheetId="118">
        <row r="6">
          <cell r="B6" t="str">
            <v>5.0 C</v>
          </cell>
        </row>
      </sheetData>
      <sheetData sheetId="119">
        <row r="6">
          <cell r="B6" t="e">
            <v>#REF!</v>
          </cell>
        </row>
      </sheetData>
      <sheetData sheetId="120">
        <row r="6">
          <cell r="B6" t="e">
            <v>#REF!</v>
          </cell>
        </row>
      </sheetData>
      <sheetData sheetId="121">
        <row r="6">
          <cell r="B6" t="str">
            <v>5.0 C</v>
          </cell>
        </row>
      </sheetData>
      <sheetData sheetId="122">
        <row r="6">
          <cell r="B6" t="e">
            <v>#REF!</v>
          </cell>
        </row>
      </sheetData>
      <sheetData sheetId="123">
        <row r="6">
          <cell r="B6" t="e">
            <v>#REF!</v>
          </cell>
        </row>
      </sheetData>
      <sheetData sheetId="124">
        <row r="6">
          <cell r="B6" t="str">
            <v>5.0 C</v>
          </cell>
        </row>
      </sheetData>
      <sheetData sheetId="125">
        <row r="6">
          <cell r="B6" t="e">
            <v>#REF!</v>
          </cell>
        </row>
      </sheetData>
      <sheetData sheetId="126">
        <row r="6">
          <cell r="B6" t="e">
            <v>#REF!</v>
          </cell>
        </row>
      </sheetData>
      <sheetData sheetId="127">
        <row r="6">
          <cell r="B6" t="str">
            <v>5.0 C</v>
          </cell>
        </row>
      </sheetData>
      <sheetData sheetId="128">
        <row r="6">
          <cell r="B6" t="e">
            <v>#REF!</v>
          </cell>
        </row>
      </sheetData>
      <sheetData sheetId="129">
        <row r="6">
          <cell r="B6" t="e">
            <v>#REF!</v>
          </cell>
        </row>
      </sheetData>
      <sheetData sheetId="130">
        <row r="6">
          <cell r="B6" t="str">
            <v>5.0 C</v>
          </cell>
        </row>
      </sheetData>
      <sheetData sheetId="131">
        <row r="6">
          <cell r="B6" t="e">
            <v>#REF!</v>
          </cell>
        </row>
      </sheetData>
      <sheetData sheetId="132">
        <row r="6">
          <cell r="B6" t="e">
            <v>#REF!</v>
          </cell>
        </row>
      </sheetData>
      <sheetData sheetId="133">
        <row r="6">
          <cell r="B6" t="str">
            <v>5.0 C</v>
          </cell>
        </row>
      </sheetData>
      <sheetData sheetId="134">
        <row r="6">
          <cell r="B6" t="e">
            <v>#REF!</v>
          </cell>
        </row>
      </sheetData>
      <sheetData sheetId="135">
        <row r="6">
          <cell r="B6" t="e">
            <v>#REF!</v>
          </cell>
        </row>
      </sheetData>
      <sheetData sheetId="136">
        <row r="6">
          <cell r="B6" t="str">
            <v>5.0 C</v>
          </cell>
        </row>
      </sheetData>
      <sheetData sheetId="137">
        <row r="6">
          <cell r="B6" t="e">
            <v>#REF!</v>
          </cell>
        </row>
      </sheetData>
      <sheetData sheetId="138">
        <row r="6">
          <cell r="B6" t="e">
            <v>#REF!</v>
          </cell>
        </row>
      </sheetData>
      <sheetData sheetId="139">
        <row r="6">
          <cell r="B6" t="str">
            <v>5.0 C</v>
          </cell>
        </row>
      </sheetData>
      <sheetData sheetId="140">
        <row r="6">
          <cell r="B6" t="e">
            <v>#REF!</v>
          </cell>
        </row>
      </sheetData>
      <sheetData sheetId="141">
        <row r="6">
          <cell r="B6" t="e">
            <v>#REF!</v>
          </cell>
        </row>
      </sheetData>
      <sheetData sheetId="142">
        <row r="6">
          <cell r="B6" t="str">
            <v>5.0 C</v>
          </cell>
        </row>
      </sheetData>
      <sheetData sheetId="143">
        <row r="6">
          <cell r="B6" t="e">
            <v>#REF!</v>
          </cell>
        </row>
      </sheetData>
      <sheetData sheetId="144">
        <row r="6">
          <cell r="B6" t="e">
            <v>#REF!</v>
          </cell>
        </row>
      </sheetData>
      <sheetData sheetId="145">
        <row r="6">
          <cell r="B6" t="str">
            <v>5.0 C</v>
          </cell>
        </row>
      </sheetData>
      <sheetData sheetId="146">
        <row r="6">
          <cell r="B6" t="e">
            <v>#REF!</v>
          </cell>
        </row>
      </sheetData>
      <sheetData sheetId="147">
        <row r="6">
          <cell r="B6" t="e">
            <v>#REF!</v>
          </cell>
        </row>
      </sheetData>
      <sheetData sheetId="148">
        <row r="6">
          <cell r="B6" t="str">
            <v>5.0 C</v>
          </cell>
        </row>
      </sheetData>
      <sheetData sheetId="149">
        <row r="6">
          <cell r="B6" t="e">
            <v>#REF!</v>
          </cell>
        </row>
      </sheetData>
      <sheetData sheetId="150">
        <row r="6">
          <cell r="B6" t="e">
            <v>#REF!</v>
          </cell>
        </row>
      </sheetData>
      <sheetData sheetId="151">
        <row r="6">
          <cell r="B6" t="str">
            <v>5.0 C</v>
          </cell>
        </row>
      </sheetData>
      <sheetData sheetId="152">
        <row r="6">
          <cell r="B6" t="e">
            <v>#REF!</v>
          </cell>
        </row>
      </sheetData>
      <sheetData sheetId="153">
        <row r="6">
          <cell r="B6" t="e">
            <v>#REF!</v>
          </cell>
        </row>
      </sheetData>
      <sheetData sheetId="154">
        <row r="6">
          <cell r="B6" t="str">
            <v>5.0 C</v>
          </cell>
        </row>
      </sheetData>
      <sheetData sheetId="155">
        <row r="6">
          <cell r="B6" t="e">
            <v>#REF!</v>
          </cell>
        </row>
      </sheetData>
      <sheetData sheetId="156">
        <row r="6">
          <cell r="B6" t="e">
            <v>#REF!</v>
          </cell>
        </row>
      </sheetData>
      <sheetData sheetId="157">
        <row r="6">
          <cell r="B6" t="str">
            <v>5.0 C</v>
          </cell>
        </row>
      </sheetData>
      <sheetData sheetId="158">
        <row r="6">
          <cell r="B6" t="e">
            <v>#REF!</v>
          </cell>
        </row>
      </sheetData>
      <sheetData sheetId="159">
        <row r="6">
          <cell r="B6" t="e">
            <v>#REF!</v>
          </cell>
        </row>
      </sheetData>
      <sheetData sheetId="160">
        <row r="6">
          <cell r="B6" t="str">
            <v>5.0 C</v>
          </cell>
        </row>
      </sheetData>
      <sheetData sheetId="161">
        <row r="6">
          <cell r="B6" t="e">
            <v>#REF!</v>
          </cell>
        </row>
      </sheetData>
      <sheetData sheetId="162">
        <row r="6">
          <cell r="B6" t="e">
            <v>#REF!</v>
          </cell>
        </row>
      </sheetData>
      <sheetData sheetId="163">
        <row r="6">
          <cell r="B6" t="e">
            <v>#REF!</v>
          </cell>
        </row>
      </sheetData>
      <sheetData sheetId="164">
        <row r="6">
          <cell r="B6" t="e">
            <v>#REF!</v>
          </cell>
        </row>
      </sheetData>
      <sheetData sheetId="165">
        <row r="6">
          <cell r="B6" t="e">
            <v>#REF!</v>
          </cell>
        </row>
      </sheetData>
      <sheetData sheetId="166">
        <row r="6">
          <cell r="B6" t="e">
            <v>#REF!</v>
          </cell>
        </row>
      </sheetData>
      <sheetData sheetId="167">
        <row r="6">
          <cell r="B6" t="e">
            <v>#REF!</v>
          </cell>
        </row>
      </sheetData>
      <sheetData sheetId="168">
        <row r="6">
          <cell r="B6" t="e">
            <v>#REF!</v>
          </cell>
        </row>
      </sheetData>
      <sheetData sheetId="169">
        <row r="6">
          <cell r="B6" t="str">
            <v>5.0 C</v>
          </cell>
        </row>
      </sheetData>
      <sheetData sheetId="170">
        <row r="6">
          <cell r="B6" t="e">
            <v>#REF!</v>
          </cell>
        </row>
      </sheetData>
      <sheetData sheetId="171">
        <row r="6">
          <cell r="B6" t="e">
            <v>#REF!</v>
          </cell>
        </row>
      </sheetData>
      <sheetData sheetId="172">
        <row r="6">
          <cell r="B6" t="str">
            <v>5.0 C</v>
          </cell>
        </row>
      </sheetData>
      <sheetData sheetId="173">
        <row r="6">
          <cell r="B6" t="e">
            <v>#REF!</v>
          </cell>
        </row>
      </sheetData>
      <sheetData sheetId="174">
        <row r="6">
          <cell r="B6" t="e">
            <v>#REF!</v>
          </cell>
        </row>
      </sheetData>
      <sheetData sheetId="175">
        <row r="6">
          <cell r="B6" t="str">
            <v>5.0 C</v>
          </cell>
        </row>
      </sheetData>
      <sheetData sheetId="176">
        <row r="6">
          <cell r="B6" t="e">
            <v>#REF!</v>
          </cell>
        </row>
      </sheetData>
      <sheetData sheetId="177">
        <row r="6">
          <cell r="B6" t="e">
            <v>#REF!</v>
          </cell>
        </row>
      </sheetData>
      <sheetData sheetId="178">
        <row r="6">
          <cell r="B6" t="e">
            <v>#REF!</v>
          </cell>
        </row>
      </sheetData>
      <sheetData sheetId="179">
        <row r="6">
          <cell r="B6" t="e">
            <v>#REF!</v>
          </cell>
        </row>
      </sheetData>
      <sheetData sheetId="180">
        <row r="6">
          <cell r="B6" t="e">
            <v>#REF!</v>
          </cell>
        </row>
      </sheetData>
      <sheetData sheetId="181">
        <row r="6">
          <cell r="B6" t="e">
            <v>#REF!</v>
          </cell>
        </row>
      </sheetData>
      <sheetData sheetId="182">
        <row r="6">
          <cell r="B6" t="e">
            <v>#REF!</v>
          </cell>
        </row>
      </sheetData>
      <sheetData sheetId="183">
        <row r="6">
          <cell r="B6" t="e">
            <v>#REF!</v>
          </cell>
        </row>
      </sheetData>
      <sheetData sheetId="184">
        <row r="6">
          <cell r="B6" t="str">
            <v>5.0 C</v>
          </cell>
        </row>
      </sheetData>
      <sheetData sheetId="185">
        <row r="6">
          <cell r="B6" t="e">
            <v>#REF!</v>
          </cell>
        </row>
      </sheetData>
      <sheetData sheetId="186">
        <row r="6">
          <cell r="B6" t="e">
            <v>#REF!</v>
          </cell>
        </row>
      </sheetData>
      <sheetData sheetId="187">
        <row r="6">
          <cell r="B6" t="str">
            <v>5.0 C</v>
          </cell>
        </row>
      </sheetData>
      <sheetData sheetId="188">
        <row r="6">
          <cell r="B6" t="e">
            <v>#REF!</v>
          </cell>
        </row>
      </sheetData>
      <sheetData sheetId="189">
        <row r="6">
          <cell r="B6" t="e">
            <v>#REF!</v>
          </cell>
        </row>
      </sheetData>
      <sheetData sheetId="190">
        <row r="6">
          <cell r="B6" t="str">
            <v>5.0 C</v>
          </cell>
        </row>
      </sheetData>
      <sheetData sheetId="191">
        <row r="6">
          <cell r="B6" t="e">
            <v>#REF!</v>
          </cell>
        </row>
      </sheetData>
      <sheetData sheetId="192">
        <row r="6">
          <cell r="B6" t="e">
            <v>#REF!</v>
          </cell>
        </row>
      </sheetData>
      <sheetData sheetId="193">
        <row r="6">
          <cell r="B6" t="e">
            <v>#REF!</v>
          </cell>
        </row>
      </sheetData>
      <sheetData sheetId="194">
        <row r="6">
          <cell r="B6" t="e">
            <v>#REF!</v>
          </cell>
        </row>
      </sheetData>
      <sheetData sheetId="195">
        <row r="6">
          <cell r="B6" t="e">
            <v>#REF!</v>
          </cell>
        </row>
      </sheetData>
      <sheetData sheetId="196">
        <row r="6">
          <cell r="B6" t="e">
            <v>#REF!</v>
          </cell>
        </row>
      </sheetData>
      <sheetData sheetId="197">
        <row r="6">
          <cell r="B6" t="e">
            <v>#REF!</v>
          </cell>
        </row>
      </sheetData>
      <sheetData sheetId="198">
        <row r="6">
          <cell r="B6" t="e">
            <v>#REF!</v>
          </cell>
        </row>
      </sheetData>
      <sheetData sheetId="199">
        <row r="6">
          <cell r="B6" t="str">
            <v>5.0 C</v>
          </cell>
        </row>
      </sheetData>
      <sheetData sheetId="200">
        <row r="6">
          <cell r="B6" t="e">
            <v>#REF!</v>
          </cell>
        </row>
      </sheetData>
      <sheetData sheetId="201">
        <row r="6">
          <cell r="B6" t="e">
            <v>#REF!</v>
          </cell>
        </row>
      </sheetData>
      <sheetData sheetId="202">
        <row r="6">
          <cell r="B6" t="str">
            <v>5.0 C</v>
          </cell>
        </row>
      </sheetData>
      <sheetData sheetId="203">
        <row r="6">
          <cell r="B6" t="e">
            <v>#REF!</v>
          </cell>
        </row>
      </sheetData>
      <sheetData sheetId="204">
        <row r="6">
          <cell r="B6" t="e">
            <v>#REF!</v>
          </cell>
        </row>
      </sheetData>
      <sheetData sheetId="205">
        <row r="6">
          <cell r="B6" t="str">
            <v>5.0 C</v>
          </cell>
        </row>
      </sheetData>
      <sheetData sheetId="206">
        <row r="6">
          <cell r="B6" t="e">
            <v>#REF!</v>
          </cell>
        </row>
      </sheetData>
      <sheetData sheetId="207">
        <row r="6">
          <cell r="B6" t="e">
            <v>#REF!</v>
          </cell>
        </row>
      </sheetData>
      <sheetData sheetId="208">
        <row r="6">
          <cell r="B6" t="e">
            <v>#REF!</v>
          </cell>
        </row>
      </sheetData>
      <sheetData sheetId="209">
        <row r="6">
          <cell r="B6" t="e">
            <v>#REF!</v>
          </cell>
        </row>
      </sheetData>
      <sheetData sheetId="210">
        <row r="6">
          <cell r="B6" t="e">
            <v>#REF!</v>
          </cell>
        </row>
      </sheetData>
      <sheetData sheetId="211">
        <row r="6">
          <cell r="B6" t="e">
            <v>#REF!</v>
          </cell>
        </row>
      </sheetData>
      <sheetData sheetId="212">
        <row r="6">
          <cell r="B6" t="e">
            <v>#REF!</v>
          </cell>
        </row>
      </sheetData>
      <sheetData sheetId="213">
        <row r="6">
          <cell r="B6" t="e">
            <v>#REF!</v>
          </cell>
        </row>
      </sheetData>
      <sheetData sheetId="214">
        <row r="6">
          <cell r="B6" t="str">
            <v>5.0 C</v>
          </cell>
        </row>
      </sheetData>
      <sheetData sheetId="215">
        <row r="6">
          <cell r="B6" t="e">
            <v>#REF!</v>
          </cell>
        </row>
      </sheetData>
      <sheetData sheetId="216">
        <row r="6">
          <cell r="B6" t="e">
            <v>#REF!</v>
          </cell>
        </row>
      </sheetData>
      <sheetData sheetId="217">
        <row r="6">
          <cell r="B6" t="str">
            <v>5.0 C</v>
          </cell>
        </row>
      </sheetData>
      <sheetData sheetId="218">
        <row r="6">
          <cell r="B6" t="e">
            <v>#REF!</v>
          </cell>
        </row>
      </sheetData>
      <sheetData sheetId="219">
        <row r="6">
          <cell r="B6" t="e">
            <v>#REF!</v>
          </cell>
        </row>
      </sheetData>
      <sheetData sheetId="220">
        <row r="6">
          <cell r="B6" t="str">
            <v>5.0 C</v>
          </cell>
        </row>
      </sheetData>
      <sheetData sheetId="221">
        <row r="6">
          <cell r="B6" t="e">
            <v>#REF!</v>
          </cell>
        </row>
      </sheetData>
      <sheetData sheetId="222">
        <row r="6">
          <cell r="B6" t="e">
            <v>#REF!</v>
          </cell>
        </row>
      </sheetData>
      <sheetData sheetId="223">
        <row r="6">
          <cell r="B6" t="e">
            <v>#REF!</v>
          </cell>
        </row>
      </sheetData>
      <sheetData sheetId="224">
        <row r="6">
          <cell r="B6" t="e">
            <v>#REF!</v>
          </cell>
        </row>
      </sheetData>
      <sheetData sheetId="225">
        <row r="6">
          <cell r="B6" t="e">
            <v>#REF!</v>
          </cell>
        </row>
      </sheetData>
      <sheetData sheetId="226">
        <row r="6">
          <cell r="B6" t="e">
            <v>#REF!</v>
          </cell>
        </row>
      </sheetData>
      <sheetData sheetId="227">
        <row r="6">
          <cell r="B6" t="e">
            <v>#REF!</v>
          </cell>
        </row>
      </sheetData>
      <sheetData sheetId="228">
        <row r="6">
          <cell r="B6" t="e">
            <v>#REF!</v>
          </cell>
        </row>
      </sheetData>
      <sheetData sheetId="229">
        <row r="6">
          <cell r="B6" t="str">
            <v>5.0 C</v>
          </cell>
        </row>
      </sheetData>
      <sheetData sheetId="230">
        <row r="6">
          <cell r="B6" t="e">
            <v>#REF!</v>
          </cell>
        </row>
      </sheetData>
      <sheetData sheetId="231">
        <row r="6">
          <cell r="B6" t="e">
            <v>#REF!</v>
          </cell>
        </row>
      </sheetData>
      <sheetData sheetId="232">
        <row r="6">
          <cell r="B6" t="str">
            <v>5.0 C</v>
          </cell>
        </row>
      </sheetData>
      <sheetData sheetId="233">
        <row r="6">
          <cell r="B6" t="e">
            <v>#REF!</v>
          </cell>
        </row>
      </sheetData>
      <sheetData sheetId="234">
        <row r="6">
          <cell r="B6" t="e">
            <v>#REF!</v>
          </cell>
        </row>
      </sheetData>
      <sheetData sheetId="235">
        <row r="6">
          <cell r="B6" t="str">
            <v>5.0 C</v>
          </cell>
        </row>
      </sheetData>
      <sheetData sheetId="236">
        <row r="6">
          <cell r="B6" t="e">
            <v>#REF!</v>
          </cell>
        </row>
      </sheetData>
      <sheetData sheetId="237">
        <row r="6">
          <cell r="B6" t="e">
            <v>#REF!</v>
          </cell>
        </row>
      </sheetData>
      <sheetData sheetId="238">
        <row r="6">
          <cell r="B6" t="e">
            <v>#REF!</v>
          </cell>
        </row>
      </sheetData>
      <sheetData sheetId="239">
        <row r="6">
          <cell r="B6" t="e">
            <v>#REF!</v>
          </cell>
        </row>
      </sheetData>
      <sheetData sheetId="240">
        <row r="6">
          <cell r="B6" t="e">
            <v>#REF!</v>
          </cell>
        </row>
      </sheetData>
      <sheetData sheetId="241">
        <row r="6">
          <cell r="B6" t="e">
            <v>#REF!</v>
          </cell>
        </row>
      </sheetData>
      <sheetData sheetId="242">
        <row r="6">
          <cell r="B6" t="e">
            <v>#REF!</v>
          </cell>
        </row>
      </sheetData>
      <sheetData sheetId="243">
        <row r="6">
          <cell r="B6" t="e">
            <v>#REF!</v>
          </cell>
        </row>
      </sheetData>
      <sheetData sheetId="244">
        <row r="6">
          <cell r="B6" t="str">
            <v>5.0 C</v>
          </cell>
        </row>
      </sheetData>
      <sheetData sheetId="245">
        <row r="6">
          <cell r="B6" t="e">
            <v>#REF!</v>
          </cell>
        </row>
      </sheetData>
      <sheetData sheetId="246">
        <row r="6">
          <cell r="B6" t="e">
            <v>#REF!</v>
          </cell>
        </row>
      </sheetData>
      <sheetData sheetId="247">
        <row r="6">
          <cell r="B6" t="str">
            <v>5.0 C</v>
          </cell>
        </row>
      </sheetData>
      <sheetData sheetId="248">
        <row r="6">
          <cell r="B6" t="e">
            <v>#REF!</v>
          </cell>
        </row>
      </sheetData>
      <sheetData sheetId="249">
        <row r="6">
          <cell r="B6" t="e">
            <v>#REF!</v>
          </cell>
        </row>
      </sheetData>
      <sheetData sheetId="250">
        <row r="6">
          <cell r="B6" t="str">
            <v>5.0 C</v>
          </cell>
        </row>
      </sheetData>
      <sheetData sheetId="251">
        <row r="6">
          <cell r="B6" t="e">
            <v>#REF!</v>
          </cell>
        </row>
      </sheetData>
      <sheetData sheetId="252">
        <row r="6">
          <cell r="B6" t="e">
            <v>#REF!</v>
          </cell>
        </row>
      </sheetData>
      <sheetData sheetId="253">
        <row r="6">
          <cell r="B6" t="e">
            <v>#REF!</v>
          </cell>
        </row>
      </sheetData>
      <sheetData sheetId="254">
        <row r="6">
          <cell r="B6" t="e">
            <v>#REF!</v>
          </cell>
        </row>
      </sheetData>
      <sheetData sheetId="255">
        <row r="6">
          <cell r="B6" t="e">
            <v>#REF!</v>
          </cell>
        </row>
      </sheetData>
      <sheetData sheetId="256">
        <row r="6">
          <cell r="B6" t="e">
            <v>#REF!</v>
          </cell>
        </row>
      </sheetData>
      <sheetData sheetId="257">
        <row r="6">
          <cell r="B6" t="e">
            <v>#REF!</v>
          </cell>
        </row>
      </sheetData>
      <sheetData sheetId="258">
        <row r="6">
          <cell r="B6" t="e">
            <v>#REF!</v>
          </cell>
        </row>
      </sheetData>
      <sheetData sheetId="259">
        <row r="6">
          <cell r="B6" t="str">
            <v>5.0 C</v>
          </cell>
        </row>
      </sheetData>
      <sheetData sheetId="260">
        <row r="6">
          <cell r="B6" t="e">
            <v>#REF!</v>
          </cell>
        </row>
      </sheetData>
      <sheetData sheetId="261">
        <row r="6">
          <cell r="B6" t="e">
            <v>#REF!</v>
          </cell>
        </row>
      </sheetData>
      <sheetData sheetId="262">
        <row r="6">
          <cell r="B6" t="str">
            <v>5.0 C</v>
          </cell>
        </row>
      </sheetData>
      <sheetData sheetId="263">
        <row r="6">
          <cell r="B6" t="e">
            <v>#REF!</v>
          </cell>
        </row>
      </sheetData>
      <sheetData sheetId="264">
        <row r="6">
          <cell r="B6" t="e">
            <v>#REF!</v>
          </cell>
        </row>
      </sheetData>
      <sheetData sheetId="265">
        <row r="6">
          <cell r="B6" t="str">
            <v>5.0 C</v>
          </cell>
        </row>
      </sheetData>
      <sheetData sheetId="266">
        <row r="6">
          <cell r="B6" t="e">
            <v>#REF!</v>
          </cell>
        </row>
      </sheetData>
      <sheetData sheetId="267">
        <row r="6">
          <cell r="B6" t="e">
            <v>#REF!</v>
          </cell>
        </row>
      </sheetData>
      <sheetData sheetId="268">
        <row r="6">
          <cell r="B6" t="str">
            <v>5.0 C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>
        <row r="6">
          <cell r="B6" t="str">
            <v>5.0 C</v>
          </cell>
        </row>
      </sheetData>
      <sheetData sheetId="279">
        <row r="6">
          <cell r="B6" t="str">
            <v>5.0 C</v>
          </cell>
        </row>
      </sheetData>
      <sheetData sheetId="280">
        <row r="6">
          <cell r="B6" t="str">
            <v>5.0 C</v>
          </cell>
        </row>
      </sheetData>
      <sheetData sheetId="281">
        <row r="6">
          <cell r="B6" t="str">
            <v>5.0 C</v>
          </cell>
        </row>
      </sheetData>
      <sheetData sheetId="282">
        <row r="6">
          <cell r="B6" t="str">
            <v>5.0 C</v>
          </cell>
        </row>
      </sheetData>
      <sheetData sheetId="283">
        <row r="6">
          <cell r="B6" t="str">
            <v>5.0 C</v>
          </cell>
        </row>
      </sheetData>
      <sheetData sheetId="284">
        <row r="6">
          <cell r="B6" t="str">
            <v>5.0 C</v>
          </cell>
        </row>
      </sheetData>
      <sheetData sheetId="285">
        <row r="6">
          <cell r="B6" t="str">
            <v>5.0 C</v>
          </cell>
        </row>
      </sheetData>
      <sheetData sheetId="286">
        <row r="6">
          <cell r="B6" t="str">
            <v>5.0 C</v>
          </cell>
        </row>
      </sheetData>
      <sheetData sheetId="287">
        <row r="6">
          <cell r="B6" t="str">
            <v>5.0 C</v>
          </cell>
        </row>
      </sheetData>
      <sheetData sheetId="288">
        <row r="6">
          <cell r="B6" t="str">
            <v>5.0 C</v>
          </cell>
        </row>
      </sheetData>
      <sheetData sheetId="289">
        <row r="6">
          <cell r="B6" t="str">
            <v>5.0 C</v>
          </cell>
        </row>
      </sheetData>
      <sheetData sheetId="290">
        <row r="6">
          <cell r="B6" t="str">
            <v>5.0 C</v>
          </cell>
        </row>
      </sheetData>
      <sheetData sheetId="291">
        <row r="6">
          <cell r="B6" t="str">
            <v>5.0 C</v>
          </cell>
        </row>
      </sheetData>
      <sheetData sheetId="292">
        <row r="6">
          <cell r="B6" t="str">
            <v>5.0 C</v>
          </cell>
        </row>
      </sheetData>
      <sheetData sheetId="293"/>
      <sheetData sheetId="294">
        <row r="6">
          <cell r="B6" t="str">
            <v>5.0 C</v>
          </cell>
        </row>
      </sheetData>
      <sheetData sheetId="295"/>
      <sheetData sheetId="296">
        <row r="6">
          <cell r="B6" t="str">
            <v>5.0 C</v>
          </cell>
        </row>
      </sheetData>
      <sheetData sheetId="297">
        <row r="6">
          <cell r="B6" t="str">
            <v>5.0 C</v>
          </cell>
        </row>
      </sheetData>
      <sheetData sheetId="298">
        <row r="6">
          <cell r="B6" t="str">
            <v>5.0 C</v>
          </cell>
        </row>
      </sheetData>
      <sheetData sheetId="299">
        <row r="6">
          <cell r="B6" t="str">
            <v>5.0 C</v>
          </cell>
        </row>
      </sheetData>
      <sheetData sheetId="300">
        <row r="6">
          <cell r="B6" t="str">
            <v>5.0 C</v>
          </cell>
        </row>
      </sheetData>
      <sheetData sheetId="301">
        <row r="6">
          <cell r="B6" t="str">
            <v>5.0 C</v>
          </cell>
        </row>
      </sheetData>
      <sheetData sheetId="302">
        <row r="6">
          <cell r="B6" t="str">
            <v>5.0 C</v>
          </cell>
        </row>
      </sheetData>
      <sheetData sheetId="303">
        <row r="6">
          <cell r="B6" t="str">
            <v>5.0 C</v>
          </cell>
        </row>
      </sheetData>
      <sheetData sheetId="304">
        <row r="6">
          <cell r="B6" t="str">
            <v>5.0 C</v>
          </cell>
        </row>
      </sheetData>
      <sheetData sheetId="305">
        <row r="6">
          <cell r="B6" t="str">
            <v>5.0 C</v>
          </cell>
        </row>
      </sheetData>
      <sheetData sheetId="306">
        <row r="6">
          <cell r="B6" t="str">
            <v>5.0 C</v>
          </cell>
        </row>
      </sheetData>
      <sheetData sheetId="307"/>
      <sheetData sheetId="308">
        <row r="6">
          <cell r="B6" t="str">
            <v>5.0 C</v>
          </cell>
        </row>
      </sheetData>
      <sheetData sheetId="309"/>
      <sheetData sheetId="310">
        <row r="6">
          <cell r="B6" t="str">
            <v>5.0 C</v>
          </cell>
        </row>
      </sheetData>
      <sheetData sheetId="311">
        <row r="6">
          <cell r="B6" t="str">
            <v>5.0 C</v>
          </cell>
        </row>
      </sheetData>
      <sheetData sheetId="312">
        <row r="6">
          <cell r="B6" t="str">
            <v>5.0 C</v>
          </cell>
        </row>
      </sheetData>
      <sheetData sheetId="313">
        <row r="6">
          <cell r="B6" t="str">
            <v>5.0 C</v>
          </cell>
        </row>
      </sheetData>
      <sheetData sheetId="314">
        <row r="6">
          <cell r="B6" t="str">
            <v>5.0 C</v>
          </cell>
        </row>
      </sheetData>
      <sheetData sheetId="315">
        <row r="6">
          <cell r="B6" t="str">
            <v>5.0 C</v>
          </cell>
        </row>
      </sheetData>
      <sheetData sheetId="316">
        <row r="6">
          <cell r="B6" t="str">
            <v>5.0 C</v>
          </cell>
        </row>
      </sheetData>
      <sheetData sheetId="317">
        <row r="6">
          <cell r="B6" t="str">
            <v>5.0 C</v>
          </cell>
        </row>
      </sheetData>
      <sheetData sheetId="318">
        <row r="6">
          <cell r="B6" t="str">
            <v>5.0 C</v>
          </cell>
        </row>
      </sheetData>
      <sheetData sheetId="319">
        <row r="6">
          <cell r="B6" t="str">
            <v>5.0 C</v>
          </cell>
        </row>
      </sheetData>
      <sheetData sheetId="320">
        <row r="6">
          <cell r="B6" t="str">
            <v>5.0 C</v>
          </cell>
        </row>
      </sheetData>
      <sheetData sheetId="321"/>
      <sheetData sheetId="322">
        <row r="6">
          <cell r="B6" t="str">
            <v>5.0 C</v>
          </cell>
        </row>
      </sheetData>
      <sheetData sheetId="323">
        <row r="6">
          <cell r="B6" t="str">
            <v>5.0 C</v>
          </cell>
        </row>
      </sheetData>
      <sheetData sheetId="324">
        <row r="6">
          <cell r="B6" t="str">
            <v>5.0 C</v>
          </cell>
        </row>
      </sheetData>
      <sheetData sheetId="325">
        <row r="6">
          <cell r="B6" t="str">
            <v>5.0 C</v>
          </cell>
        </row>
      </sheetData>
      <sheetData sheetId="326">
        <row r="6">
          <cell r="B6" t="str">
            <v>5.0 C</v>
          </cell>
        </row>
      </sheetData>
      <sheetData sheetId="327">
        <row r="6">
          <cell r="B6" t="str">
            <v>5.0 C</v>
          </cell>
        </row>
      </sheetData>
      <sheetData sheetId="328">
        <row r="6">
          <cell r="B6" t="str">
            <v>5.0 C</v>
          </cell>
        </row>
      </sheetData>
      <sheetData sheetId="329">
        <row r="6">
          <cell r="B6" t="str">
            <v>5.0 C</v>
          </cell>
        </row>
      </sheetData>
      <sheetData sheetId="330"/>
      <sheetData sheetId="331">
        <row r="6">
          <cell r="B6" t="str">
            <v>5.0 C</v>
          </cell>
        </row>
      </sheetData>
      <sheetData sheetId="332">
        <row r="6">
          <cell r="B6" t="str">
            <v>5.0 C</v>
          </cell>
        </row>
      </sheetData>
      <sheetData sheetId="333">
        <row r="6">
          <cell r="B6" t="str">
            <v>5.0 C</v>
          </cell>
        </row>
      </sheetData>
      <sheetData sheetId="334">
        <row r="6">
          <cell r="B6" t="str">
            <v>5.0 C</v>
          </cell>
        </row>
      </sheetData>
      <sheetData sheetId="335">
        <row r="6">
          <cell r="B6" t="str">
            <v>5.0 C</v>
          </cell>
        </row>
      </sheetData>
      <sheetData sheetId="336"/>
      <sheetData sheetId="337">
        <row r="6">
          <cell r="B6" t="str">
            <v>5.0 C</v>
          </cell>
        </row>
      </sheetData>
      <sheetData sheetId="338">
        <row r="6">
          <cell r="B6" t="str">
            <v>5.0 C</v>
          </cell>
        </row>
      </sheetData>
      <sheetData sheetId="339"/>
      <sheetData sheetId="340">
        <row r="6">
          <cell r="B6" t="str">
            <v>5.0 C</v>
          </cell>
        </row>
      </sheetData>
      <sheetData sheetId="341">
        <row r="6">
          <cell r="B6" t="str">
            <v>5.0 C</v>
          </cell>
        </row>
      </sheetData>
      <sheetData sheetId="342">
        <row r="6">
          <cell r="B6" t="str">
            <v>5.0 C</v>
          </cell>
        </row>
      </sheetData>
      <sheetData sheetId="343"/>
      <sheetData sheetId="344">
        <row r="6">
          <cell r="B6" t="str">
            <v>5.0 C</v>
          </cell>
        </row>
      </sheetData>
      <sheetData sheetId="345">
        <row r="6">
          <cell r="B6" t="str">
            <v>5.0 C</v>
          </cell>
        </row>
      </sheetData>
      <sheetData sheetId="346">
        <row r="6">
          <cell r="B6" t="str">
            <v>5.0 C</v>
          </cell>
        </row>
      </sheetData>
      <sheetData sheetId="347">
        <row r="6">
          <cell r="B6" t="str">
            <v>5.0 C</v>
          </cell>
        </row>
      </sheetData>
      <sheetData sheetId="348">
        <row r="6">
          <cell r="B6" t="str">
            <v>5.0 C</v>
          </cell>
        </row>
      </sheetData>
      <sheetData sheetId="349">
        <row r="6">
          <cell r="B6" t="str">
            <v>5.0 C</v>
          </cell>
        </row>
      </sheetData>
      <sheetData sheetId="350">
        <row r="6">
          <cell r="B6" t="str">
            <v>5.0 C</v>
          </cell>
        </row>
      </sheetData>
      <sheetData sheetId="351">
        <row r="6">
          <cell r="B6" t="str">
            <v>5.0 C</v>
          </cell>
        </row>
      </sheetData>
      <sheetData sheetId="352"/>
      <sheetData sheetId="353">
        <row r="6">
          <cell r="B6" t="str">
            <v>5.0 C</v>
          </cell>
        </row>
      </sheetData>
      <sheetData sheetId="354">
        <row r="6">
          <cell r="B6" t="str">
            <v>5.0 C</v>
          </cell>
        </row>
      </sheetData>
      <sheetData sheetId="355">
        <row r="6">
          <cell r="B6" t="str">
            <v>5.0 C</v>
          </cell>
        </row>
      </sheetData>
      <sheetData sheetId="356">
        <row r="6">
          <cell r="B6" t="str">
            <v>5.0 C</v>
          </cell>
        </row>
      </sheetData>
      <sheetData sheetId="357">
        <row r="6">
          <cell r="B6" t="str">
            <v>5.0 C</v>
          </cell>
        </row>
      </sheetData>
      <sheetData sheetId="358">
        <row r="6">
          <cell r="B6" t="str">
            <v>5.0 C</v>
          </cell>
        </row>
      </sheetData>
      <sheetData sheetId="359">
        <row r="6">
          <cell r="B6" t="str">
            <v>5.0 C</v>
          </cell>
        </row>
      </sheetData>
      <sheetData sheetId="360">
        <row r="6">
          <cell r="B6" t="str">
            <v>5.0 C</v>
          </cell>
        </row>
      </sheetData>
      <sheetData sheetId="361"/>
      <sheetData sheetId="362">
        <row r="6">
          <cell r="B6" t="str">
            <v>5.0 C</v>
          </cell>
        </row>
      </sheetData>
      <sheetData sheetId="363">
        <row r="6">
          <cell r="B6" t="str">
            <v>5.0 C</v>
          </cell>
        </row>
      </sheetData>
      <sheetData sheetId="364">
        <row r="6">
          <cell r="B6" t="str">
            <v>5.0 C</v>
          </cell>
        </row>
      </sheetData>
      <sheetData sheetId="365">
        <row r="6">
          <cell r="B6" t="str">
            <v>5.0 C</v>
          </cell>
        </row>
      </sheetData>
      <sheetData sheetId="366">
        <row r="6">
          <cell r="B6" t="str">
            <v>5.0 C</v>
          </cell>
        </row>
      </sheetData>
      <sheetData sheetId="367">
        <row r="6">
          <cell r="B6" t="str">
            <v>5.0 C</v>
          </cell>
        </row>
      </sheetData>
      <sheetData sheetId="368"/>
      <sheetData sheetId="369">
        <row r="6">
          <cell r="B6" t="str">
            <v>5.0 C</v>
          </cell>
        </row>
      </sheetData>
      <sheetData sheetId="370">
        <row r="6">
          <cell r="B6" t="str">
            <v>5.0 C</v>
          </cell>
        </row>
      </sheetData>
      <sheetData sheetId="371">
        <row r="6">
          <cell r="B6" t="str">
            <v>5.0 C</v>
          </cell>
        </row>
      </sheetData>
      <sheetData sheetId="372">
        <row r="6">
          <cell r="B6" t="str">
            <v>5.0 C</v>
          </cell>
        </row>
      </sheetData>
      <sheetData sheetId="373">
        <row r="6">
          <cell r="B6" t="str">
            <v>5.0 C</v>
          </cell>
        </row>
      </sheetData>
      <sheetData sheetId="374">
        <row r="6">
          <cell r="B6" t="str">
            <v>5.0 C</v>
          </cell>
        </row>
      </sheetData>
      <sheetData sheetId="375">
        <row r="6">
          <cell r="B6" t="str">
            <v>5.0 C</v>
          </cell>
        </row>
      </sheetData>
      <sheetData sheetId="376">
        <row r="6">
          <cell r="B6" t="str">
            <v>5.0 C</v>
          </cell>
        </row>
      </sheetData>
      <sheetData sheetId="377"/>
      <sheetData sheetId="378">
        <row r="6">
          <cell r="B6" t="str">
            <v>5.0 C</v>
          </cell>
        </row>
      </sheetData>
      <sheetData sheetId="379">
        <row r="6">
          <cell r="B6" t="str">
            <v>5.0 C</v>
          </cell>
        </row>
      </sheetData>
      <sheetData sheetId="380">
        <row r="6">
          <cell r="B6" t="str">
            <v>5.0 C</v>
          </cell>
        </row>
      </sheetData>
      <sheetData sheetId="381">
        <row r="6">
          <cell r="B6" t="str">
            <v>5.0 C</v>
          </cell>
        </row>
      </sheetData>
      <sheetData sheetId="382">
        <row r="6">
          <cell r="B6" t="str">
            <v>5.0 C</v>
          </cell>
        </row>
      </sheetData>
      <sheetData sheetId="383">
        <row r="6">
          <cell r="B6" t="str">
            <v>5.0 C</v>
          </cell>
        </row>
      </sheetData>
      <sheetData sheetId="384">
        <row r="6">
          <cell r="B6" t="str">
            <v>5.0 C</v>
          </cell>
        </row>
      </sheetData>
      <sheetData sheetId="385">
        <row r="6">
          <cell r="B6" t="str">
            <v>5.0 C</v>
          </cell>
        </row>
      </sheetData>
      <sheetData sheetId="386"/>
      <sheetData sheetId="387">
        <row r="6">
          <cell r="B6" t="str">
            <v>5.0 C</v>
          </cell>
        </row>
      </sheetData>
      <sheetData sheetId="388">
        <row r="6">
          <cell r="B6" t="str">
            <v>5.0 C</v>
          </cell>
        </row>
      </sheetData>
      <sheetData sheetId="389">
        <row r="6">
          <cell r="B6" t="str">
            <v>5.0 C</v>
          </cell>
        </row>
      </sheetData>
      <sheetData sheetId="390">
        <row r="6">
          <cell r="B6" t="str">
            <v>5.0 C</v>
          </cell>
        </row>
      </sheetData>
      <sheetData sheetId="391">
        <row r="6">
          <cell r="B6" t="str">
            <v>5.0 C</v>
          </cell>
        </row>
      </sheetData>
      <sheetData sheetId="392">
        <row r="6">
          <cell r="B6" t="str">
            <v>5.0 C</v>
          </cell>
        </row>
      </sheetData>
      <sheetData sheetId="393"/>
      <sheetData sheetId="394">
        <row r="6">
          <cell r="B6" t="str">
            <v>5.0 C</v>
          </cell>
        </row>
      </sheetData>
      <sheetData sheetId="395">
        <row r="6">
          <cell r="B6" t="str">
            <v>5.0 C</v>
          </cell>
        </row>
      </sheetData>
      <sheetData sheetId="396">
        <row r="6">
          <cell r="B6" t="str">
            <v>5.0 C</v>
          </cell>
        </row>
      </sheetData>
      <sheetData sheetId="397">
        <row r="6">
          <cell r="B6" t="str">
            <v>5.0 C</v>
          </cell>
        </row>
      </sheetData>
      <sheetData sheetId="398">
        <row r="6">
          <cell r="B6" t="str">
            <v>5.0 C</v>
          </cell>
        </row>
      </sheetData>
      <sheetData sheetId="399">
        <row r="6">
          <cell r="B6" t="str">
            <v>5.0 C</v>
          </cell>
        </row>
      </sheetData>
      <sheetData sheetId="400">
        <row r="6">
          <cell r="B6" t="str">
            <v>5.0 C</v>
          </cell>
        </row>
      </sheetData>
      <sheetData sheetId="401">
        <row r="6">
          <cell r="B6" t="str">
            <v>5.0 C</v>
          </cell>
        </row>
      </sheetData>
      <sheetData sheetId="402"/>
      <sheetData sheetId="403">
        <row r="6">
          <cell r="B6" t="str">
            <v>5.0 C</v>
          </cell>
        </row>
      </sheetData>
      <sheetData sheetId="404">
        <row r="6">
          <cell r="B6" t="str">
            <v>5.0 C</v>
          </cell>
        </row>
      </sheetData>
      <sheetData sheetId="405">
        <row r="6">
          <cell r="B6" t="str">
            <v>5.0 C</v>
          </cell>
        </row>
      </sheetData>
      <sheetData sheetId="406">
        <row r="6">
          <cell r="B6" t="str">
            <v>5.0 C</v>
          </cell>
        </row>
      </sheetData>
      <sheetData sheetId="407">
        <row r="6">
          <cell r="B6" t="str">
            <v>5.0 C</v>
          </cell>
        </row>
      </sheetData>
      <sheetData sheetId="408">
        <row r="6">
          <cell r="B6" t="str">
            <v>5.0 C</v>
          </cell>
        </row>
      </sheetData>
      <sheetData sheetId="409">
        <row r="6">
          <cell r="B6" t="str">
            <v>5.0 C</v>
          </cell>
        </row>
      </sheetData>
      <sheetData sheetId="410">
        <row r="6">
          <cell r="B6" t="str">
            <v>5.0 C</v>
          </cell>
        </row>
      </sheetData>
      <sheetData sheetId="411"/>
      <sheetData sheetId="412">
        <row r="6">
          <cell r="B6" t="str">
            <v>5.0 C</v>
          </cell>
        </row>
      </sheetData>
      <sheetData sheetId="413">
        <row r="6">
          <cell r="B6" t="str">
            <v>5.0 C</v>
          </cell>
        </row>
      </sheetData>
      <sheetData sheetId="414">
        <row r="6">
          <cell r="B6" t="str">
            <v>5.0 C</v>
          </cell>
        </row>
      </sheetData>
      <sheetData sheetId="415">
        <row r="6">
          <cell r="B6" t="str">
            <v>5.0 C</v>
          </cell>
        </row>
      </sheetData>
      <sheetData sheetId="416">
        <row r="6">
          <cell r="B6" t="str">
            <v>5.0 C</v>
          </cell>
        </row>
      </sheetData>
      <sheetData sheetId="417">
        <row r="6">
          <cell r="B6" t="str">
            <v>5.0 C</v>
          </cell>
        </row>
      </sheetData>
      <sheetData sheetId="418">
        <row r="6">
          <cell r="B6" t="str">
            <v>5.0 C</v>
          </cell>
        </row>
      </sheetData>
      <sheetData sheetId="419">
        <row r="6">
          <cell r="B6" t="str">
            <v>5.0 C</v>
          </cell>
        </row>
      </sheetData>
      <sheetData sheetId="420">
        <row r="6">
          <cell r="B6" t="str">
            <v>5.0 C</v>
          </cell>
        </row>
      </sheetData>
      <sheetData sheetId="421">
        <row r="6">
          <cell r="B6" t="str">
            <v>5.0 C</v>
          </cell>
        </row>
      </sheetData>
      <sheetData sheetId="422">
        <row r="6">
          <cell r="B6" t="str">
            <v>5.0 C</v>
          </cell>
        </row>
      </sheetData>
      <sheetData sheetId="423">
        <row r="6">
          <cell r="B6" t="str">
            <v>5.0 C</v>
          </cell>
        </row>
      </sheetData>
      <sheetData sheetId="424">
        <row r="6">
          <cell r="B6" t="str">
            <v>5.0 C</v>
          </cell>
        </row>
      </sheetData>
      <sheetData sheetId="425">
        <row r="6">
          <cell r="B6" t="str">
            <v>5.0 C</v>
          </cell>
        </row>
      </sheetData>
      <sheetData sheetId="426">
        <row r="6">
          <cell r="B6" t="str">
            <v>5.0 C</v>
          </cell>
        </row>
      </sheetData>
      <sheetData sheetId="427">
        <row r="6">
          <cell r="B6" t="str">
            <v>5.0 C</v>
          </cell>
        </row>
      </sheetData>
      <sheetData sheetId="428">
        <row r="6">
          <cell r="B6" t="str">
            <v>5.0 C</v>
          </cell>
        </row>
      </sheetData>
      <sheetData sheetId="429">
        <row r="6">
          <cell r="B6" t="str">
            <v>5.0 C</v>
          </cell>
        </row>
      </sheetData>
      <sheetData sheetId="430">
        <row r="6">
          <cell r="B6" t="str">
            <v>5.0 C</v>
          </cell>
        </row>
      </sheetData>
      <sheetData sheetId="431">
        <row r="6">
          <cell r="B6" t="str">
            <v>5.0 C</v>
          </cell>
        </row>
      </sheetData>
      <sheetData sheetId="432">
        <row r="6">
          <cell r="B6" t="str">
            <v>5.0 C</v>
          </cell>
        </row>
      </sheetData>
      <sheetData sheetId="433">
        <row r="6">
          <cell r="B6" t="str">
            <v>5.0 C</v>
          </cell>
        </row>
      </sheetData>
      <sheetData sheetId="434">
        <row r="6">
          <cell r="B6" t="str">
            <v>5.0 C</v>
          </cell>
        </row>
      </sheetData>
      <sheetData sheetId="435">
        <row r="6">
          <cell r="B6" t="str">
            <v>5.0 C</v>
          </cell>
        </row>
      </sheetData>
      <sheetData sheetId="436">
        <row r="6">
          <cell r="B6" t="str">
            <v>5.0 C</v>
          </cell>
        </row>
      </sheetData>
      <sheetData sheetId="437">
        <row r="6">
          <cell r="B6" t="str">
            <v>5.0 C</v>
          </cell>
        </row>
      </sheetData>
      <sheetData sheetId="438">
        <row r="6">
          <cell r="B6" t="str">
            <v>5.0 C</v>
          </cell>
        </row>
      </sheetData>
      <sheetData sheetId="439">
        <row r="6">
          <cell r="B6" t="str">
            <v>5.0 C</v>
          </cell>
        </row>
      </sheetData>
      <sheetData sheetId="440">
        <row r="6">
          <cell r="B6" t="str">
            <v>5.0 C</v>
          </cell>
        </row>
      </sheetData>
      <sheetData sheetId="441">
        <row r="6">
          <cell r="B6" t="str">
            <v>5.0 C</v>
          </cell>
        </row>
      </sheetData>
      <sheetData sheetId="442">
        <row r="6">
          <cell r="B6" t="str">
            <v>5.0 C</v>
          </cell>
        </row>
      </sheetData>
      <sheetData sheetId="443">
        <row r="6">
          <cell r="B6" t="str">
            <v>5.0 C</v>
          </cell>
        </row>
      </sheetData>
      <sheetData sheetId="444">
        <row r="6">
          <cell r="B6" t="str">
            <v>5.0 C</v>
          </cell>
        </row>
      </sheetData>
      <sheetData sheetId="445">
        <row r="6">
          <cell r="B6" t="str">
            <v>5.0 C</v>
          </cell>
        </row>
      </sheetData>
      <sheetData sheetId="446">
        <row r="6">
          <cell r="B6" t="str">
            <v>5.0 C</v>
          </cell>
        </row>
      </sheetData>
      <sheetData sheetId="447">
        <row r="6">
          <cell r="B6" t="str">
            <v>5.0 C</v>
          </cell>
        </row>
      </sheetData>
      <sheetData sheetId="448">
        <row r="6">
          <cell r="B6" t="str">
            <v>5.0 C</v>
          </cell>
        </row>
      </sheetData>
      <sheetData sheetId="449">
        <row r="6">
          <cell r="B6" t="str">
            <v>5.0 C</v>
          </cell>
        </row>
      </sheetData>
      <sheetData sheetId="450">
        <row r="6">
          <cell r="B6" t="str">
            <v>5.0 C</v>
          </cell>
        </row>
      </sheetData>
      <sheetData sheetId="451">
        <row r="6">
          <cell r="B6" t="str">
            <v>5.0 C</v>
          </cell>
        </row>
      </sheetData>
      <sheetData sheetId="452">
        <row r="6">
          <cell r="B6" t="str">
            <v>5.0 C</v>
          </cell>
        </row>
      </sheetData>
      <sheetData sheetId="453">
        <row r="6">
          <cell r="B6" t="str">
            <v>5.0 C</v>
          </cell>
        </row>
      </sheetData>
      <sheetData sheetId="454">
        <row r="6">
          <cell r="B6" t="str">
            <v>5.0 C</v>
          </cell>
        </row>
      </sheetData>
      <sheetData sheetId="455">
        <row r="6">
          <cell r="B6" t="str">
            <v>5.0 C</v>
          </cell>
        </row>
      </sheetData>
      <sheetData sheetId="456">
        <row r="6">
          <cell r="B6" t="str">
            <v>5.0 C</v>
          </cell>
        </row>
      </sheetData>
      <sheetData sheetId="457">
        <row r="6">
          <cell r="B6" t="str">
            <v>5.0 C</v>
          </cell>
        </row>
      </sheetData>
      <sheetData sheetId="458">
        <row r="6">
          <cell r="B6" t="str">
            <v>5.0 C</v>
          </cell>
        </row>
      </sheetData>
      <sheetData sheetId="459">
        <row r="6">
          <cell r="B6" t="str">
            <v>5.0 C</v>
          </cell>
        </row>
      </sheetData>
      <sheetData sheetId="460">
        <row r="6">
          <cell r="B6" t="str">
            <v>5.0 C</v>
          </cell>
        </row>
      </sheetData>
      <sheetData sheetId="461">
        <row r="6">
          <cell r="B6" t="str">
            <v>5.0 C</v>
          </cell>
        </row>
      </sheetData>
      <sheetData sheetId="462">
        <row r="6">
          <cell r="B6" t="str">
            <v>5.0 C</v>
          </cell>
        </row>
      </sheetData>
      <sheetData sheetId="463">
        <row r="6">
          <cell r="B6" t="str">
            <v>5.0 C</v>
          </cell>
        </row>
      </sheetData>
      <sheetData sheetId="464">
        <row r="6">
          <cell r="B6" t="str">
            <v>5.0 C</v>
          </cell>
        </row>
      </sheetData>
      <sheetData sheetId="465">
        <row r="6">
          <cell r="B6" t="str">
            <v>5.0 C</v>
          </cell>
        </row>
      </sheetData>
      <sheetData sheetId="466">
        <row r="6">
          <cell r="B6" t="str">
            <v>5.0 C</v>
          </cell>
        </row>
      </sheetData>
      <sheetData sheetId="467">
        <row r="6">
          <cell r="B6" t="str">
            <v>5.0 C</v>
          </cell>
        </row>
      </sheetData>
      <sheetData sheetId="468">
        <row r="6">
          <cell r="B6" t="str">
            <v>5.0 C</v>
          </cell>
        </row>
      </sheetData>
      <sheetData sheetId="469">
        <row r="6">
          <cell r="B6" t="str">
            <v>5.0 C</v>
          </cell>
        </row>
      </sheetData>
      <sheetData sheetId="470">
        <row r="6">
          <cell r="B6" t="str">
            <v>5.0 C</v>
          </cell>
        </row>
      </sheetData>
      <sheetData sheetId="471">
        <row r="6">
          <cell r="B6" t="str">
            <v>5.0 C</v>
          </cell>
        </row>
      </sheetData>
      <sheetData sheetId="472">
        <row r="6">
          <cell r="B6" t="str">
            <v>5.0 C</v>
          </cell>
        </row>
      </sheetData>
      <sheetData sheetId="473">
        <row r="6">
          <cell r="B6" t="str">
            <v>5.0 C</v>
          </cell>
        </row>
      </sheetData>
      <sheetData sheetId="474">
        <row r="6">
          <cell r="B6" t="str">
            <v>5.0 C</v>
          </cell>
        </row>
      </sheetData>
      <sheetData sheetId="475">
        <row r="6">
          <cell r="B6" t="str">
            <v>5.0 C</v>
          </cell>
        </row>
      </sheetData>
      <sheetData sheetId="476">
        <row r="6">
          <cell r="B6" t="str">
            <v>5.0 C</v>
          </cell>
        </row>
      </sheetData>
      <sheetData sheetId="477">
        <row r="6">
          <cell r="B6" t="str">
            <v>5.0 C</v>
          </cell>
        </row>
      </sheetData>
      <sheetData sheetId="478">
        <row r="6">
          <cell r="B6" t="str">
            <v>5.0 C</v>
          </cell>
        </row>
      </sheetData>
      <sheetData sheetId="479">
        <row r="6">
          <cell r="B6" t="str">
            <v>5.0 C</v>
          </cell>
        </row>
      </sheetData>
      <sheetData sheetId="480">
        <row r="6">
          <cell r="B6" t="str">
            <v>5.0 C</v>
          </cell>
        </row>
      </sheetData>
      <sheetData sheetId="481">
        <row r="6">
          <cell r="B6" t="str">
            <v>5.0 C</v>
          </cell>
        </row>
      </sheetData>
      <sheetData sheetId="482">
        <row r="6">
          <cell r="B6" t="str">
            <v>5.0 C</v>
          </cell>
        </row>
      </sheetData>
      <sheetData sheetId="483">
        <row r="6">
          <cell r="B6" t="str">
            <v>5.0 C</v>
          </cell>
        </row>
      </sheetData>
      <sheetData sheetId="484">
        <row r="6">
          <cell r="B6" t="str">
            <v>5.0 C</v>
          </cell>
        </row>
      </sheetData>
      <sheetData sheetId="485">
        <row r="6">
          <cell r="B6" t="str">
            <v>5.0 C</v>
          </cell>
        </row>
      </sheetData>
      <sheetData sheetId="486">
        <row r="6">
          <cell r="B6" t="str">
            <v>5.0 C</v>
          </cell>
        </row>
      </sheetData>
      <sheetData sheetId="487">
        <row r="6">
          <cell r="B6" t="str">
            <v>5.0 C</v>
          </cell>
        </row>
      </sheetData>
      <sheetData sheetId="488">
        <row r="6">
          <cell r="B6" t="str">
            <v>5.0 C</v>
          </cell>
        </row>
      </sheetData>
      <sheetData sheetId="489">
        <row r="6">
          <cell r="B6" t="str">
            <v>5.0 C</v>
          </cell>
        </row>
      </sheetData>
      <sheetData sheetId="490">
        <row r="6">
          <cell r="B6" t="str">
            <v>5.0 C</v>
          </cell>
        </row>
      </sheetData>
      <sheetData sheetId="491">
        <row r="6">
          <cell r="B6" t="str">
            <v>5.0 C</v>
          </cell>
        </row>
      </sheetData>
      <sheetData sheetId="492">
        <row r="6">
          <cell r="B6" t="str">
            <v>5.0 C</v>
          </cell>
        </row>
      </sheetData>
      <sheetData sheetId="493">
        <row r="6">
          <cell r="B6" t="str">
            <v>5.0 C</v>
          </cell>
        </row>
      </sheetData>
      <sheetData sheetId="494">
        <row r="6">
          <cell r="B6" t="str">
            <v>5.0 C</v>
          </cell>
        </row>
      </sheetData>
      <sheetData sheetId="495">
        <row r="6">
          <cell r="B6" t="str">
            <v>5.0 C</v>
          </cell>
        </row>
      </sheetData>
      <sheetData sheetId="496">
        <row r="6">
          <cell r="B6" t="str">
            <v>5.0 C</v>
          </cell>
        </row>
      </sheetData>
      <sheetData sheetId="497">
        <row r="6">
          <cell r="B6" t="str">
            <v>5.0 C</v>
          </cell>
        </row>
      </sheetData>
      <sheetData sheetId="498">
        <row r="6">
          <cell r="B6" t="str">
            <v>5.0 C</v>
          </cell>
        </row>
      </sheetData>
      <sheetData sheetId="499">
        <row r="6">
          <cell r="B6" t="str">
            <v>5.0 C</v>
          </cell>
        </row>
      </sheetData>
      <sheetData sheetId="500">
        <row r="6">
          <cell r="B6" t="str">
            <v>5.0 C</v>
          </cell>
        </row>
      </sheetData>
      <sheetData sheetId="501">
        <row r="6">
          <cell r="B6" t="str">
            <v>5.0 C</v>
          </cell>
        </row>
      </sheetData>
      <sheetData sheetId="502">
        <row r="6">
          <cell r="B6" t="str">
            <v>5.0 C</v>
          </cell>
        </row>
      </sheetData>
      <sheetData sheetId="503">
        <row r="6">
          <cell r="B6" t="str">
            <v>5.0 C</v>
          </cell>
        </row>
      </sheetData>
      <sheetData sheetId="504">
        <row r="6">
          <cell r="B6" t="str">
            <v>5.0 C</v>
          </cell>
        </row>
      </sheetData>
      <sheetData sheetId="505">
        <row r="6">
          <cell r="B6" t="str">
            <v>5.0 C</v>
          </cell>
        </row>
      </sheetData>
      <sheetData sheetId="506">
        <row r="6">
          <cell r="B6" t="str">
            <v>5.0 C</v>
          </cell>
        </row>
      </sheetData>
      <sheetData sheetId="507">
        <row r="6">
          <cell r="B6" t="str">
            <v>5.0 C</v>
          </cell>
        </row>
      </sheetData>
      <sheetData sheetId="508">
        <row r="6">
          <cell r="B6" t="str">
            <v>5.0 C</v>
          </cell>
        </row>
      </sheetData>
      <sheetData sheetId="509">
        <row r="6">
          <cell r="B6" t="str">
            <v>5.0 C</v>
          </cell>
        </row>
      </sheetData>
      <sheetData sheetId="510">
        <row r="6">
          <cell r="B6" t="str">
            <v>5.0 C</v>
          </cell>
        </row>
      </sheetData>
      <sheetData sheetId="511">
        <row r="6">
          <cell r="B6" t="str">
            <v>5.0 C</v>
          </cell>
        </row>
      </sheetData>
      <sheetData sheetId="512">
        <row r="6">
          <cell r="B6" t="str">
            <v>5.0 C</v>
          </cell>
        </row>
      </sheetData>
      <sheetData sheetId="513">
        <row r="6">
          <cell r="B6" t="str">
            <v>5.0 C</v>
          </cell>
        </row>
      </sheetData>
      <sheetData sheetId="514">
        <row r="6">
          <cell r="B6" t="str">
            <v>5.0 C</v>
          </cell>
        </row>
      </sheetData>
      <sheetData sheetId="515">
        <row r="6">
          <cell r="B6" t="str">
            <v>5.0 C</v>
          </cell>
        </row>
      </sheetData>
      <sheetData sheetId="516">
        <row r="6">
          <cell r="B6" t="str">
            <v>5.0 C</v>
          </cell>
        </row>
      </sheetData>
      <sheetData sheetId="517">
        <row r="6">
          <cell r="B6" t="str">
            <v>5.0 C</v>
          </cell>
        </row>
      </sheetData>
      <sheetData sheetId="518">
        <row r="6">
          <cell r="B6" t="str">
            <v>5.0 C</v>
          </cell>
        </row>
      </sheetData>
      <sheetData sheetId="519">
        <row r="6">
          <cell r="B6" t="str">
            <v>5.0 C</v>
          </cell>
        </row>
      </sheetData>
      <sheetData sheetId="520">
        <row r="6">
          <cell r="B6" t="str">
            <v>5.0 C</v>
          </cell>
        </row>
      </sheetData>
      <sheetData sheetId="521">
        <row r="6">
          <cell r="B6" t="str">
            <v>5.0 C</v>
          </cell>
        </row>
      </sheetData>
      <sheetData sheetId="522">
        <row r="6">
          <cell r="B6" t="str">
            <v>5.0 C</v>
          </cell>
        </row>
      </sheetData>
      <sheetData sheetId="523">
        <row r="6">
          <cell r="B6" t="str">
            <v>5.0 C</v>
          </cell>
        </row>
      </sheetData>
      <sheetData sheetId="524">
        <row r="6">
          <cell r="B6" t="str">
            <v>5.0 C</v>
          </cell>
        </row>
      </sheetData>
      <sheetData sheetId="525">
        <row r="6">
          <cell r="B6" t="str">
            <v>5.0 C</v>
          </cell>
        </row>
      </sheetData>
      <sheetData sheetId="526">
        <row r="6">
          <cell r="B6" t="str">
            <v>5.0 C</v>
          </cell>
        </row>
      </sheetData>
      <sheetData sheetId="527">
        <row r="6">
          <cell r="B6" t="str">
            <v>5.0 C</v>
          </cell>
        </row>
      </sheetData>
      <sheetData sheetId="528">
        <row r="6">
          <cell r="B6" t="str">
            <v>5.0 C</v>
          </cell>
        </row>
      </sheetData>
      <sheetData sheetId="529">
        <row r="6">
          <cell r="B6" t="str">
            <v>5.0 C</v>
          </cell>
        </row>
      </sheetData>
      <sheetData sheetId="530">
        <row r="6">
          <cell r="B6" t="str">
            <v>5.0 C</v>
          </cell>
        </row>
      </sheetData>
      <sheetData sheetId="531">
        <row r="6">
          <cell r="B6" t="str">
            <v>5.0 C</v>
          </cell>
        </row>
      </sheetData>
      <sheetData sheetId="532">
        <row r="6">
          <cell r="B6" t="str">
            <v>5.0 C</v>
          </cell>
        </row>
      </sheetData>
      <sheetData sheetId="533">
        <row r="6">
          <cell r="B6" t="str">
            <v>5.0 C</v>
          </cell>
        </row>
      </sheetData>
      <sheetData sheetId="534">
        <row r="6">
          <cell r="B6" t="str">
            <v>5.0 C</v>
          </cell>
        </row>
      </sheetData>
      <sheetData sheetId="535">
        <row r="6">
          <cell r="B6" t="str">
            <v>5.0 C</v>
          </cell>
        </row>
      </sheetData>
      <sheetData sheetId="536">
        <row r="6">
          <cell r="B6" t="str">
            <v>5.0 C</v>
          </cell>
        </row>
      </sheetData>
      <sheetData sheetId="537">
        <row r="6">
          <cell r="B6" t="str">
            <v>5.0 C</v>
          </cell>
        </row>
      </sheetData>
      <sheetData sheetId="538">
        <row r="6">
          <cell r="B6" t="str">
            <v>5.0 C</v>
          </cell>
        </row>
      </sheetData>
      <sheetData sheetId="539">
        <row r="6">
          <cell r="B6" t="str">
            <v>5.0 C</v>
          </cell>
        </row>
      </sheetData>
      <sheetData sheetId="540">
        <row r="6">
          <cell r="B6" t="str">
            <v>5.0 C</v>
          </cell>
        </row>
      </sheetData>
      <sheetData sheetId="541">
        <row r="6">
          <cell r="B6" t="str">
            <v>5.0 C</v>
          </cell>
        </row>
      </sheetData>
      <sheetData sheetId="542">
        <row r="6">
          <cell r="B6" t="str">
            <v>5.0 C</v>
          </cell>
        </row>
      </sheetData>
      <sheetData sheetId="543">
        <row r="6">
          <cell r="B6" t="str">
            <v>5.0 C</v>
          </cell>
        </row>
      </sheetData>
      <sheetData sheetId="544">
        <row r="6">
          <cell r="B6" t="str">
            <v>5.0 C</v>
          </cell>
        </row>
      </sheetData>
      <sheetData sheetId="545">
        <row r="6">
          <cell r="B6" t="str">
            <v>5.0 C</v>
          </cell>
        </row>
      </sheetData>
      <sheetData sheetId="546">
        <row r="6">
          <cell r="B6" t="str">
            <v>5.0 C</v>
          </cell>
        </row>
      </sheetData>
      <sheetData sheetId="547">
        <row r="6">
          <cell r="B6" t="str">
            <v>5.0 C</v>
          </cell>
        </row>
      </sheetData>
      <sheetData sheetId="548">
        <row r="6">
          <cell r="B6" t="str">
            <v>5.0 C</v>
          </cell>
        </row>
      </sheetData>
      <sheetData sheetId="549">
        <row r="6">
          <cell r="B6" t="str">
            <v>5.0 C</v>
          </cell>
        </row>
      </sheetData>
      <sheetData sheetId="550">
        <row r="6">
          <cell r="B6" t="str">
            <v>5.0 C</v>
          </cell>
        </row>
      </sheetData>
      <sheetData sheetId="551">
        <row r="6">
          <cell r="B6" t="str">
            <v>5.0 C</v>
          </cell>
        </row>
      </sheetData>
      <sheetData sheetId="552">
        <row r="6">
          <cell r="B6" t="str">
            <v>5.0 C</v>
          </cell>
        </row>
      </sheetData>
      <sheetData sheetId="553">
        <row r="6">
          <cell r="B6" t="str">
            <v>5.0 C</v>
          </cell>
        </row>
      </sheetData>
      <sheetData sheetId="554">
        <row r="6">
          <cell r="B6" t="str">
            <v>5.0 C</v>
          </cell>
        </row>
      </sheetData>
      <sheetData sheetId="555">
        <row r="6">
          <cell r="B6" t="str">
            <v>5.0 C</v>
          </cell>
        </row>
      </sheetData>
      <sheetData sheetId="556">
        <row r="6">
          <cell r="B6" t="str">
            <v>5.0 C</v>
          </cell>
        </row>
      </sheetData>
      <sheetData sheetId="557">
        <row r="6">
          <cell r="B6" t="str">
            <v>5.0 C</v>
          </cell>
        </row>
      </sheetData>
      <sheetData sheetId="558">
        <row r="6">
          <cell r="B6" t="str">
            <v>5.0 C</v>
          </cell>
        </row>
      </sheetData>
      <sheetData sheetId="559">
        <row r="6">
          <cell r="B6" t="str">
            <v>5.0 C</v>
          </cell>
        </row>
      </sheetData>
      <sheetData sheetId="560">
        <row r="6">
          <cell r="B6" t="str">
            <v>5.0 C</v>
          </cell>
        </row>
      </sheetData>
      <sheetData sheetId="561">
        <row r="6">
          <cell r="B6" t="str">
            <v>5.0 C</v>
          </cell>
        </row>
      </sheetData>
      <sheetData sheetId="562">
        <row r="6">
          <cell r="B6" t="str">
            <v>5.0 C</v>
          </cell>
        </row>
      </sheetData>
      <sheetData sheetId="563">
        <row r="6">
          <cell r="B6" t="str">
            <v>5.0 C</v>
          </cell>
        </row>
      </sheetData>
      <sheetData sheetId="564">
        <row r="6">
          <cell r="B6" t="str">
            <v>5.0 C</v>
          </cell>
        </row>
      </sheetData>
      <sheetData sheetId="565">
        <row r="6">
          <cell r="B6" t="str">
            <v>5.0 C</v>
          </cell>
        </row>
      </sheetData>
      <sheetData sheetId="566">
        <row r="6">
          <cell r="B6" t="str">
            <v>5.0 C</v>
          </cell>
        </row>
      </sheetData>
      <sheetData sheetId="567">
        <row r="6">
          <cell r="B6" t="str">
            <v>5.0 C</v>
          </cell>
        </row>
      </sheetData>
      <sheetData sheetId="568">
        <row r="6">
          <cell r="B6" t="str">
            <v>5.0 C</v>
          </cell>
        </row>
      </sheetData>
      <sheetData sheetId="569">
        <row r="6">
          <cell r="B6" t="str">
            <v>5.0 C</v>
          </cell>
        </row>
      </sheetData>
      <sheetData sheetId="570">
        <row r="6">
          <cell r="B6" t="str">
            <v>5.0 C</v>
          </cell>
        </row>
      </sheetData>
      <sheetData sheetId="571">
        <row r="6">
          <cell r="B6" t="str">
            <v>5.0 C</v>
          </cell>
        </row>
      </sheetData>
      <sheetData sheetId="572">
        <row r="6">
          <cell r="B6" t="str">
            <v>5.0 C</v>
          </cell>
        </row>
      </sheetData>
      <sheetData sheetId="573">
        <row r="6">
          <cell r="B6" t="str">
            <v>5.0 C</v>
          </cell>
        </row>
      </sheetData>
      <sheetData sheetId="574">
        <row r="6">
          <cell r="B6" t="str">
            <v>5.0 C</v>
          </cell>
        </row>
      </sheetData>
      <sheetData sheetId="575">
        <row r="6">
          <cell r="B6" t="str">
            <v>5.0 C</v>
          </cell>
        </row>
      </sheetData>
      <sheetData sheetId="576">
        <row r="6">
          <cell r="B6" t="str">
            <v>5.0 C</v>
          </cell>
        </row>
      </sheetData>
      <sheetData sheetId="577">
        <row r="6">
          <cell r="B6" t="str">
            <v>5.0 C</v>
          </cell>
        </row>
      </sheetData>
      <sheetData sheetId="578">
        <row r="6">
          <cell r="B6" t="str">
            <v>5.0 C</v>
          </cell>
        </row>
      </sheetData>
      <sheetData sheetId="579">
        <row r="6">
          <cell r="B6" t="str">
            <v>5.0 C</v>
          </cell>
        </row>
      </sheetData>
      <sheetData sheetId="580">
        <row r="6">
          <cell r="B6" t="str">
            <v>5.0 C</v>
          </cell>
        </row>
      </sheetData>
      <sheetData sheetId="581">
        <row r="6">
          <cell r="B6" t="str">
            <v>5.0 C</v>
          </cell>
        </row>
      </sheetData>
      <sheetData sheetId="582">
        <row r="6">
          <cell r="B6" t="str">
            <v>5.0 C</v>
          </cell>
        </row>
      </sheetData>
      <sheetData sheetId="583">
        <row r="6">
          <cell r="B6" t="str">
            <v>5.0 C</v>
          </cell>
        </row>
      </sheetData>
      <sheetData sheetId="584">
        <row r="6">
          <cell r="B6" t="str">
            <v>5.0 C</v>
          </cell>
        </row>
      </sheetData>
      <sheetData sheetId="585">
        <row r="6">
          <cell r="B6" t="str">
            <v>5.0 C</v>
          </cell>
        </row>
      </sheetData>
      <sheetData sheetId="586">
        <row r="6">
          <cell r="B6" t="str">
            <v>5.0 C</v>
          </cell>
        </row>
      </sheetData>
      <sheetData sheetId="587">
        <row r="6">
          <cell r="B6" t="str">
            <v>5.0 C</v>
          </cell>
        </row>
      </sheetData>
      <sheetData sheetId="588">
        <row r="6">
          <cell r="B6" t="str">
            <v>5.0 C</v>
          </cell>
        </row>
      </sheetData>
      <sheetData sheetId="589">
        <row r="6">
          <cell r="B6" t="str">
            <v>5.0 C</v>
          </cell>
        </row>
      </sheetData>
      <sheetData sheetId="590">
        <row r="6">
          <cell r="B6" t="str">
            <v>5.0 C</v>
          </cell>
        </row>
      </sheetData>
      <sheetData sheetId="591">
        <row r="6">
          <cell r="B6" t="str">
            <v>5.0 C</v>
          </cell>
        </row>
      </sheetData>
      <sheetData sheetId="592">
        <row r="6">
          <cell r="B6" t="str">
            <v>5.0 C</v>
          </cell>
        </row>
      </sheetData>
      <sheetData sheetId="593">
        <row r="6">
          <cell r="B6" t="str">
            <v>5.0 C</v>
          </cell>
        </row>
      </sheetData>
      <sheetData sheetId="594">
        <row r="6">
          <cell r="B6" t="str">
            <v>5.0 C</v>
          </cell>
        </row>
      </sheetData>
      <sheetData sheetId="595">
        <row r="6">
          <cell r="B6" t="str">
            <v>5.0 C</v>
          </cell>
        </row>
      </sheetData>
      <sheetData sheetId="596">
        <row r="6">
          <cell r="B6" t="str">
            <v>5.0 C</v>
          </cell>
        </row>
      </sheetData>
      <sheetData sheetId="597">
        <row r="6">
          <cell r="B6" t="str">
            <v>5.0 C</v>
          </cell>
        </row>
      </sheetData>
      <sheetData sheetId="598">
        <row r="6">
          <cell r="B6" t="str">
            <v>5.0 C</v>
          </cell>
        </row>
      </sheetData>
      <sheetData sheetId="599">
        <row r="6">
          <cell r="B6" t="str">
            <v>5.0 C</v>
          </cell>
        </row>
      </sheetData>
      <sheetData sheetId="600">
        <row r="6">
          <cell r="B6" t="str">
            <v>5.0 C</v>
          </cell>
        </row>
      </sheetData>
      <sheetData sheetId="601">
        <row r="6">
          <cell r="B6" t="str">
            <v>5.0 C</v>
          </cell>
        </row>
      </sheetData>
      <sheetData sheetId="602">
        <row r="6">
          <cell r="B6" t="str">
            <v>5.0 C</v>
          </cell>
        </row>
      </sheetData>
      <sheetData sheetId="603">
        <row r="6">
          <cell r="B6" t="str">
            <v>5.0 C</v>
          </cell>
        </row>
      </sheetData>
      <sheetData sheetId="604">
        <row r="6">
          <cell r="B6" t="str">
            <v>5.0 C</v>
          </cell>
        </row>
      </sheetData>
      <sheetData sheetId="605">
        <row r="6">
          <cell r="B6" t="str">
            <v>5.0 C</v>
          </cell>
        </row>
      </sheetData>
      <sheetData sheetId="606">
        <row r="6">
          <cell r="B6" t="str">
            <v>5.0 C</v>
          </cell>
        </row>
      </sheetData>
      <sheetData sheetId="607">
        <row r="6">
          <cell r="B6" t="str">
            <v>5.0 C</v>
          </cell>
        </row>
      </sheetData>
      <sheetData sheetId="608">
        <row r="6">
          <cell r="B6" t="str">
            <v>5.0 C</v>
          </cell>
        </row>
      </sheetData>
      <sheetData sheetId="609">
        <row r="6">
          <cell r="B6" t="str">
            <v>5.0 C</v>
          </cell>
        </row>
      </sheetData>
      <sheetData sheetId="610">
        <row r="6">
          <cell r="B6" t="str">
            <v>5.0 C</v>
          </cell>
        </row>
      </sheetData>
      <sheetData sheetId="611">
        <row r="6">
          <cell r="B6" t="str">
            <v>5.0 C</v>
          </cell>
        </row>
      </sheetData>
      <sheetData sheetId="612">
        <row r="6">
          <cell r="B6" t="str">
            <v>5.0 C</v>
          </cell>
        </row>
      </sheetData>
      <sheetData sheetId="613">
        <row r="6">
          <cell r="B6" t="str">
            <v>5.0 C</v>
          </cell>
        </row>
      </sheetData>
      <sheetData sheetId="614">
        <row r="6">
          <cell r="B6" t="str">
            <v>5.0 C</v>
          </cell>
        </row>
      </sheetData>
      <sheetData sheetId="615">
        <row r="6">
          <cell r="B6" t="str">
            <v>5.0 C</v>
          </cell>
        </row>
      </sheetData>
      <sheetData sheetId="616">
        <row r="6">
          <cell r="B6" t="str">
            <v>5.0 C</v>
          </cell>
        </row>
      </sheetData>
      <sheetData sheetId="617">
        <row r="6">
          <cell r="B6" t="str">
            <v>5.0 C</v>
          </cell>
        </row>
      </sheetData>
      <sheetData sheetId="618">
        <row r="6">
          <cell r="B6" t="str">
            <v>5.0 C</v>
          </cell>
        </row>
      </sheetData>
      <sheetData sheetId="619">
        <row r="6">
          <cell r="B6" t="str">
            <v>5.0 C</v>
          </cell>
        </row>
      </sheetData>
      <sheetData sheetId="620">
        <row r="6">
          <cell r="B6" t="str">
            <v>5.0 C</v>
          </cell>
        </row>
      </sheetData>
      <sheetData sheetId="621">
        <row r="6">
          <cell r="B6" t="str">
            <v>5.0 C</v>
          </cell>
        </row>
      </sheetData>
      <sheetData sheetId="622">
        <row r="6">
          <cell r="B6" t="str">
            <v>5.0 C</v>
          </cell>
        </row>
      </sheetData>
      <sheetData sheetId="623">
        <row r="6">
          <cell r="B6" t="str">
            <v>5.0 C</v>
          </cell>
        </row>
      </sheetData>
      <sheetData sheetId="624">
        <row r="6">
          <cell r="B6" t="str">
            <v>5.0 C</v>
          </cell>
        </row>
      </sheetData>
      <sheetData sheetId="625">
        <row r="6">
          <cell r="B6" t="str">
            <v>5.0 C</v>
          </cell>
        </row>
      </sheetData>
      <sheetData sheetId="626">
        <row r="6">
          <cell r="B6" t="str">
            <v>5.0 C</v>
          </cell>
        </row>
      </sheetData>
      <sheetData sheetId="627">
        <row r="6">
          <cell r="B6" t="str">
            <v>5.0 C</v>
          </cell>
        </row>
      </sheetData>
      <sheetData sheetId="628">
        <row r="6">
          <cell r="B6" t="str">
            <v>5.0 C</v>
          </cell>
        </row>
      </sheetData>
      <sheetData sheetId="629">
        <row r="6">
          <cell r="B6" t="str">
            <v>5.0 C</v>
          </cell>
        </row>
      </sheetData>
      <sheetData sheetId="630">
        <row r="6">
          <cell r="B6" t="str">
            <v>5.0 C</v>
          </cell>
        </row>
      </sheetData>
      <sheetData sheetId="631">
        <row r="6">
          <cell r="B6" t="str">
            <v>5.0 C</v>
          </cell>
        </row>
      </sheetData>
      <sheetData sheetId="632">
        <row r="6">
          <cell r="B6" t="str">
            <v>5.0 C</v>
          </cell>
        </row>
      </sheetData>
      <sheetData sheetId="633">
        <row r="6">
          <cell r="B6" t="str">
            <v>5.0 C</v>
          </cell>
        </row>
      </sheetData>
      <sheetData sheetId="634">
        <row r="6">
          <cell r="B6" t="str">
            <v>5.0 C</v>
          </cell>
        </row>
      </sheetData>
      <sheetData sheetId="635">
        <row r="6">
          <cell r="B6" t="str">
            <v>5.0 C</v>
          </cell>
        </row>
      </sheetData>
      <sheetData sheetId="636">
        <row r="6">
          <cell r="B6" t="str">
            <v>5.0 C</v>
          </cell>
        </row>
      </sheetData>
      <sheetData sheetId="637">
        <row r="6">
          <cell r="B6" t="str">
            <v>5.0 C</v>
          </cell>
        </row>
      </sheetData>
      <sheetData sheetId="638">
        <row r="6">
          <cell r="B6" t="str">
            <v>5.0 C</v>
          </cell>
        </row>
      </sheetData>
      <sheetData sheetId="639">
        <row r="6">
          <cell r="B6" t="str">
            <v>5.0 C</v>
          </cell>
        </row>
      </sheetData>
      <sheetData sheetId="640">
        <row r="6">
          <cell r="B6" t="str">
            <v>5.0 C</v>
          </cell>
        </row>
      </sheetData>
      <sheetData sheetId="641">
        <row r="6">
          <cell r="B6" t="str">
            <v>5.0 C</v>
          </cell>
        </row>
      </sheetData>
      <sheetData sheetId="642">
        <row r="6">
          <cell r="B6" t="str">
            <v>5.0 C</v>
          </cell>
        </row>
      </sheetData>
      <sheetData sheetId="643">
        <row r="6">
          <cell r="B6" t="str">
            <v>5.0 C</v>
          </cell>
        </row>
      </sheetData>
      <sheetData sheetId="644">
        <row r="6">
          <cell r="B6" t="str">
            <v>5.0 C</v>
          </cell>
        </row>
      </sheetData>
      <sheetData sheetId="645">
        <row r="6">
          <cell r="B6" t="str">
            <v>5.0 C</v>
          </cell>
        </row>
      </sheetData>
      <sheetData sheetId="646">
        <row r="6">
          <cell r="B6" t="str">
            <v>5.0 C</v>
          </cell>
        </row>
      </sheetData>
      <sheetData sheetId="647">
        <row r="6">
          <cell r="B6" t="str">
            <v>5.0 C</v>
          </cell>
        </row>
      </sheetData>
      <sheetData sheetId="648">
        <row r="6">
          <cell r="B6" t="str">
            <v>5.0 C</v>
          </cell>
        </row>
      </sheetData>
      <sheetData sheetId="649">
        <row r="6">
          <cell r="B6" t="str">
            <v>5.0 C</v>
          </cell>
        </row>
      </sheetData>
      <sheetData sheetId="650">
        <row r="6">
          <cell r="B6" t="str">
            <v>5.0 C</v>
          </cell>
        </row>
      </sheetData>
      <sheetData sheetId="651">
        <row r="6">
          <cell r="B6" t="str">
            <v>5.0 C</v>
          </cell>
        </row>
      </sheetData>
      <sheetData sheetId="652">
        <row r="6">
          <cell r="B6" t="str">
            <v>5.0 C</v>
          </cell>
        </row>
      </sheetData>
      <sheetData sheetId="653">
        <row r="6">
          <cell r="B6" t="str">
            <v>5.0 C</v>
          </cell>
        </row>
      </sheetData>
      <sheetData sheetId="654">
        <row r="6">
          <cell r="B6" t="str">
            <v>5.0 C</v>
          </cell>
        </row>
      </sheetData>
      <sheetData sheetId="655">
        <row r="6">
          <cell r="B6" t="str">
            <v>5.0 C</v>
          </cell>
        </row>
      </sheetData>
      <sheetData sheetId="656">
        <row r="6">
          <cell r="B6" t="str">
            <v>5.0 C</v>
          </cell>
        </row>
      </sheetData>
      <sheetData sheetId="657">
        <row r="6">
          <cell r="B6" t="str">
            <v>5.0 C</v>
          </cell>
        </row>
      </sheetData>
      <sheetData sheetId="658">
        <row r="6">
          <cell r="B6" t="str">
            <v>5.0 C</v>
          </cell>
        </row>
      </sheetData>
      <sheetData sheetId="659">
        <row r="6">
          <cell r="B6" t="str">
            <v>5.0 C</v>
          </cell>
        </row>
      </sheetData>
      <sheetData sheetId="660">
        <row r="6">
          <cell r="B6" t="str">
            <v>5.0 C</v>
          </cell>
        </row>
      </sheetData>
      <sheetData sheetId="661">
        <row r="6">
          <cell r="B6" t="str">
            <v>5.0 C</v>
          </cell>
        </row>
      </sheetData>
      <sheetData sheetId="662">
        <row r="6">
          <cell r="B6" t="str">
            <v>5.0 C</v>
          </cell>
        </row>
      </sheetData>
      <sheetData sheetId="663">
        <row r="6">
          <cell r="B6" t="str">
            <v>5.0 C</v>
          </cell>
        </row>
      </sheetData>
      <sheetData sheetId="664">
        <row r="6">
          <cell r="B6" t="str">
            <v>5.0 C</v>
          </cell>
        </row>
      </sheetData>
      <sheetData sheetId="665">
        <row r="6">
          <cell r="B6" t="str">
            <v>5.0 C</v>
          </cell>
        </row>
      </sheetData>
      <sheetData sheetId="666">
        <row r="6">
          <cell r="B6" t="str">
            <v>5.0 C</v>
          </cell>
        </row>
      </sheetData>
      <sheetData sheetId="667">
        <row r="6">
          <cell r="B6" t="str">
            <v>5.0 C</v>
          </cell>
        </row>
      </sheetData>
      <sheetData sheetId="668">
        <row r="6">
          <cell r="B6" t="str">
            <v>5.0 C</v>
          </cell>
        </row>
      </sheetData>
      <sheetData sheetId="669">
        <row r="6">
          <cell r="B6" t="str">
            <v>5.0 C</v>
          </cell>
        </row>
      </sheetData>
      <sheetData sheetId="670">
        <row r="6">
          <cell r="B6" t="str">
            <v>5.0 C</v>
          </cell>
        </row>
      </sheetData>
      <sheetData sheetId="671">
        <row r="6">
          <cell r="B6" t="str">
            <v>5.0 C</v>
          </cell>
        </row>
      </sheetData>
      <sheetData sheetId="672">
        <row r="6">
          <cell r="B6" t="str">
            <v>5.0 C</v>
          </cell>
        </row>
      </sheetData>
      <sheetData sheetId="673">
        <row r="6">
          <cell r="B6" t="str">
            <v>5.0 C</v>
          </cell>
        </row>
      </sheetData>
      <sheetData sheetId="674">
        <row r="6">
          <cell r="B6" t="str">
            <v>5.0 C</v>
          </cell>
        </row>
      </sheetData>
      <sheetData sheetId="675">
        <row r="6">
          <cell r="B6" t="str">
            <v>5.0 C</v>
          </cell>
        </row>
      </sheetData>
      <sheetData sheetId="676">
        <row r="6">
          <cell r="B6" t="str">
            <v>5.0 C</v>
          </cell>
        </row>
      </sheetData>
      <sheetData sheetId="677">
        <row r="6">
          <cell r="B6" t="str">
            <v>5.0 C</v>
          </cell>
        </row>
      </sheetData>
      <sheetData sheetId="678">
        <row r="6">
          <cell r="B6" t="str">
            <v>5.0 C</v>
          </cell>
        </row>
      </sheetData>
      <sheetData sheetId="679">
        <row r="6">
          <cell r="B6" t="str">
            <v>5.0 C</v>
          </cell>
        </row>
      </sheetData>
      <sheetData sheetId="680">
        <row r="6">
          <cell r="B6" t="str">
            <v>5.0 C</v>
          </cell>
        </row>
      </sheetData>
      <sheetData sheetId="681">
        <row r="6">
          <cell r="B6" t="str">
            <v>5.0 C</v>
          </cell>
        </row>
      </sheetData>
      <sheetData sheetId="682">
        <row r="6">
          <cell r="B6" t="str">
            <v>5.0 C</v>
          </cell>
        </row>
      </sheetData>
      <sheetData sheetId="683">
        <row r="6">
          <cell r="B6" t="str">
            <v>5.0 C</v>
          </cell>
        </row>
      </sheetData>
      <sheetData sheetId="684">
        <row r="6">
          <cell r="B6" t="str">
            <v>5.0 C</v>
          </cell>
        </row>
      </sheetData>
      <sheetData sheetId="685">
        <row r="6">
          <cell r="B6" t="str">
            <v>5.0 C</v>
          </cell>
        </row>
      </sheetData>
      <sheetData sheetId="686">
        <row r="6">
          <cell r="B6" t="str">
            <v>5.0 C</v>
          </cell>
        </row>
      </sheetData>
      <sheetData sheetId="687">
        <row r="6">
          <cell r="B6" t="str">
            <v>5.0 C</v>
          </cell>
        </row>
      </sheetData>
      <sheetData sheetId="688">
        <row r="6">
          <cell r="B6" t="str">
            <v>5.0 C</v>
          </cell>
        </row>
      </sheetData>
      <sheetData sheetId="689">
        <row r="6">
          <cell r="B6" t="str">
            <v>5.0 C</v>
          </cell>
        </row>
      </sheetData>
      <sheetData sheetId="690">
        <row r="6">
          <cell r="B6" t="str">
            <v>5.0 C</v>
          </cell>
        </row>
      </sheetData>
      <sheetData sheetId="691">
        <row r="6">
          <cell r="B6" t="str">
            <v>5.0 C</v>
          </cell>
        </row>
      </sheetData>
      <sheetData sheetId="692">
        <row r="6">
          <cell r="B6" t="str">
            <v>5.0 C</v>
          </cell>
        </row>
      </sheetData>
      <sheetData sheetId="693">
        <row r="6">
          <cell r="B6" t="str">
            <v>5.0 C</v>
          </cell>
        </row>
      </sheetData>
      <sheetData sheetId="694">
        <row r="6">
          <cell r="B6" t="str">
            <v>5.0 C</v>
          </cell>
        </row>
      </sheetData>
      <sheetData sheetId="695">
        <row r="6">
          <cell r="B6" t="str">
            <v>5.0 C</v>
          </cell>
        </row>
      </sheetData>
      <sheetData sheetId="696">
        <row r="6">
          <cell r="B6" t="str">
            <v>5.0 C</v>
          </cell>
        </row>
      </sheetData>
      <sheetData sheetId="697">
        <row r="6">
          <cell r="B6" t="str">
            <v>5.0 C</v>
          </cell>
        </row>
      </sheetData>
      <sheetData sheetId="698">
        <row r="6">
          <cell r="B6" t="str">
            <v>5.0 C</v>
          </cell>
        </row>
      </sheetData>
      <sheetData sheetId="699">
        <row r="6">
          <cell r="B6" t="str">
            <v>5.0 C</v>
          </cell>
        </row>
      </sheetData>
      <sheetData sheetId="700">
        <row r="6">
          <cell r="B6" t="str">
            <v>5.0 C</v>
          </cell>
        </row>
      </sheetData>
      <sheetData sheetId="701">
        <row r="6">
          <cell r="B6" t="str">
            <v>5.0 C</v>
          </cell>
        </row>
      </sheetData>
      <sheetData sheetId="702">
        <row r="6">
          <cell r="B6" t="str">
            <v>5.0 C</v>
          </cell>
        </row>
      </sheetData>
      <sheetData sheetId="703">
        <row r="6">
          <cell r="B6" t="str">
            <v>5.0 C</v>
          </cell>
        </row>
      </sheetData>
      <sheetData sheetId="704">
        <row r="6">
          <cell r="B6" t="str">
            <v>5.0 C</v>
          </cell>
        </row>
      </sheetData>
      <sheetData sheetId="705">
        <row r="6">
          <cell r="B6" t="str">
            <v>5.0 C</v>
          </cell>
        </row>
      </sheetData>
      <sheetData sheetId="706">
        <row r="6">
          <cell r="B6" t="str">
            <v>5.0 C</v>
          </cell>
        </row>
      </sheetData>
      <sheetData sheetId="707">
        <row r="6">
          <cell r="B6" t="str">
            <v>5.0 C</v>
          </cell>
        </row>
      </sheetData>
      <sheetData sheetId="708">
        <row r="6">
          <cell r="B6" t="str">
            <v>5.0 C</v>
          </cell>
        </row>
      </sheetData>
      <sheetData sheetId="709">
        <row r="6">
          <cell r="B6" t="str">
            <v>5.0 C</v>
          </cell>
        </row>
      </sheetData>
      <sheetData sheetId="710">
        <row r="6">
          <cell r="B6" t="str">
            <v>5.0 C</v>
          </cell>
        </row>
      </sheetData>
      <sheetData sheetId="711">
        <row r="6">
          <cell r="B6" t="str">
            <v>5.0 C</v>
          </cell>
        </row>
      </sheetData>
      <sheetData sheetId="712">
        <row r="6">
          <cell r="B6" t="str">
            <v>5.0 C</v>
          </cell>
        </row>
      </sheetData>
      <sheetData sheetId="713">
        <row r="6">
          <cell r="B6" t="str">
            <v>5.0 C</v>
          </cell>
        </row>
      </sheetData>
      <sheetData sheetId="714">
        <row r="6">
          <cell r="B6" t="str">
            <v>5.0 C</v>
          </cell>
        </row>
      </sheetData>
      <sheetData sheetId="715">
        <row r="6">
          <cell r="B6" t="str">
            <v>5.0 C</v>
          </cell>
        </row>
      </sheetData>
      <sheetData sheetId="716">
        <row r="6">
          <cell r="B6" t="str">
            <v>5.0 C</v>
          </cell>
        </row>
      </sheetData>
      <sheetData sheetId="717">
        <row r="6">
          <cell r="B6" t="str">
            <v>5.0 C</v>
          </cell>
        </row>
      </sheetData>
      <sheetData sheetId="718">
        <row r="6">
          <cell r="B6" t="str">
            <v>5.0 C</v>
          </cell>
        </row>
      </sheetData>
      <sheetData sheetId="719">
        <row r="6">
          <cell r="B6" t="str">
            <v>5.0 C</v>
          </cell>
        </row>
      </sheetData>
      <sheetData sheetId="720">
        <row r="6">
          <cell r="B6" t="str">
            <v>5.0 C</v>
          </cell>
        </row>
      </sheetData>
      <sheetData sheetId="721">
        <row r="6">
          <cell r="B6" t="str">
            <v>5.0 C</v>
          </cell>
        </row>
      </sheetData>
      <sheetData sheetId="722">
        <row r="6">
          <cell r="B6" t="str">
            <v>5.0 C</v>
          </cell>
        </row>
      </sheetData>
      <sheetData sheetId="723">
        <row r="6">
          <cell r="B6" t="str">
            <v>5.0 C</v>
          </cell>
        </row>
      </sheetData>
      <sheetData sheetId="724">
        <row r="6">
          <cell r="B6" t="str">
            <v>5.0 C</v>
          </cell>
        </row>
      </sheetData>
      <sheetData sheetId="725">
        <row r="6">
          <cell r="B6" t="str">
            <v>5.0 C</v>
          </cell>
        </row>
      </sheetData>
      <sheetData sheetId="726">
        <row r="6">
          <cell r="B6" t="str">
            <v>5.0 C</v>
          </cell>
        </row>
      </sheetData>
      <sheetData sheetId="727">
        <row r="6">
          <cell r="B6" t="str">
            <v>5.0 C</v>
          </cell>
        </row>
      </sheetData>
      <sheetData sheetId="728">
        <row r="6">
          <cell r="B6" t="str">
            <v>5.0 C</v>
          </cell>
        </row>
      </sheetData>
      <sheetData sheetId="729">
        <row r="6">
          <cell r="B6" t="str">
            <v>5.0 C</v>
          </cell>
        </row>
      </sheetData>
      <sheetData sheetId="730">
        <row r="6">
          <cell r="B6" t="str">
            <v>5.0 C</v>
          </cell>
        </row>
      </sheetData>
      <sheetData sheetId="731">
        <row r="6">
          <cell r="B6" t="str">
            <v>5.0 C</v>
          </cell>
        </row>
      </sheetData>
      <sheetData sheetId="732">
        <row r="6">
          <cell r="B6" t="str">
            <v>5.0 C</v>
          </cell>
        </row>
      </sheetData>
      <sheetData sheetId="733">
        <row r="6">
          <cell r="B6" t="str">
            <v>5.0 C</v>
          </cell>
        </row>
      </sheetData>
      <sheetData sheetId="734">
        <row r="6">
          <cell r="B6" t="str">
            <v>5.0 C</v>
          </cell>
        </row>
      </sheetData>
      <sheetData sheetId="735">
        <row r="6">
          <cell r="B6" t="str">
            <v>5.0 C</v>
          </cell>
        </row>
      </sheetData>
      <sheetData sheetId="736">
        <row r="6">
          <cell r="B6" t="str">
            <v>5.0 C</v>
          </cell>
        </row>
      </sheetData>
      <sheetData sheetId="737">
        <row r="6">
          <cell r="B6" t="str">
            <v>5.0 C</v>
          </cell>
        </row>
      </sheetData>
      <sheetData sheetId="738">
        <row r="6">
          <cell r="B6" t="str">
            <v>5.0 C</v>
          </cell>
        </row>
      </sheetData>
      <sheetData sheetId="739">
        <row r="6">
          <cell r="B6" t="str">
            <v>5.0 C</v>
          </cell>
        </row>
      </sheetData>
      <sheetData sheetId="740">
        <row r="6">
          <cell r="B6" t="str">
            <v>5.0 C</v>
          </cell>
        </row>
      </sheetData>
      <sheetData sheetId="741">
        <row r="6">
          <cell r="B6" t="str">
            <v>5.0 C</v>
          </cell>
        </row>
      </sheetData>
      <sheetData sheetId="742">
        <row r="6">
          <cell r="B6" t="str">
            <v>5.0 C</v>
          </cell>
        </row>
      </sheetData>
      <sheetData sheetId="743">
        <row r="6">
          <cell r="B6" t="str">
            <v>5.0 C</v>
          </cell>
        </row>
      </sheetData>
      <sheetData sheetId="744">
        <row r="6">
          <cell r="B6" t="str">
            <v>5.0 C</v>
          </cell>
        </row>
      </sheetData>
      <sheetData sheetId="745">
        <row r="6">
          <cell r="B6" t="str">
            <v>5.0 C</v>
          </cell>
        </row>
      </sheetData>
      <sheetData sheetId="746">
        <row r="6">
          <cell r="B6" t="str">
            <v>5.0 C</v>
          </cell>
        </row>
      </sheetData>
      <sheetData sheetId="747">
        <row r="6">
          <cell r="B6" t="str">
            <v>5.0 C</v>
          </cell>
        </row>
      </sheetData>
      <sheetData sheetId="748">
        <row r="6">
          <cell r="B6" t="str">
            <v>5.0 C</v>
          </cell>
        </row>
      </sheetData>
      <sheetData sheetId="749">
        <row r="6">
          <cell r="B6" t="str">
            <v>5.0 C</v>
          </cell>
        </row>
      </sheetData>
      <sheetData sheetId="750">
        <row r="6">
          <cell r="B6" t="str">
            <v>5.0 C</v>
          </cell>
        </row>
      </sheetData>
      <sheetData sheetId="751">
        <row r="6">
          <cell r="B6" t="str">
            <v>5.0 C</v>
          </cell>
        </row>
      </sheetData>
      <sheetData sheetId="752">
        <row r="6">
          <cell r="B6" t="str">
            <v>5.0 C</v>
          </cell>
        </row>
      </sheetData>
      <sheetData sheetId="753">
        <row r="6">
          <cell r="B6" t="str">
            <v>5.0 C</v>
          </cell>
        </row>
      </sheetData>
      <sheetData sheetId="754">
        <row r="6">
          <cell r="B6" t="str">
            <v>5.0 C</v>
          </cell>
        </row>
      </sheetData>
      <sheetData sheetId="755">
        <row r="6">
          <cell r="B6" t="str">
            <v>5.0 C</v>
          </cell>
        </row>
      </sheetData>
      <sheetData sheetId="756">
        <row r="6">
          <cell r="B6" t="str">
            <v>5.0 C</v>
          </cell>
        </row>
      </sheetData>
      <sheetData sheetId="757">
        <row r="6">
          <cell r="B6" t="str">
            <v>5.0 C</v>
          </cell>
        </row>
      </sheetData>
      <sheetData sheetId="758">
        <row r="6">
          <cell r="B6" t="str">
            <v>5.0 C</v>
          </cell>
        </row>
      </sheetData>
      <sheetData sheetId="759">
        <row r="6">
          <cell r="B6" t="str">
            <v>5.0 C</v>
          </cell>
        </row>
      </sheetData>
      <sheetData sheetId="760">
        <row r="6">
          <cell r="B6" t="str">
            <v>5.0 C</v>
          </cell>
        </row>
      </sheetData>
      <sheetData sheetId="761">
        <row r="6">
          <cell r="B6" t="str">
            <v>5.0 C</v>
          </cell>
        </row>
      </sheetData>
      <sheetData sheetId="762">
        <row r="6">
          <cell r="B6" t="str">
            <v>5.0 C</v>
          </cell>
        </row>
      </sheetData>
      <sheetData sheetId="763">
        <row r="6">
          <cell r="B6" t="str">
            <v>5.0 C</v>
          </cell>
        </row>
      </sheetData>
      <sheetData sheetId="764">
        <row r="6">
          <cell r="B6" t="str">
            <v>5.0 C</v>
          </cell>
        </row>
      </sheetData>
      <sheetData sheetId="765">
        <row r="6">
          <cell r="B6" t="str">
            <v>5.0 C</v>
          </cell>
        </row>
      </sheetData>
      <sheetData sheetId="766">
        <row r="6">
          <cell r="B6" t="str">
            <v>5.0 C</v>
          </cell>
        </row>
      </sheetData>
      <sheetData sheetId="767">
        <row r="6">
          <cell r="B6" t="str">
            <v>5.0 C</v>
          </cell>
        </row>
      </sheetData>
      <sheetData sheetId="768">
        <row r="6">
          <cell r="B6" t="str">
            <v>5.0 C</v>
          </cell>
        </row>
      </sheetData>
      <sheetData sheetId="769">
        <row r="6">
          <cell r="B6" t="e">
            <v>#REF!</v>
          </cell>
        </row>
      </sheetData>
      <sheetData sheetId="770">
        <row r="6">
          <cell r="B6" t="str">
            <v>5.0 C</v>
          </cell>
        </row>
      </sheetData>
      <sheetData sheetId="771">
        <row r="6">
          <cell r="B6" t="str">
            <v>5.0 C</v>
          </cell>
        </row>
      </sheetData>
      <sheetData sheetId="772">
        <row r="6">
          <cell r="B6" t="str">
            <v>5.0 C</v>
          </cell>
        </row>
      </sheetData>
      <sheetData sheetId="773">
        <row r="6">
          <cell r="B6" t="str">
            <v>5.0 C</v>
          </cell>
        </row>
      </sheetData>
      <sheetData sheetId="774">
        <row r="6">
          <cell r="B6" t="str">
            <v>5.0 C</v>
          </cell>
        </row>
      </sheetData>
      <sheetData sheetId="775">
        <row r="6">
          <cell r="B6" t="str">
            <v>5.0 C</v>
          </cell>
        </row>
      </sheetData>
      <sheetData sheetId="776">
        <row r="6">
          <cell r="B6" t="str">
            <v>5.0 C</v>
          </cell>
        </row>
      </sheetData>
      <sheetData sheetId="777">
        <row r="6">
          <cell r="B6" t="str">
            <v>5.0 C</v>
          </cell>
        </row>
      </sheetData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6">
          <cell r="B6" t="str">
            <v>5.0 C</v>
          </cell>
        </row>
      </sheetData>
      <sheetData sheetId="792">
        <row r="6">
          <cell r="B6" t="str">
            <v>5.0 C</v>
          </cell>
        </row>
      </sheetData>
      <sheetData sheetId="793">
        <row r="6">
          <cell r="B6">
            <v>0</v>
          </cell>
        </row>
      </sheetData>
      <sheetData sheetId="794">
        <row r="6">
          <cell r="B6">
            <v>0</v>
          </cell>
        </row>
      </sheetData>
      <sheetData sheetId="795">
        <row r="6">
          <cell r="B6">
            <v>0</v>
          </cell>
        </row>
      </sheetData>
      <sheetData sheetId="796">
        <row r="6">
          <cell r="B6">
            <v>0</v>
          </cell>
        </row>
      </sheetData>
      <sheetData sheetId="797">
        <row r="6">
          <cell r="B6">
            <v>0</v>
          </cell>
        </row>
      </sheetData>
      <sheetData sheetId="798">
        <row r="6">
          <cell r="B6"/>
        </row>
      </sheetData>
      <sheetData sheetId="799">
        <row r="6">
          <cell r="B6"/>
        </row>
      </sheetData>
      <sheetData sheetId="800">
        <row r="6">
          <cell r="B6"/>
        </row>
      </sheetData>
      <sheetData sheetId="801">
        <row r="6">
          <cell r="B6"/>
        </row>
      </sheetData>
      <sheetData sheetId="802">
        <row r="6">
          <cell r="B6"/>
        </row>
      </sheetData>
      <sheetData sheetId="803">
        <row r="6">
          <cell r="B6">
            <v>0</v>
          </cell>
        </row>
      </sheetData>
      <sheetData sheetId="804">
        <row r="6">
          <cell r="B6">
            <v>0</v>
          </cell>
        </row>
      </sheetData>
      <sheetData sheetId="805">
        <row r="6">
          <cell r="B6">
            <v>0</v>
          </cell>
        </row>
      </sheetData>
      <sheetData sheetId="806">
        <row r="6">
          <cell r="B6">
            <v>0</v>
          </cell>
        </row>
      </sheetData>
      <sheetData sheetId="807">
        <row r="6">
          <cell r="B6">
            <v>0</v>
          </cell>
        </row>
      </sheetData>
      <sheetData sheetId="808">
        <row r="6">
          <cell r="B6">
            <v>0</v>
          </cell>
        </row>
      </sheetData>
      <sheetData sheetId="809">
        <row r="6">
          <cell r="B6">
            <v>0</v>
          </cell>
        </row>
      </sheetData>
      <sheetData sheetId="810">
        <row r="6">
          <cell r="B6">
            <v>0</v>
          </cell>
        </row>
      </sheetData>
      <sheetData sheetId="811">
        <row r="6">
          <cell r="B6">
            <v>0</v>
          </cell>
        </row>
      </sheetData>
      <sheetData sheetId="812">
        <row r="6">
          <cell r="B6">
            <v>0</v>
          </cell>
        </row>
      </sheetData>
      <sheetData sheetId="813">
        <row r="6">
          <cell r="B6">
            <v>0</v>
          </cell>
        </row>
      </sheetData>
      <sheetData sheetId="814">
        <row r="6">
          <cell r="B6">
            <v>0</v>
          </cell>
        </row>
      </sheetData>
      <sheetData sheetId="815">
        <row r="6">
          <cell r="B6">
            <v>0</v>
          </cell>
        </row>
      </sheetData>
      <sheetData sheetId="816">
        <row r="6">
          <cell r="B6"/>
        </row>
      </sheetData>
      <sheetData sheetId="817">
        <row r="6">
          <cell r="B6"/>
        </row>
      </sheetData>
      <sheetData sheetId="818">
        <row r="6">
          <cell r="B6"/>
        </row>
      </sheetData>
      <sheetData sheetId="819">
        <row r="6">
          <cell r="B6"/>
        </row>
      </sheetData>
      <sheetData sheetId="820">
        <row r="6">
          <cell r="B6"/>
        </row>
      </sheetData>
      <sheetData sheetId="821">
        <row r="6">
          <cell r="B6" t="str">
            <v>5.0 C</v>
          </cell>
        </row>
      </sheetData>
      <sheetData sheetId="822">
        <row r="6">
          <cell r="B6"/>
        </row>
      </sheetData>
      <sheetData sheetId="823">
        <row r="6">
          <cell r="B6" t="str">
            <v>5.0 C</v>
          </cell>
        </row>
      </sheetData>
      <sheetData sheetId="824">
        <row r="6">
          <cell r="B6"/>
        </row>
      </sheetData>
      <sheetData sheetId="825">
        <row r="6">
          <cell r="B6"/>
        </row>
      </sheetData>
      <sheetData sheetId="826">
        <row r="6">
          <cell r="B6" t="str">
            <v>5.0 C</v>
          </cell>
        </row>
      </sheetData>
      <sheetData sheetId="827">
        <row r="6">
          <cell r="B6"/>
        </row>
      </sheetData>
      <sheetData sheetId="828">
        <row r="6">
          <cell r="B6"/>
        </row>
      </sheetData>
      <sheetData sheetId="829">
        <row r="6">
          <cell r="B6">
            <v>0</v>
          </cell>
        </row>
      </sheetData>
      <sheetData sheetId="830">
        <row r="6">
          <cell r="B6">
            <v>0</v>
          </cell>
        </row>
      </sheetData>
      <sheetData sheetId="831">
        <row r="6">
          <cell r="B6" t="str">
            <v>5.0 C</v>
          </cell>
        </row>
      </sheetData>
      <sheetData sheetId="832">
        <row r="6">
          <cell r="B6">
            <v>0</v>
          </cell>
        </row>
      </sheetData>
      <sheetData sheetId="833">
        <row r="6">
          <cell r="B6">
            <v>0</v>
          </cell>
        </row>
      </sheetData>
      <sheetData sheetId="834">
        <row r="6">
          <cell r="B6">
            <v>0</v>
          </cell>
        </row>
      </sheetData>
      <sheetData sheetId="835">
        <row r="6">
          <cell r="B6" t="str">
            <v>5.0 C</v>
          </cell>
        </row>
      </sheetData>
      <sheetData sheetId="836">
        <row r="6">
          <cell r="B6" t="str">
            <v>5.0 C</v>
          </cell>
        </row>
      </sheetData>
      <sheetData sheetId="837">
        <row r="6">
          <cell r="B6" t="str">
            <v>5.0 C</v>
          </cell>
        </row>
      </sheetData>
      <sheetData sheetId="838">
        <row r="6">
          <cell r="B6" t="str">
            <v>5.0 C</v>
          </cell>
        </row>
      </sheetData>
      <sheetData sheetId="839">
        <row r="6">
          <cell r="B6" t="str">
            <v>5.0 C</v>
          </cell>
        </row>
      </sheetData>
      <sheetData sheetId="840">
        <row r="6">
          <cell r="B6" t="str">
            <v>5.0 C</v>
          </cell>
        </row>
      </sheetData>
      <sheetData sheetId="841">
        <row r="6">
          <cell r="B6" t="str">
            <v>5.0 C</v>
          </cell>
        </row>
      </sheetData>
      <sheetData sheetId="842">
        <row r="6">
          <cell r="B6" t="str">
            <v>5.0 C</v>
          </cell>
        </row>
      </sheetData>
      <sheetData sheetId="843">
        <row r="6">
          <cell r="B6" t="str">
            <v>5.0 C</v>
          </cell>
        </row>
      </sheetData>
      <sheetData sheetId="844">
        <row r="6">
          <cell r="B6">
            <v>0</v>
          </cell>
        </row>
      </sheetData>
      <sheetData sheetId="845">
        <row r="6">
          <cell r="B6">
            <v>0</v>
          </cell>
        </row>
      </sheetData>
      <sheetData sheetId="846">
        <row r="6">
          <cell r="B6">
            <v>0</v>
          </cell>
        </row>
      </sheetData>
      <sheetData sheetId="847">
        <row r="6">
          <cell r="B6">
            <v>0</v>
          </cell>
        </row>
      </sheetData>
      <sheetData sheetId="848">
        <row r="6">
          <cell r="B6">
            <v>0</v>
          </cell>
        </row>
      </sheetData>
      <sheetData sheetId="849">
        <row r="6">
          <cell r="B6"/>
        </row>
      </sheetData>
      <sheetData sheetId="850">
        <row r="6">
          <cell r="B6"/>
        </row>
      </sheetData>
      <sheetData sheetId="851">
        <row r="6">
          <cell r="B6"/>
        </row>
      </sheetData>
      <sheetData sheetId="852">
        <row r="6">
          <cell r="B6"/>
        </row>
      </sheetData>
      <sheetData sheetId="853">
        <row r="6">
          <cell r="B6"/>
        </row>
      </sheetData>
      <sheetData sheetId="854">
        <row r="6">
          <cell r="B6">
            <v>0</v>
          </cell>
        </row>
      </sheetData>
      <sheetData sheetId="855">
        <row r="6">
          <cell r="B6">
            <v>0</v>
          </cell>
        </row>
      </sheetData>
      <sheetData sheetId="856">
        <row r="6">
          <cell r="B6">
            <v>0</v>
          </cell>
        </row>
      </sheetData>
      <sheetData sheetId="857">
        <row r="6">
          <cell r="B6">
            <v>0</v>
          </cell>
        </row>
      </sheetData>
      <sheetData sheetId="858">
        <row r="6">
          <cell r="B6">
            <v>0</v>
          </cell>
        </row>
      </sheetData>
      <sheetData sheetId="859">
        <row r="6">
          <cell r="B6">
            <v>0</v>
          </cell>
        </row>
      </sheetData>
      <sheetData sheetId="860">
        <row r="6">
          <cell r="B6">
            <v>0</v>
          </cell>
        </row>
      </sheetData>
      <sheetData sheetId="861">
        <row r="6">
          <cell r="B6">
            <v>0</v>
          </cell>
        </row>
      </sheetData>
      <sheetData sheetId="862">
        <row r="6">
          <cell r="B6">
            <v>0</v>
          </cell>
        </row>
      </sheetData>
      <sheetData sheetId="863">
        <row r="6">
          <cell r="B6">
            <v>0</v>
          </cell>
        </row>
      </sheetData>
      <sheetData sheetId="864">
        <row r="6">
          <cell r="B6">
            <v>0</v>
          </cell>
        </row>
      </sheetData>
      <sheetData sheetId="865">
        <row r="6">
          <cell r="B6">
            <v>0</v>
          </cell>
        </row>
      </sheetData>
      <sheetData sheetId="866">
        <row r="6">
          <cell r="B6">
            <v>0</v>
          </cell>
        </row>
      </sheetData>
      <sheetData sheetId="867">
        <row r="6">
          <cell r="B6"/>
        </row>
      </sheetData>
      <sheetData sheetId="868">
        <row r="6">
          <cell r="B6"/>
        </row>
      </sheetData>
      <sheetData sheetId="869">
        <row r="6">
          <cell r="B6"/>
        </row>
      </sheetData>
      <sheetData sheetId="870">
        <row r="6">
          <cell r="B6"/>
        </row>
      </sheetData>
      <sheetData sheetId="871">
        <row r="6">
          <cell r="B6"/>
        </row>
      </sheetData>
      <sheetData sheetId="872">
        <row r="6">
          <cell r="B6" t="str">
            <v>5.0 C</v>
          </cell>
        </row>
      </sheetData>
      <sheetData sheetId="873">
        <row r="6">
          <cell r="B6"/>
        </row>
      </sheetData>
      <sheetData sheetId="874">
        <row r="6">
          <cell r="B6" t="str">
            <v>5.0 C</v>
          </cell>
        </row>
      </sheetData>
      <sheetData sheetId="875">
        <row r="6">
          <cell r="B6"/>
        </row>
      </sheetData>
      <sheetData sheetId="876">
        <row r="6">
          <cell r="B6"/>
        </row>
      </sheetData>
      <sheetData sheetId="877">
        <row r="6">
          <cell r="B6" t="str">
            <v>5.0 C</v>
          </cell>
        </row>
      </sheetData>
      <sheetData sheetId="878">
        <row r="6">
          <cell r="B6"/>
        </row>
      </sheetData>
      <sheetData sheetId="879">
        <row r="6">
          <cell r="B6"/>
        </row>
      </sheetData>
      <sheetData sheetId="880">
        <row r="6">
          <cell r="B6">
            <v>0</v>
          </cell>
        </row>
      </sheetData>
      <sheetData sheetId="881">
        <row r="6">
          <cell r="B6">
            <v>0</v>
          </cell>
        </row>
      </sheetData>
      <sheetData sheetId="882">
        <row r="6">
          <cell r="B6" t="str">
            <v>5.0 C</v>
          </cell>
        </row>
      </sheetData>
      <sheetData sheetId="883">
        <row r="6">
          <cell r="B6">
            <v>0</v>
          </cell>
        </row>
      </sheetData>
      <sheetData sheetId="884">
        <row r="6">
          <cell r="B6">
            <v>0</v>
          </cell>
        </row>
      </sheetData>
      <sheetData sheetId="885">
        <row r="6">
          <cell r="B6">
            <v>0</v>
          </cell>
        </row>
      </sheetData>
      <sheetData sheetId="886">
        <row r="6">
          <cell r="B6" t="str">
            <v>5.0 C</v>
          </cell>
        </row>
      </sheetData>
      <sheetData sheetId="887">
        <row r="6">
          <cell r="B6" t="str">
            <v>5.0 C</v>
          </cell>
        </row>
      </sheetData>
      <sheetData sheetId="888">
        <row r="6">
          <cell r="B6" t="str">
            <v>5.0 C</v>
          </cell>
        </row>
      </sheetData>
      <sheetData sheetId="889">
        <row r="6">
          <cell r="B6" t="str">
            <v>5.0 C</v>
          </cell>
        </row>
      </sheetData>
      <sheetData sheetId="890">
        <row r="6">
          <cell r="B6" t="str">
            <v>5.0 C</v>
          </cell>
        </row>
      </sheetData>
      <sheetData sheetId="891">
        <row r="6">
          <cell r="B6" t="str">
            <v>5.0 C</v>
          </cell>
        </row>
      </sheetData>
      <sheetData sheetId="892">
        <row r="6">
          <cell r="B6" t="str">
            <v>5.0 C</v>
          </cell>
        </row>
      </sheetData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 PPH"/>
      <sheetName val="Technology List"/>
      <sheetName val="Efficiency - Overall Factory"/>
      <sheetName val="Efficiency - Top Models"/>
      <sheetName val="Efficiency - Labor Count"/>
      <sheetName val="List"/>
      <sheetName val="PROCESS BOTTLENECK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Sourcing</v>
          </cell>
          <cell r="C3" t="str">
            <v>EP</v>
          </cell>
          <cell r="D3" t="str">
            <v>EVA</v>
          </cell>
          <cell r="E3" t="str">
            <v>adidas</v>
          </cell>
          <cell r="F3" t="str">
            <v>Football</v>
          </cell>
        </row>
        <row r="4">
          <cell r="C4" t="str">
            <v>SPG</v>
          </cell>
          <cell r="D4" t="str">
            <v>SGC</v>
          </cell>
          <cell r="E4" t="str">
            <v>Reebok</v>
          </cell>
          <cell r="F4" t="str">
            <v>Running/outdoor</v>
          </cell>
        </row>
        <row r="5">
          <cell r="C5" t="str">
            <v>PWI</v>
          </cell>
          <cell r="D5" t="str">
            <v>EVM / EMG</v>
          </cell>
          <cell r="E5" t="str">
            <v>NEO</v>
          </cell>
          <cell r="F5" t="str">
            <v>Basketball</v>
          </cell>
        </row>
        <row r="6">
          <cell r="C6" t="str">
            <v>HSG</v>
          </cell>
          <cell r="D6" t="str">
            <v>HWA</v>
          </cell>
          <cell r="F6" t="str">
            <v>Training</v>
          </cell>
        </row>
        <row r="7">
          <cell r="C7" t="str">
            <v>LY</v>
          </cell>
          <cell r="D7" t="str">
            <v>HWR</v>
          </cell>
          <cell r="F7" t="str">
            <v>HBS</v>
          </cell>
        </row>
        <row r="8">
          <cell r="C8" t="str">
            <v>PCG</v>
          </cell>
          <cell r="D8" t="str">
            <v>LYV</v>
          </cell>
          <cell r="F8" t="str">
            <v>original/style</v>
          </cell>
        </row>
        <row r="9">
          <cell r="C9" t="str">
            <v>SHW</v>
          </cell>
          <cell r="D9" t="str">
            <v>LVL</v>
          </cell>
          <cell r="F9" t="str">
            <v>Golf</v>
          </cell>
        </row>
        <row r="10">
          <cell r="C10" t="str">
            <v>CLG</v>
          </cell>
          <cell r="D10" t="str">
            <v>LHG</v>
          </cell>
          <cell r="F10" t="str">
            <v>Running</v>
          </cell>
        </row>
        <row r="11">
          <cell r="C11" t="str">
            <v>Apache</v>
          </cell>
          <cell r="D11" t="str">
            <v>PYV</v>
          </cell>
          <cell r="F11" t="str">
            <v>Training</v>
          </cell>
        </row>
        <row r="12">
          <cell r="C12" t="str">
            <v>HSG</v>
          </cell>
          <cell r="D12" t="str">
            <v>PVN</v>
          </cell>
          <cell r="F12" t="str">
            <v>Outdoor/casual</v>
          </cell>
        </row>
        <row r="13">
          <cell r="C13" t="str">
            <v>SMA</v>
          </cell>
          <cell r="D13" t="str">
            <v>SHW</v>
          </cell>
          <cell r="F13" t="str">
            <v>Studio</v>
          </cell>
        </row>
        <row r="14">
          <cell r="D14" t="str">
            <v>SPG</v>
          </cell>
          <cell r="F14" t="str">
            <v>Lifestyle</v>
          </cell>
        </row>
        <row r="15">
          <cell r="D15" t="str">
            <v>CLN</v>
          </cell>
          <cell r="F15" t="str">
            <v>Kids</v>
          </cell>
        </row>
        <row r="16">
          <cell r="D16" t="str">
            <v>APE</v>
          </cell>
          <cell r="F16" t="str">
            <v>SKYSCAPE</v>
          </cell>
        </row>
        <row r="17">
          <cell r="D17" t="str">
            <v>CLU</v>
          </cell>
          <cell r="F17" t="str">
            <v>Value</v>
          </cell>
        </row>
        <row r="18">
          <cell r="D18" t="str">
            <v>FLU</v>
          </cell>
          <cell r="F18" t="str">
            <v>Classic</v>
          </cell>
        </row>
        <row r="19">
          <cell r="D19" t="str">
            <v>EVH / EVV</v>
          </cell>
          <cell r="F19" t="str">
            <v>Technical Running</v>
          </cell>
        </row>
        <row r="20">
          <cell r="D20" t="str">
            <v>EVN / EVG / EVO</v>
          </cell>
        </row>
        <row r="21">
          <cell r="D21" t="str">
            <v>HSD</v>
          </cell>
        </row>
        <row r="22">
          <cell r="D22" t="str">
            <v>YYJ</v>
          </cell>
        </row>
        <row r="23">
          <cell r="D23" t="str">
            <v>YYZ</v>
          </cell>
        </row>
        <row r="24">
          <cell r="D24" t="str">
            <v>YYA</v>
          </cell>
        </row>
        <row r="25">
          <cell r="D25" t="str">
            <v>PYE</v>
          </cell>
        </row>
        <row r="26">
          <cell r="D26" t="str">
            <v>APC</v>
          </cell>
        </row>
        <row r="27">
          <cell r="D27" t="str">
            <v>CLI</v>
          </cell>
        </row>
        <row r="28">
          <cell r="D28" t="str">
            <v>PRB / PBO</v>
          </cell>
        </row>
        <row r="29">
          <cell r="D29" t="str">
            <v>PYI / PYD</v>
          </cell>
        </row>
        <row r="30">
          <cell r="D30" t="str">
            <v>PCI / PCV</v>
          </cell>
        </row>
        <row r="31">
          <cell r="D31" t="str">
            <v>PGS</v>
          </cell>
        </row>
        <row r="32">
          <cell r="D32" t="str">
            <v>PWI / PWV</v>
          </cell>
        </row>
        <row r="33">
          <cell r="D33" t="str">
            <v>SY2</v>
          </cell>
        </row>
        <row r="34">
          <cell r="D34" t="str">
            <v>SMA</v>
          </cell>
        </row>
        <row r="35">
          <cell r="D35" t="str">
            <v>APH</v>
          </cell>
        </row>
        <row r="36">
          <cell r="D36" t="str">
            <v>SHM</v>
          </cell>
        </row>
        <row r="37">
          <cell r="D37" t="str">
            <v>SHD</v>
          </cell>
        </row>
        <row r="38">
          <cell r="D38" t="str">
            <v>SPA</v>
          </cell>
        </row>
        <row r="39">
          <cell r="D39" t="str">
            <v>LYM</v>
          </cell>
        </row>
        <row r="40">
          <cell r="D40" t="str">
            <v>PMA</v>
          </cell>
        </row>
      </sheetData>
      <sheetData sheetId="6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 PPH"/>
      <sheetName val="Technology List"/>
      <sheetName val="Efficiency - Overall Factory"/>
      <sheetName val="Efficiency - Top Models"/>
      <sheetName val="Efficiency - Labor Count"/>
      <sheetName val="List"/>
      <sheetName val="PROCESS BOTTLENECK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Sourcing</v>
          </cell>
          <cell r="C3" t="str">
            <v>EP</v>
          </cell>
          <cell r="D3" t="str">
            <v>EVA</v>
          </cell>
          <cell r="E3" t="str">
            <v>adidas</v>
          </cell>
          <cell r="F3" t="str">
            <v>Football</v>
          </cell>
        </row>
        <row r="4">
          <cell r="C4" t="str">
            <v>SPG</v>
          </cell>
          <cell r="D4" t="str">
            <v>SGC</v>
          </cell>
          <cell r="E4" t="str">
            <v>Reebok</v>
          </cell>
          <cell r="F4" t="str">
            <v>Running/outdoor</v>
          </cell>
        </row>
        <row r="5">
          <cell r="C5" t="str">
            <v>PWI</v>
          </cell>
          <cell r="D5" t="str">
            <v>EVM / EMG</v>
          </cell>
          <cell r="E5" t="str">
            <v>NEO</v>
          </cell>
          <cell r="F5" t="str">
            <v>Basketball</v>
          </cell>
        </row>
        <row r="6">
          <cell r="C6" t="str">
            <v>HSG</v>
          </cell>
          <cell r="D6" t="str">
            <v>HWA</v>
          </cell>
          <cell r="F6" t="str">
            <v>Training</v>
          </cell>
        </row>
        <row r="7">
          <cell r="C7" t="str">
            <v>LY</v>
          </cell>
          <cell r="D7" t="str">
            <v>HWR</v>
          </cell>
          <cell r="F7" t="str">
            <v>HBS</v>
          </cell>
        </row>
        <row r="8">
          <cell r="C8" t="str">
            <v>PCG</v>
          </cell>
          <cell r="D8" t="str">
            <v>LYV</v>
          </cell>
          <cell r="F8" t="str">
            <v>original/style</v>
          </cell>
        </row>
        <row r="9">
          <cell r="C9" t="str">
            <v>SHW</v>
          </cell>
          <cell r="D9" t="str">
            <v>LVL</v>
          </cell>
          <cell r="F9" t="str">
            <v>Golf</v>
          </cell>
        </row>
        <row r="10">
          <cell r="C10" t="str">
            <v>CLG</v>
          </cell>
          <cell r="D10" t="str">
            <v>LHG</v>
          </cell>
          <cell r="F10" t="str">
            <v>Running</v>
          </cell>
        </row>
        <row r="11">
          <cell r="C11" t="str">
            <v>Apache</v>
          </cell>
          <cell r="D11" t="str">
            <v>PYV</v>
          </cell>
          <cell r="F11" t="str">
            <v>Training</v>
          </cell>
        </row>
        <row r="12">
          <cell r="C12" t="str">
            <v>HSG</v>
          </cell>
          <cell r="D12" t="str">
            <v>PVN</v>
          </cell>
          <cell r="F12" t="str">
            <v>Outdoor/casual</v>
          </cell>
        </row>
        <row r="13">
          <cell r="C13" t="str">
            <v>SMA</v>
          </cell>
          <cell r="D13" t="str">
            <v>SHW</v>
          </cell>
          <cell r="F13" t="str">
            <v>Studio</v>
          </cell>
        </row>
        <row r="14">
          <cell r="D14" t="str">
            <v>SPG</v>
          </cell>
          <cell r="F14" t="str">
            <v>Lifestyle</v>
          </cell>
        </row>
        <row r="15">
          <cell r="D15" t="str">
            <v>CLN</v>
          </cell>
          <cell r="F15" t="str">
            <v>Kids</v>
          </cell>
        </row>
        <row r="16">
          <cell r="D16" t="str">
            <v>APE</v>
          </cell>
          <cell r="F16" t="str">
            <v>SKYSCAPE</v>
          </cell>
        </row>
        <row r="17">
          <cell r="D17" t="str">
            <v>CLU</v>
          </cell>
          <cell r="F17" t="str">
            <v>Value</v>
          </cell>
        </row>
        <row r="18">
          <cell r="D18" t="str">
            <v>FLU</v>
          </cell>
          <cell r="F18" t="str">
            <v>Classic</v>
          </cell>
        </row>
        <row r="19">
          <cell r="D19" t="str">
            <v>EVH / EVV</v>
          </cell>
          <cell r="F19" t="str">
            <v>Technical Running</v>
          </cell>
        </row>
        <row r="20">
          <cell r="D20" t="str">
            <v>EVN / EVG / EVO</v>
          </cell>
        </row>
        <row r="21">
          <cell r="D21" t="str">
            <v>HSD</v>
          </cell>
        </row>
        <row r="22">
          <cell r="D22" t="str">
            <v>YYJ</v>
          </cell>
        </row>
        <row r="23">
          <cell r="D23" t="str">
            <v>YYZ</v>
          </cell>
        </row>
        <row r="24">
          <cell r="D24" t="str">
            <v>YYA</v>
          </cell>
        </row>
        <row r="25">
          <cell r="D25" t="str">
            <v>PYE</v>
          </cell>
        </row>
        <row r="26">
          <cell r="D26" t="str">
            <v>APC</v>
          </cell>
        </row>
        <row r="27">
          <cell r="D27" t="str">
            <v>CLI</v>
          </cell>
        </row>
        <row r="28">
          <cell r="D28" t="str">
            <v>PRB / PBO</v>
          </cell>
        </row>
        <row r="29">
          <cell r="D29" t="str">
            <v>PYI / PYD</v>
          </cell>
        </row>
        <row r="30">
          <cell r="D30" t="str">
            <v>PCI / PCV</v>
          </cell>
        </row>
        <row r="31">
          <cell r="D31" t="str">
            <v>PGS</v>
          </cell>
        </row>
        <row r="32">
          <cell r="D32" t="str">
            <v>PWI / PWV</v>
          </cell>
        </row>
        <row r="33">
          <cell r="D33" t="str">
            <v>SY2</v>
          </cell>
        </row>
        <row r="34">
          <cell r="D34" t="str">
            <v>SMA</v>
          </cell>
        </row>
        <row r="35">
          <cell r="D35" t="str">
            <v>APH</v>
          </cell>
        </row>
        <row r="36">
          <cell r="D36" t="str">
            <v>SHM</v>
          </cell>
        </row>
        <row r="37">
          <cell r="D37" t="str">
            <v>SHD</v>
          </cell>
        </row>
        <row r="38">
          <cell r="D38" t="str">
            <v>SPA</v>
          </cell>
        </row>
        <row r="39">
          <cell r="D39" t="str">
            <v>LYM</v>
          </cell>
        </row>
        <row r="40">
          <cell r="D40" t="str">
            <v>PMA</v>
          </cell>
        </row>
      </sheetData>
      <sheetData sheetId="6"/>
      <sheetData sheetId="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LOP Tool"/>
      <sheetName val="Complexity tool"/>
      <sheetName val="Sheet1"/>
      <sheetName val="heso"/>
      <sheetName val="Sheet2"/>
      <sheetName val="Hidden"/>
      <sheetName val="Raw_data"/>
      <sheetName val="LOP_Tool"/>
      <sheetName val="Complexity_too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ing Transfer"/>
      <sheetName val="Transfer"/>
      <sheetName val="Sheet1"/>
      <sheetName val="Sheet2"/>
      <sheetName val="Sheet3"/>
      <sheetName val="index"/>
      <sheetName val="Monitor list Case of Dept."/>
      <sheetName val="Dropdown Box"/>
      <sheetName val="Tooling_Transfer"/>
      <sheetName val="Tooling_Transfer1"/>
      <sheetName val="Tooling_Transfer2"/>
      <sheetName val="Monitor_list_Case_of_Dept_"/>
      <sheetName val="Dropdown_Box"/>
      <sheetName val="Tooling_Transfer3"/>
      <sheetName val="Monitor_list_Case_of_Dept_1"/>
      <sheetName val="Dropdown_Box1"/>
      <sheetName val="LBP DAROGA 2 INF"/>
      <sheetName val="Transfer Request"/>
      <sheetName val="Tooling_Transfer4"/>
      <sheetName val="Tooling_Transfer5"/>
      <sheetName val="Tooling_Transfer6"/>
      <sheetName val="Monitor_list_Case_of_Dept_2"/>
      <sheetName val="Tooling_Transfer7"/>
      <sheetName val="Monitor_list_Case_of_Dept_3"/>
      <sheetName val="tranfer to HSD"/>
      <sheetName val="REKAP SALES JAN"/>
      <sheetName val="REKAP SALES FEB"/>
      <sheetName val="REKAP SALES MAR"/>
      <sheetName val="REKAP SALES APR"/>
      <sheetName val="REKAP SALES MEI"/>
      <sheetName val="REKAP SALES JUNI"/>
      <sheetName val="REKAP SALES JULI"/>
      <sheetName val="Drop down"/>
      <sheetName val="Each Dep.t"/>
      <sheetName val="Tooling_Transfer12"/>
      <sheetName val="Monitor_list_Case_of_Dept_8"/>
      <sheetName val="Dropdown_Box6"/>
      <sheetName val="LBP_DAROGA_2_INF4"/>
      <sheetName val="Transfer_Request4"/>
      <sheetName val="tranfer_to_HSD4"/>
      <sheetName val="REKAP_SALES_JAN4"/>
      <sheetName val="REKAP_SALES_FEB4"/>
      <sheetName val="REKAP_SALES_MAR4"/>
      <sheetName val="REKAP_SALES_APR4"/>
      <sheetName val="REKAP_SALES_MEI4"/>
      <sheetName val="REKAP_SALES_JUNI4"/>
      <sheetName val="REKAP_SALES_JULI4"/>
      <sheetName val="Drop_down4"/>
      <sheetName val="Each_Dep_t"/>
      <sheetName val="Tooling_Transfer8"/>
      <sheetName val="Monitor_list_Case_of_Dept_4"/>
      <sheetName val="Dropdown_Box2"/>
      <sheetName val="LBP_DAROGA_2_INF"/>
      <sheetName val="Transfer_Request"/>
      <sheetName val="tranfer_to_HSD"/>
      <sheetName val="REKAP_SALES_JAN"/>
      <sheetName val="REKAP_SALES_FEB"/>
      <sheetName val="REKAP_SALES_MAR"/>
      <sheetName val="REKAP_SALES_APR"/>
      <sheetName val="REKAP_SALES_MEI"/>
      <sheetName val="REKAP_SALES_JUNI"/>
      <sheetName val="REKAP_SALES_JULI"/>
      <sheetName val="Drop_down"/>
      <sheetName val="Tooling_Transfer9"/>
      <sheetName val="Monitor_list_Case_of_Dept_5"/>
      <sheetName val="Dropdown_Box3"/>
      <sheetName val="LBP_DAROGA_2_INF1"/>
      <sheetName val="Transfer_Request1"/>
      <sheetName val="tranfer_to_HSD1"/>
      <sheetName val="REKAP_SALES_JAN1"/>
      <sheetName val="REKAP_SALES_FEB1"/>
      <sheetName val="REKAP_SALES_MAR1"/>
      <sheetName val="REKAP_SALES_APR1"/>
      <sheetName val="REKAP_SALES_MEI1"/>
      <sheetName val="REKAP_SALES_JUNI1"/>
      <sheetName val="REKAP_SALES_JULI1"/>
      <sheetName val="Drop_down1"/>
      <sheetName val="Tooling_Transfer11"/>
      <sheetName val="Monitor_list_Case_of_Dept_7"/>
      <sheetName val="Dropdown_Box5"/>
      <sheetName val="LBP_DAROGA_2_INF3"/>
      <sheetName val="Transfer_Request3"/>
      <sheetName val="tranfer_to_HSD3"/>
      <sheetName val="REKAP_SALES_JAN3"/>
      <sheetName val="REKAP_SALES_FEB3"/>
      <sheetName val="REKAP_SALES_MAR3"/>
      <sheetName val="REKAP_SALES_APR3"/>
      <sheetName val="REKAP_SALES_MEI3"/>
      <sheetName val="REKAP_SALES_JUNI3"/>
      <sheetName val="REKAP_SALES_JULI3"/>
      <sheetName val="Drop_down3"/>
      <sheetName val="Tooling_Transfer10"/>
      <sheetName val="Monitor_list_Case_of_Dept_6"/>
      <sheetName val="Dropdown_Box4"/>
      <sheetName val="LBP_DAROGA_2_INF2"/>
      <sheetName val="Transfer_Request2"/>
      <sheetName val="tranfer_to_HSD2"/>
      <sheetName val="REKAP_SALES_JAN2"/>
      <sheetName val="REKAP_SALES_FEB2"/>
      <sheetName val="REKAP_SALES_MAR2"/>
      <sheetName val="REKAP_SALES_APR2"/>
      <sheetName val="REKAP_SALES_MEI2"/>
      <sheetName val="REKAP_SALES_JUNI2"/>
      <sheetName val="REKAP_SALES_JULI2"/>
      <sheetName val="Drop_down2"/>
      <sheetName val="Complexity tool"/>
      <sheetName val="VSM(cut)"/>
      <sheetName val="Look Up"/>
      <sheetName val="Drop-down"/>
      <sheetName val="Tooling_Transfer13"/>
      <sheetName val="Monitor_list_Case_of_Dept_9"/>
      <sheetName val="Dropdown_Box7"/>
      <sheetName val="LBP_DAROGA_2_INF5"/>
      <sheetName val="Transfer_Request5"/>
      <sheetName val="tranfer_to_HSD5"/>
      <sheetName val="REKAP_SALES_JAN5"/>
      <sheetName val="REKAP_SALES_FEB5"/>
      <sheetName val="REKAP_SALES_MAR5"/>
      <sheetName val="REKAP_SALES_APR5"/>
      <sheetName val="REKAP_SALES_MEI5"/>
      <sheetName val="REKAP_SALES_JUNI5"/>
      <sheetName val="REKAP_SALES_JULI5"/>
      <sheetName val="Drop_down5"/>
      <sheetName val="Each_Dep_t1"/>
      <sheetName val="Tooling_Transfer14"/>
      <sheetName val="Monitor_list_Case_of_Dept_10"/>
      <sheetName val="Dropdown_Box8"/>
      <sheetName val="LBP_DAROGA_2_INF6"/>
      <sheetName val="Transfer_Request6"/>
      <sheetName val="tranfer_to_HSD6"/>
      <sheetName val="REKAP_SALES_JAN6"/>
      <sheetName val="REKAP_SALES_FEB6"/>
      <sheetName val="REKAP_SALES_MAR6"/>
      <sheetName val="REKAP_SALES_APR6"/>
      <sheetName val="REKAP_SALES_MEI6"/>
      <sheetName val="REKAP_SALES_JUNI6"/>
      <sheetName val="REKAP_SALES_JULI6"/>
      <sheetName val="Drop_down6"/>
      <sheetName val="Each_Dep_t2"/>
      <sheetName val="Tooling_Transfer15"/>
      <sheetName val="Monitor_list_Case_of_Dept_11"/>
      <sheetName val="Dropdown_Box9"/>
      <sheetName val="LBP_DAROGA_2_INF7"/>
      <sheetName val="Transfer_Request7"/>
      <sheetName val="tranfer_to_HSD7"/>
      <sheetName val="REKAP_SALES_JAN7"/>
      <sheetName val="REKAP_SALES_FEB7"/>
      <sheetName val="REKAP_SALES_MAR7"/>
      <sheetName val="REKAP_SALES_APR7"/>
      <sheetName val="REKAP_SALES_MEI7"/>
      <sheetName val="REKAP_SALES_JUNI7"/>
      <sheetName val="REKAP_SALES_JULI7"/>
      <sheetName val="Drop_down7"/>
      <sheetName val="Each_Dep_t3"/>
      <sheetName val="Tooling_Transfer16"/>
      <sheetName val="Monitor_list_Case_of_Dept_12"/>
      <sheetName val="Dropdown_Box10"/>
      <sheetName val="LBP_DAROGA_2_INF8"/>
      <sheetName val="Transfer_Request8"/>
      <sheetName val="tranfer_to_HSD8"/>
      <sheetName val="REKAP_SALES_JAN8"/>
      <sheetName val="REKAP_SALES_FEB8"/>
      <sheetName val="REKAP_SALES_MAR8"/>
      <sheetName val="REKAP_SALES_APR8"/>
      <sheetName val="REKAP_SALES_MEI8"/>
      <sheetName val="REKAP_SALES_JUNI8"/>
      <sheetName val="REKAP_SALES_JULI8"/>
      <sheetName val="Drop_down8"/>
      <sheetName val="Each_Dep_t4"/>
      <sheetName val="Tooling_Transfer17"/>
      <sheetName val="Monitor_list_Case_of_Dept_13"/>
      <sheetName val="Dropdown_Box11"/>
      <sheetName val="LBP_DAROGA_2_INF9"/>
      <sheetName val="Transfer_Request9"/>
      <sheetName val="REKAP_SALES_JAN9"/>
      <sheetName val="REKAP_SALES_FEB9"/>
      <sheetName val="REKAP_SALES_MAR9"/>
      <sheetName val="REKAP_SALES_APR9"/>
      <sheetName val="REKAP_SALES_MEI9"/>
      <sheetName val="REKAP_SALES_JUNI9"/>
      <sheetName val="REKAP_SALES_JULI9"/>
      <sheetName val="tranfer_to_HSD9"/>
      <sheetName val="Drop_down9"/>
      <sheetName val="Each_Dep_t5"/>
      <sheetName val="Tooling_Transfer18"/>
      <sheetName val="Monitor_list_Case_of_Dept_14"/>
      <sheetName val="Dropdown_Box12"/>
      <sheetName val="LBP_DAROGA_2_INF10"/>
      <sheetName val="Transfer_Request10"/>
      <sheetName val="tranfer_to_HSD10"/>
      <sheetName val="REKAP_SALES_JAN10"/>
      <sheetName val="REKAP_SALES_FEB10"/>
      <sheetName val="REKAP_SALES_MAR10"/>
      <sheetName val="REKAP_SALES_APR10"/>
      <sheetName val="REKAP_SALES_MEI10"/>
      <sheetName val="REKAP_SALES_JUNI10"/>
      <sheetName val="REKAP_SALES_JULI10"/>
      <sheetName val="Drop_down10"/>
      <sheetName val="MATCH"/>
      <sheetName val="lookup"/>
      <sheetName val="list"/>
      <sheetName val="Data"/>
      <sheetName val="C"/>
      <sheetName val="D"/>
      <sheetName val="Setup"/>
      <sheetName val="Gantt Chart"/>
      <sheetName val="Items"/>
      <sheetName val="Tooling_Transfer19"/>
      <sheetName val="Monitor_list_Case_of_Dept_15"/>
      <sheetName val="Dropdown_Box13"/>
      <sheetName val="LBP_DAROGA_2_INF11"/>
      <sheetName val="Transfer_Request11"/>
      <sheetName val="tranfer_to_HSD11"/>
      <sheetName val="REKAP_SALES_JAN11"/>
      <sheetName val="REKAP_SALES_FEB11"/>
      <sheetName val="REKAP_SALES_MAR11"/>
      <sheetName val="REKAP_SALES_APR11"/>
      <sheetName val="REKAP_SALES_MEI11"/>
      <sheetName val="REKAP_SALES_JUNI11"/>
      <sheetName val="REKAP_SALES_JULI11"/>
      <sheetName val="Drop_down11"/>
      <sheetName val="Each_Dep_t6"/>
      <sheetName val="Complexity_tool"/>
      <sheetName val="Look_Up"/>
      <sheetName val="Gantt_Chart"/>
      <sheetName val="jul 17pdk"/>
      <sheetName val="Dropdowns"/>
      <sheetName val="Q-KPI House (Supplier)"/>
      <sheetName val="Sheet5"/>
      <sheetName val="Pareto"/>
      <sheetName val=""/>
      <sheetName val="category and gender"/>
      <sheetName val="Target Dep.t"/>
      <sheetName val="Tooling_Transfer20"/>
      <sheetName val="Monitor_list_Case_of_Dept_16"/>
      <sheetName val="Dropdown_Box14"/>
      <sheetName val="LBP_DAROGA_2_INF12"/>
      <sheetName val="Transfer_Request12"/>
      <sheetName val="tranfer_to_HSD12"/>
      <sheetName val="REKAP_SALES_JAN12"/>
      <sheetName val="REKAP_SALES_FEB12"/>
      <sheetName val="REKAP_SALES_MAR12"/>
      <sheetName val="REKAP_SALES_APR12"/>
      <sheetName val="REKAP_SALES_MEI12"/>
      <sheetName val="REKAP_SALES_JUNI12"/>
      <sheetName val="REKAP_SALES_JULI12"/>
      <sheetName val="Drop_down12"/>
      <sheetName val="Each_Dep_t7"/>
      <sheetName val="Complexity_tool1"/>
      <sheetName val="Look_Up1"/>
      <sheetName val="Gantt_Chart1"/>
      <sheetName val="jul_17pdk"/>
      <sheetName val="Q-KPI_House_(Supplier)"/>
      <sheetName val="category_and_gender"/>
      <sheetName val="FW15 Inline"/>
      <sheetName val="Summary Produksi"/>
      <sheetName val="LEGEND"/>
      <sheetName val="datas base tab"/>
      <sheetName val="Tooling_Transfer21"/>
      <sheetName val="Monitor_list_Case_of_Dept_17"/>
      <sheetName val="Dropdown_Box15"/>
      <sheetName val="LBP_DAROGA_2_INF13"/>
      <sheetName val="Transfer_Request13"/>
      <sheetName val="tranfer_to_HSD13"/>
      <sheetName val="REKAP_SALES_JAN13"/>
      <sheetName val="REKAP_SALES_FEB13"/>
      <sheetName val="REKAP_SALES_MAR13"/>
      <sheetName val="REKAP_SALES_APR13"/>
      <sheetName val="REKAP_SALES_MEI13"/>
      <sheetName val="REKAP_SALES_JUNI13"/>
      <sheetName val="REKAP_SALES_JULI13"/>
      <sheetName val="Drop_down13"/>
      <sheetName val="Each_Dep_t8"/>
      <sheetName val="Complexity_tool2"/>
      <sheetName val="Look_Up2"/>
      <sheetName val="Gantt_Chart2"/>
      <sheetName val="jul_17pdk1"/>
      <sheetName val="Q-KPI_House_(Supplier)1"/>
      <sheetName val="category_and_gender1"/>
      <sheetName val="Target_Dep_t"/>
      <sheetName val="FW15_Inline"/>
      <sheetName val="Settings"/>
      <sheetName val="DGchitiet "/>
      <sheetName val="dropdown list"/>
      <sheetName val="Balance "/>
      <sheetName val="NosewLine "/>
      <sheetName val="MOVE PO "/>
      <sheetName val="(F1-F3-MO)"/>
      <sheetName val="SUM PLOT F1-F3-MO"/>
      <sheetName val="SUM BM F1-F3-MO"/>
      <sheetName val="(F2-F4-SF)"/>
      <sheetName val="Sheet4"/>
      <sheetName val="DATA REJECT SABLON"/>
      <sheetName val="DOA TIDAK PUTUS REZEKI"/>
      <sheetName val="MB WIJI"/>
      <sheetName val="SUM CRD F2-F4-SF"/>
      <sheetName val="SUM BM F2-F4-SF"/>
      <sheetName val="DATA KURANG POTONG"/>
      <sheetName val="ORDER BARU"/>
      <sheetName val="ORDER PINDAHAN"/>
      <sheetName val="Hasil Produksi Sablon New"/>
      <sheetName val="Order"/>
      <sheetName val="604182-401"/>
      <sheetName val="Print"/>
      <sheetName val="lop tool"/>
      <sheetName val="Johnny Cheapo M-SS08-PPR-018611"/>
      <sheetName val="LUONG 1-2012"/>
      <sheetName val="DropDown"/>
      <sheetName val="CHANGE RATE"/>
      <sheetName val="Hidden"/>
      <sheetName val="GM-GW500"/>
      <sheetName val="SIZE RUN D 0804022"/>
      <sheetName val="#REF!"/>
      <sheetName val="Materials"/>
      <sheetName val="MINUS SCAN PROD"/>
      <sheetName val="DAILY BALANCE 15 MAY 2024"/>
      <sheetName val="Materials-Toolings"/>
      <sheetName val="DB"/>
      <sheetName val="Score%"/>
      <sheetName val="Monthly Summary"/>
      <sheetName val="Rolling12 Summary"/>
      <sheetName val="Month_Consol"/>
      <sheetName val="Tooling_Transfer28"/>
      <sheetName val="Monitor_list_Case_of_Dept_24"/>
      <sheetName val="Dropdown_Box22"/>
      <sheetName val="LBP_DAROGA_2_INF20"/>
      <sheetName val="Transfer_Request20"/>
      <sheetName val="REKAP_SALES_JAN20"/>
      <sheetName val="REKAP_SALES_FEB20"/>
      <sheetName val="REKAP_SALES_MAR20"/>
      <sheetName val="REKAP_SALES_APR20"/>
      <sheetName val="REKAP_SALES_MEI20"/>
      <sheetName val="REKAP_SALES_JUNI20"/>
      <sheetName val="REKAP_SALES_JULI20"/>
      <sheetName val="tranfer_to_HSD20"/>
      <sheetName val="Drop_down20"/>
      <sheetName val="Each_Dep_t15"/>
      <sheetName val="Complexity_tool9"/>
      <sheetName val="Look_Up9"/>
      <sheetName val="Gantt_Chart9"/>
      <sheetName val="jul_17pdk8"/>
      <sheetName val="Q-KPI_House_(Supplier)8"/>
      <sheetName val="category_and_gender8"/>
      <sheetName val="Target_Dep_t7"/>
      <sheetName val="FW15_Inline7"/>
      <sheetName val="datas_base_tab6"/>
      <sheetName val="Summary_Produksi6"/>
      <sheetName val="DGchitiet_6"/>
      <sheetName val="dropdown_list6"/>
      <sheetName val="Balance_6"/>
      <sheetName val="NosewLine_6"/>
      <sheetName val="MOVE_PO_6"/>
      <sheetName val="SUM_PLOT_F1-F3-MO6"/>
      <sheetName val="SUM_BM_F1-F3-MO6"/>
      <sheetName val="DATA_REJECT_SABLON6"/>
      <sheetName val="DOA_TIDAK_PUTUS_REZEKI6"/>
      <sheetName val="MB_WIJI6"/>
      <sheetName val="SUM_CRD_F2-F4-SF6"/>
      <sheetName val="SUM_BM_F2-F4-SF6"/>
      <sheetName val="DATA_KURANG_POTONG6"/>
      <sheetName val="ORDER_BARU6"/>
      <sheetName val="ORDER_PINDAHAN6"/>
      <sheetName val="Hasil_Produksi_Sablon_New6"/>
      <sheetName val="lop_tool6"/>
      <sheetName val="Johnny_Cheapo_M-SS08-PPR-018617"/>
      <sheetName val="Tooling_Transfer22"/>
      <sheetName val="Monitor_list_Case_of_Dept_18"/>
      <sheetName val="Dropdown_Box16"/>
      <sheetName val="LBP_DAROGA_2_INF14"/>
      <sheetName val="Transfer_Request14"/>
      <sheetName val="REKAP_SALES_JAN14"/>
      <sheetName val="REKAP_SALES_FEB14"/>
      <sheetName val="REKAP_SALES_MAR14"/>
      <sheetName val="REKAP_SALES_APR14"/>
      <sheetName val="REKAP_SALES_MEI14"/>
      <sheetName val="REKAP_SALES_JUNI14"/>
      <sheetName val="REKAP_SALES_JULI14"/>
      <sheetName val="tranfer_to_HSD14"/>
      <sheetName val="Drop_down14"/>
      <sheetName val="Each_Dep_t9"/>
      <sheetName val="Complexity_tool3"/>
      <sheetName val="Look_Up3"/>
      <sheetName val="Gantt_Chart3"/>
      <sheetName val="jul_17pdk2"/>
      <sheetName val="Q-KPI_House_(Supplier)2"/>
      <sheetName val="category_and_gender2"/>
      <sheetName val="Target_Dep_t1"/>
      <sheetName val="FW15_Inline1"/>
      <sheetName val="datas_base_tab"/>
      <sheetName val="Summary_Produksi"/>
      <sheetName val="DGchitiet_"/>
      <sheetName val="dropdown_list"/>
      <sheetName val="Balance_"/>
      <sheetName val="NosewLine_"/>
      <sheetName val="MOVE_PO_"/>
      <sheetName val="SUM_PLOT_F1-F3-MO"/>
      <sheetName val="SUM_BM_F1-F3-MO"/>
      <sheetName val="DATA_REJECT_SABLON"/>
      <sheetName val="DOA_TIDAK_PUTUS_REZEKI"/>
      <sheetName val="MB_WIJI"/>
      <sheetName val="SUM_CRD_F2-F4-SF"/>
      <sheetName val="SUM_BM_F2-F4-SF"/>
      <sheetName val="DATA_KURANG_POTONG"/>
      <sheetName val="ORDER_BARU"/>
      <sheetName val="ORDER_PINDAHAN"/>
      <sheetName val="Hasil_Produksi_Sablon_New"/>
      <sheetName val="lop_tool"/>
      <sheetName val="Johnny_Cheapo_M-SS08-PPR-018611"/>
      <sheetName val="Tooling_Transfer25"/>
      <sheetName val="Monitor_list_Case_of_Dept_21"/>
      <sheetName val="Dropdown_Box19"/>
      <sheetName val="LBP_DAROGA_2_INF17"/>
      <sheetName val="Transfer_Request17"/>
      <sheetName val="REKAP_SALES_JAN17"/>
      <sheetName val="REKAP_SALES_FEB17"/>
      <sheetName val="REKAP_SALES_MAR17"/>
      <sheetName val="REKAP_SALES_APR17"/>
      <sheetName val="REKAP_SALES_MEI17"/>
      <sheetName val="REKAP_SALES_JUNI17"/>
      <sheetName val="REKAP_SALES_JULI17"/>
      <sheetName val="tranfer_to_HSD17"/>
      <sheetName val="Drop_down17"/>
      <sheetName val="Each_Dep_t12"/>
      <sheetName val="Complexity_tool6"/>
      <sheetName val="Look_Up6"/>
      <sheetName val="Gantt_Chart6"/>
      <sheetName val="jul_17pdk5"/>
      <sheetName val="Q-KPI_House_(Supplier)5"/>
      <sheetName val="category_and_gender5"/>
      <sheetName val="Target_Dep_t4"/>
      <sheetName val="FW15_Inline4"/>
      <sheetName val="datas_base_tab3"/>
      <sheetName val="Summary_Produksi3"/>
      <sheetName val="DGchitiet_3"/>
      <sheetName val="dropdown_list3"/>
      <sheetName val="Balance_3"/>
      <sheetName val="NosewLine_3"/>
      <sheetName val="MOVE_PO_3"/>
      <sheetName val="SUM_PLOT_F1-F3-MO3"/>
      <sheetName val="SUM_BM_F1-F3-MO3"/>
      <sheetName val="DATA_REJECT_SABLON3"/>
      <sheetName val="DOA_TIDAK_PUTUS_REZEKI3"/>
      <sheetName val="MB_WIJI3"/>
      <sheetName val="SUM_CRD_F2-F4-SF3"/>
      <sheetName val="SUM_BM_F2-F4-SF3"/>
      <sheetName val="DATA_KURANG_POTONG3"/>
      <sheetName val="ORDER_BARU3"/>
      <sheetName val="ORDER_PINDAHAN3"/>
      <sheetName val="Hasil_Produksi_Sablon_New3"/>
      <sheetName val="lop_tool3"/>
      <sheetName val="Johnny_Cheapo_M-SS08-PPR-018614"/>
      <sheetName val="Tooling_Transfer23"/>
      <sheetName val="Monitor_list_Case_of_Dept_19"/>
      <sheetName val="Dropdown_Box17"/>
      <sheetName val="LBP_DAROGA_2_INF15"/>
      <sheetName val="Transfer_Request15"/>
      <sheetName val="REKAP_SALES_JAN15"/>
      <sheetName val="REKAP_SALES_FEB15"/>
      <sheetName val="REKAP_SALES_MAR15"/>
      <sheetName val="REKAP_SALES_APR15"/>
      <sheetName val="REKAP_SALES_MEI15"/>
      <sheetName val="REKAP_SALES_JUNI15"/>
      <sheetName val="REKAP_SALES_JULI15"/>
      <sheetName val="tranfer_to_HSD15"/>
      <sheetName val="Drop_down15"/>
      <sheetName val="Each_Dep_t10"/>
      <sheetName val="Complexity_tool4"/>
      <sheetName val="Look_Up4"/>
      <sheetName val="Gantt_Chart4"/>
      <sheetName val="jul_17pdk3"/>
      <sheetName val="Q-KPI_House_(Supplier)3"/>
      <sheetName val="category_and_gender3"/>
      <sheetName val="Target_Dep_t2"/>
      <sheetName val="FW15_Inline2"/>
      <sheetName val="datas_base_tab1"/>
      <sheetName val="Summary_Produksi1"/>
      <sheetName val="DGchitiet_1"/>
      <sheetName val="dropdown_list1"/>
      <sheetName val="Balance_1"/>
      <sheetName val="NosewLine_1"/>
      <sheetName val="MOVE_PO_1"/>
      <sheetName val="SUM_PLOT_F1-F3-MO1"/>
      <sheetName val="SUM_BM_F1-F3-MO1"/>
      <sheetName val="DATA_REJECT_SABLON1"/>
      <sheetName val="DOA_TIDAK_PUTUS_REZEKI1"/>
      <sheetName val="MB_WIJI1"/>
      <sheetName val="SUM_CRD_F2-F4-SF1"/>
      <sheetName val="SUM_BM_F2-F4-SF1"/>
      <sheetName val="DATA_KURANG_POTONG1"/>
      <sheetName val="ORDER_BARU1"/>
      <sheetName val="ORDER_PINDAHAN1"/>
      <sheetName val="Hasil_Produksi_Sablon_New1"/>
      <sheetName val="lop_tool1"/>
      <sheetName val="Johnny_Cheapo_M-SS08-PPR-018612"/>
      <sheetName val="Tooling_Transfer24"/>
      <sheetName val="Monitor_list_Case_of_Dept_20"/>
      <sheetName val="Dropdown_Box18"/>
      <sheetName val="LBP_DAROGA_2_INF16"/>
      <sheetName val="Transfer_Request16"/>
      <sheetName val="REKAP_SALES_JAN16"/>
      <sheetName val="REKAP_SALES_FEB16"/>
      <sheetName val="REKAP_SALES_MAR16"/>
      <sheetName val="REKAP_SALES_APR16"/>
      <sheetName val="REKAP_SALES_MEI16"/>
      <sheetName val="REKAP_SALES_JUNI16"/>
      <sheetName val="REKAP_SALES_JULI16"/>
      <sheetName val="tranfer_to_HSD16"/>
      <sheetName val="Drop_down16"/>
      <sheetName val="Each_Dep_t11"/>
      <sheetName val="Complexity_tool5"/>
      <sheetName val="Look_Up5"/>
      <sheetName val="Gantt_Chart5"/>
      <sheetName val="jul_17pdk4"/>
      <sheetName val="Q-KPI_House_(Supplier)4"/>
      <sheetName val="category_and_gender4"/>
      <sheetName val="Target_Dep_t3"/>
      <sheetName val="FW15_Inline3"/>
      <sheetName val="datas_base_tab2"/>
      <sheetName val="Summary_Produksi2"/>
      <sheetName val="DGchitiet_2"/>
      <sheetName val="dropdown_list2"/>
      <sheetName val="Balance_2"/>
      <sheetName val="NosewLine_2"/>
      <sheetName val="MOVE_PO_2"/>
      <sheetName val="SUM_PLOT_F1-F3-MO2"/>
      <sheetName val="SUM_BM_F1-F3-MO2"/>
      <sheetName val="DATA_REJECT_SABLON2"/>
      <sheetName val="DOA_TIDAK_PUTUS_REZEKI2"/>
      <sheetName val="MB_WIJI2"/>
      <sheetName val="SUM_CRD_F2-F4-SF2"/>
      <sheetName val="SUM_BM_F2-F4-SF2"/>
      <sheetName val="DATA_KURANG_POTONG2"/>
      <sheetName val="ORDER_BARU2"/>
      <sheetName val="ORDER_PINDAHAN2"/>
      <sheetName val="Hasil_Produksi_Sablon_New2"/>
      <sheetName val="lop_tool2"/>
      <sheetName val="Johnny_Cheapo_M-SS08-PPR-018613"/>
      <sheetName val="Tooling_Transfer26"/>
      <sheetName val="Monitor_list_Case_of_Dept_22"/>
      <sheetName val="Dropdown_Box20"/>
      <sheetName val="LBP_DAROGA_2_INF18"/>
      <sheetName val="Transfer_Request18"/>
      <sheetName val="REKAP_SALES_JAN18"/>
      <sheetName val="REKAP_SALES_FEB18"/>
      <sheetName val="REKAP_SALES_MAR18"/>
      <sheetName val="REKAP_SALES_APR18"/>
      <sheetName val="REKAP_SALES_MEI18"/>
      <sheetName val="REKAP_SALES_JUNI18"/>
      <sheetName val="REKAP_SALES_JULI18"/>
      <sheetName val="tranfer_to_HSD18"/>
      <sheetName val="Drop_down18"/>
      <sheetName val="Each_Dep_t13"/>
      <sheetName val="Complexity_tool7"/>
      <sheetName val="Look_Up7"/>
      <sheetName val="Gantt_Chart7"/>
      <sheetName val="jul_17pdk6"/>
      <sheetName val="Q-KPI_House_(Supplier)6"/>
      <sheetName val="category_and_gender6"/>
      <sheetName val="Target_Dep_t5"/>
      <sheetName val="FW15_Inline5"/>
      <sheetName val="datas_base_tab4"/>
      <sheetName val="Summary_Produksi4"/>
      <sheetName val="DGchitiet_4"/>
      <sheetName val="dropdown_list4"/>
      <sheetName val="Balance_4"/>
      <sheetName val="NosewLine_4"/>
      <sheetName val="MOVE_PO_4"/>
      <sheetName val="SUM_PLOT_F1-F3-MO4"/>
      <sheetName val="SUM_BM_F1-F3-MO4"/>
      <sheetName val="DATA_REJECT_SABLON4"/>
      <sheetName val="DOA_TIDAK_PUTUS_REZEKI4"/>
      <sheetName val="MB_WIJI4"/>
      <sheetName val="SUM_CRD_F2-F4-SF4"/>
      <sheetName val="SUM_BM_F2-F4-SF4"/>
      <sheetName val="DATA_KURANG_POTONG4"/>
      <sheetName val="ORDER_BARU4"/>
      <sheetName val="ORDER_PINDAHAN4"/>
      <sheetName val="Hasil_Produksi_Sablon_New4"/>
      <sheetName val="lop_tool4"/>
      <sheetName val="Johnny_Cheapo_M-SS08-PPR-018615"/>
      <sheetName val="Tooling_Transfer27"/>
      <sheetName val="Monitor_list_Case_of_Dept_23"/>
      <sheetName val="Dropdown_Box21"/>
      <sheetName val="LBP_DAROGA_2_INF19"/>
      <sheetName val="Transfer_Request19"/>
      <sheetName val="REKAP_SALES_JAN19"/>
      <sheetName val="REKAP_SALES_FEB19"/>
      <sheetName val="REKAP_SALES_MAR19"/>
      <sheetName val="REKAP_SALES_APR19"/>
      <sheetName val="REKAP_SALES_MEI19"/>
      <sheetName val="REKAP_SALES_JUNI19"/>
      <sheetName val="REKAP_SALES_JULI19"/>
      <sheetName val="tranfer_to_HSD19"/>
      <sheetName val="Drop_down19"/>
      <sheetName val="Each_Dep_t14"/>
      <sheetName val="Complexity_tool8"/>
      <sheetName val="Look_Up8"/>
      <sheetName val="Gantt_Chart8"/>
      <sheetName val="jul_17pdk7"/>
      <sheetName val="Q-KPI_House_(Supplier)7"/>
      <sheetName val="category_and_gender7"/>
      <sheetName val="Target_Dep_t6"/>
      <sheetName val="FW15_Inline6"/>
      <sheetName val="datas_base_tab5"/>
      <sheetName val="Summary_Produksi5"/>
      <sheetName val="DGchitiet_5"/>
      <sheetName val="dropdown_list5"/>
      <sheetName val="Balance_5"/>
      <sheetName val="NosewLine_5"/>
      <sheetName val="MOVE_PO_5"/>
      <sheetName val="SUM_PLOT_F1-F3-MO5"/>
      <sheetName val="SUM_BM_F1-F3-MO5"/>
      <sheetName val="DATA_REJECT_SABLON5"/>
      <sheetName val="DOA_TIDAK_PUTUS_REZEKI5"/>
      <sheetName val="MB_WIJI5"/>
      <sheetName val="SUM_CRD_F2-F4-SF5"/>
      <sheetName val="SUM_BM_F2-F4-SF5"/>
      <sheetName val="DATA_KURANG_POTONG5"/>
      <sheetName val="ORDER_BARU5"/>
      <sheetName val="ORDER_PINDAHAN5"/>
      <sheetName val="Hasil_Produksi_Sablon_New5"/>
      <sheetName val="lop_tool5"/>
      <sheetName val="Johnny_Cheapo_M-SS08-PPR-018616"/>
      <sheetName val="Tooling_Transfer34"/>
      <sheetName val="Monitor_list_Case_of_Dept_30"/>
      <sheetName val="Dropdown_Box28"/>
      <sheetName val="LBP_DAROGA_2_INF26"/>
      <sheetName val="Transfer_Request26"/>
      <sheetName val="REKAP_SALES_JAN26"/>
      <sheetName val="REKAP_SALES_FEB26"/>
      <sheetName val="REKAP_SALES_MAR26"/>
      <sheetName val="REKAP_SALES_APR26"/>
      <sheetName val="REKAP_SALES_MEI26"/>
      <sheetName val="REKAP_SALES_JUNI26"/>
      <sheetName val="REKAP_SALES_JULI26"/>
      <sheetName val="tranfer_to_HSD26"/>
      <sheetName val="Drop_down26"/>
      <sheetName val="Each_Dep_t21"/>
      <sheetName val="Complexity_tool15"/>
      <sheetName val="Look_Up15"/>
      <sheetName val="Gantt_Chart15"/>
      <sheetName val="jul_17pdk14"/>
      <sheetName val="Q-KPI_House_(Supplier)14"/>
      <sheetName val="category_and_gender14"/>
      <sheetName val="Target_Dep_t13"/>
      <sheetName val="FW15_Inline13"/>
      <sheetName val="datas_base_tab12"/>
      <sheetName val="Summary_Produksi12"/>
      <sheetName val="DGchitiet_12"/>
      <sheetName val="dropdown_list12"/>
      <sheetName val="Balance_12"/>
      <sheetName val="NosewLine_12"/>
      <sheetName val="MOVE_PO_12"/>
      <sheetName val="SUM_PLOT_F1-F3-MO12"/>
      <sheetName val="SUM_BM_F1-F3-MO12"/>
      <sheetName val="DATA_REJECT_SABLON12"/>
      <sheetName val="DOA_TIDAK_PUTUS_REZEKI12"/>
      <sheetName val="MB_WIJI12"/>
      <sheetName val="SUM_CRD_F2-F4-SF12"/>
      <sheetName val="SUM_BM_F2-F4-SF12"/>
      <sheetName val="DATA_KURANG_POTONG12"/>
      <sheetName val="ORDER_BARU12"/>
      <sheetName val="ORDER_PINDAHAN12"/>
      <sheetName val="Hasil_Produksi_Sablon_New12"/>
      <sheetName val="lop_tool12"/>
      <sheetName val="Johnny_Cheapo_M-SS08-PPR-018622"/>
      <sheetName val="Tooling_Transfer29"/>
      <sheetName val="Monitor_list_Case_of_Dept_25"/>
      <sheetName val="Dropdown_Box23"/>
      <sheetName val="LBP_DAROGA_2_INF21"/>
      <sheetName val="Transfer_Request21"/>
      <sheetName val="REKAP_SALES_JAN21"/>
      <sheetName val="REKAP_SALES_FEB21"/>
      <sheetName val="REKAP_SALES_MAR21"/>
      <sheetName val="REKAP_SALES_APR21"/>
      <sheetName val="REKAP_SALES_MEI21"/>
      <sheetName val="REKAP_SALES_JUNI21"/>
      <sheetName val="REKAP_SALES_JULI21"/>
      <sheetName val="tranfer_to_HSD21"/>
      <sheetName val="Drop_down21"/>
      <sheetName val="Each_Dep_t16"/>
      <sheetName val="Complexity_tool10"/>
      <sheetName val="Look_Up10"/>
      <sheetName val="Gantt_Chart10"/>
      <sheetName val="jul_17pdk9"/>
      <sheetName val="Q-KPI_House_(Supplier)9"/>
      <sheetName val="category_and_gender9"/>
      <sheetName val="Target_Dep_t8"/>
      <sheetName val="FW15_Inline8"/>
      <sheetName val="datas_base_tab7"/>
      <sheetName val="Summary_Produksi7"/>
      <sheetName val="DGchitiet_7"/>
      <sheetName val="dropdown_list7"/>
      <sheetName val="Balance_7"/>
      <sheetName val="NosewLine_7"/>
      <sheetName val="MOVE_PO_7"/>
      <sheetName val="SUM_PLOT_F1-F3-MO7"/>
      <sheetName val="SUM_BM_F1-F3-MO7"/>
      <sheetName val="DATA_REJECT_SABLON7"/>
      <sheetName val="DOA_TIDAK_PUTUS_REZEKI7"/>
      <sheetName val="MB_WIJI7"/>
      <sheetName val="SUM_CRD_F2-F4-SF7"/>
      <sheetName val="SUM_BM_F2-F4-SF7"/>
      <sheetName val="DATA_KURANG_POTONG7"/>
      <sheetName val="ORDER_BARU7"/>
      <sheetName val="ORDER_PINDAHAN7"/>
      <sheetName val="Hasil_Produksi_Sablon_New7"/>
      <sheetName val="lop_tool7"/>
      <sheetName val="Johnny_Cheapo_M-SS08-PPR-018618"/>
      <sheetName val="Tooling_Transfer30"/>
      <sheetName val="Monitor_list_Case_of_Dept_26"/>
      <sheetName val="Dropdown_Box24"/>
      <sheetName val="LBP_DAROGA_2_INF22"/>
      <sheetName val="Transfer_Request22"/>
      <sheetName val="REKAP_SALES_JAN22"/>
      <sheetName val="REKAP_SALES_FEB22"/>
      <sheetName val="REKAP_SALES_MAR22"/>
      <sheetName val="REKAP_SALES_APR22"/>
      <sheetName val="REKAP_SALES_MEI22"/>
      <sheetName val="REKAP_SALES_JUNI22"/>
      <sheetName val="REKAP_SALES_JULI22"/>
      <sheetName val="tranfer_to_HSD22"/>
      <sheetName val="Drop_down22"/>
      <sheetName val="Each_Dep_t17"/>
      <sheetName val="Complexity_tool11"/>
      <sheetName val="Look_Up11"/>
      <sheetName val="Gantt_Chart11"/>
      <sheetName val="jul_17pdk10"/>
      <sheetName val="Q-KPI_House_(Supplier)10"/>
      <sheetName val="category_and_gender10"/>
      <sheetName val="Target_Dep_t9"/>
      <sheetName val="FW15_Inline9"/>
      <sheetName val="datas_base_tab8"/>
      <sheetName val="Summary_Produksi8"/>
      <sheetName val="DGchitiet_8"/>
      <sheetName val="dropdown_list8"/>
      <sheetName val="Balance_8"/>
      <sheetName val="NosewLine_8"/>
      <sheetName val="MOVE_PO_8"/>
      <sheetName val="SUM_PLOT_F1-F3-MO8"/>
      <sheetName val="SUM_BM_F1-F3-MO8"/>
      <sheetName val="DATA_REJECT_SABLON8"/>
      <sheetName val="DOA_TIDAK_PUTUS_REZEKI8"/>
      <sheetName val="MB_WIJI8"/>
      <sheetName val="SUM_CRD_F2-F4-SF8"/>
      <sheetName val="SUM_BM_F2-F4-SF8"/>
      <sheetName val="DATA_KURANG_POTONG8"/>
      <sheetName val="ORDER_BARU8"/>
      <sheetName val="ORDER_PINDAHAN8"/>
      <sheetName val="Hasil_Produksi_Sablon_New8"/>
      <sheetName val="lop_tool8"/>
      <sheetName val="Johnny_Cheapo_M-SS08-PPR-018619"/>
      <sheetName val="Tooling_Transfer31"/>
      <sheetName val="Monitor_list_Case_of_Dept_27"/>
      <sheetName val="Dropdown_Box25"/>
      <sheetName val="LBP_DAROGA_2_INF23"/>
      <sheetName val="Transfer_Request23"/>
      <sheetName val="REKAP_SALES_JAN23"/>
      <sheetName val="REKAP_SALES_FEB23"/>
      <sheetName val="REKAP_SALES_MAR23"/>
      <sheetName val="REKAP_SALES_APR23"/>
      <sheetName val="REKAP_SALES_MEI23"/>
      <sheetName val="REKAP_SALES_JUNI23"/>
      <sheetName val="REKAP_SALES_JULI23"/>
      <sheetName val="tranfer_to_HSD23"/>
      <sheetName val="Drop_down23"/>
      <sheetName val="Each_Dep_t18"/>
      <sheetName val="Complexity_tool12"/>
      <sheetName val="Look_Up12"/>
      <sheetName val="Gantt_Chart12"/>
      <sheetName val="jul_17pdk11"/>
      <sheetName val="Q-KPI_House_(Supplier)11"/>
      <sheetName val="category_and_gender11"/>
      <sheetName val="Target_Dep_t10"/>
      <sheetName val="FW15_Inline10"/>
      <sheetName val="datas_base_tab9"/>
      <sheetName val="Summary_Produksi9"/>
      <sheetName val="DGchitiet_9"/>
      <sheetName val="dropdown_list9"/>
      <sheetName val="Balance_9"/>
      <sheetName val="NosewLine_9"/>
      <sheetName val="MOVE_PO_9"/>
      <sheetName val="SUM_PLOT_F1-F3-MO9"/>
      <sheetName val="SUM_BM_F1-F3-MO9"/>
      <sheetName val="DATA_REJECT_SABLON9"/>
      <sheetName val="DOA_TIDAK_PUTUS_REZEKI9"/>
      <sheetName val="MB_WIJI9"/>
      <sheetName val="SUM_CRD_F2-F4-SF9"/>
      <sheetName val="SUM_BM_F2-F4-SF9"/>
      <sheetName val="DATA_KURANG_POTONG9"/>
      <sheetName val="ORDER_BARU9"/>
      <sheetName val="ORDER_PINDAHAN9"/>
      <sheetName val="Hasil_Produksi_Sablon_New9"/>
      <sheetName val="lop_tool9"/>
      <sheetName val="Johnny_Cheapo_M-SS08-PPR-018610"/>
      <sheetName val="Tooling_Transfer32"/>
      <sheetName val="Monitor_list_Case_of_Dept_28"/>
      <sheetName val="Dropdown_Box26"/>
      <sheetName val="LBP_DAROGA_2_INF24"/>
      <sheetName val="Transfer_Request24"/>
      <sheetName val="REKAP_SALES_JAN24"/>
      <sheetName val="REKAP_SALES_FEB24"/>
      <sheetName val="REKAP_SALES_MAR24"/>
      <sheetName val="REKAP_SALES_APR24"/>
      <sheetName val="REKAP_SALES_MEI24"/>
      <sheetName val="REKAP_SALES_JUNI24"/>
      <sheetName val="REKAP_SALES_JULI24"/>
      <sheetName val="tranfer_to_HSD24"/>
      <sheetName val="Drop_down24"/>
      <sheetName val="Each_Dep_t19"/>
      <sheetName val="Complexity_tool13"/>
      <sheetName val="Look_Up13"/>
      <sheetName val="Gantt_Chart13"/>
      <sheetName val="jul_17pdk12"/>
      <sheetName val="Q-KPI_House_(Supplier)12"/>
      <sheetName val="category_and_gender12"/>
      <sheetName val="Target_Dep_t11"/>
      <sheetName val="FW15_Inline11"/>
      <sheetName val="datas_base_tab10"/>
      <sheetName val="Summary_Produksi10"/>
      <sheetName val="DGchitiet_10"/>
      <sheetName val="dropdown_list10"/>
      <sheetName val="Balance_10"/>
      <sheetName val="NosewLine_10"/>
      <sheetName val="MOVE_PO_10"/>
      <sheetName val="SUM_PLOT_F1-F3-MO10"/>
      <sheetName val="SUM_BM_F1-F3-MO10"/>
      <sheetName val="DATA_REJECT_SABLON10"/>
      <sheetName val="DOA_TIDAK_PUTUS_REZEKI10"/>
      <sheetName val="MB_WIJI10"/>
      <sheetName val="SUM_CRD_F2-F4-SF10"/>
      <sheetName val="SUM_BM_F2-F4-SF10"/>
      <sheetName val="DATA_KURANG_POTONG10"/>
      <sheetName val="ORDER_BARU10"/>
      <sheetName val="ORDER_PINDAHAN10"/>
      <sheetName val="Hasil_Produksi_Sablon_New10"/>
      <sheetName val="lop_tool10"/>
      <sheetName val="Johnny_Cheapo_M-SS08-PPR-018620"/>
      <sheetName val="Tooling_Transfer33"/>
      <sheetName val="Monitor_list_Case_of_Dept_29"/>
      <sheetName val="Dropdown_Box27"/>
      <sheetName val="LBP_DAROGA_2_INF25"/>
      <sheetName val="Transfer_Request25"/>
      <sheetName val="REKAP_SALES_JAN25"/>
      <sheetName val="REKAP_SALES_FEB25"/>
      <sheetName val="REKAP_SALES_MAR25"/>
      <sheetName val="REKAP_SALES_APR25"/>
      <sheetName val="REKAP_SALES_MEI25"/>
      <sheetName val="REKAP_SALES_JUNI25"/>
      <sheetName val="REKAP_SALES_JULI25"/>
      <sheetName val="tranfer_to_HSD25"/>
      <sheetName val="Drop_down25"/>
      <sheetName val="Each_Dep_t20"/>
      <sheetName val="Complexity_tool14"/>
      <sheetName val="Look_Up14"/>
      <sheetName val="Gantt_Chart14"/>
      <sheetName val="jul_17pdk13"/>
      <sheetName val="Q-KPI_House_(Supplier)13"/>
      <sheetName val="category_and_gender13"/>
      <sheetName val="Target_Dep_t12"/>
      <sheetName val="FW15_Inline12"/>
      <sheetName val="datas_base_tab11"/>
      <sheetName val="Summary_Produksi11"/>
      <sheetName val="DGchitiet_11"/>
      <sheetName val="dropdown_list11"/>
      <sheetName val="Balance_11"/>
      <sheetName val="NosewLine_11"/>
      <sheetName val="MOVE_PO_11"/>
      <sheetName val="SUM_PLOT_F1-F3-MO11"/>
      <sheetName val="SUM_BM_F1-F3-MO11"/>
      <sheetName val="DATA_REJECT_SABLON11"/>
      <sheetName val="DOA_TIDAK_PUTUS_REZEKI11"/>
      <sheetName val="MB_WIJI11"/>
      <sheetName val="SUM_CRD_F2-F4-SF11"/>
      <sheetName val="SUM_BM_F2-F4-SF11"/>
      <sheetName val="DATA_KURANG_POTONG11"/>
      <sheetName val="ORDER_BARU11"/>
      <sheetName val="ORDER_PINDAHAN11"/>
      <sheetName val="Hasil_Produksi_Sablon_New11"/>
      <sheetName val="lop_tool11"/>
      <sheetName val="Johnny_Cheapo_M-SS08-PPR-018621"/>
      <sheetName val="Tooling_Transfer35"/>
      <sheetName val="Monitor_list_Case_of_Dept_31"/>
      <sheetName val="Dropdown_Box29"/>
      <sheetName val="LBP_DAROGA_2_INF27"/>
      <sheetName val="Transfer_Request27"/>
      <sheetName val="REKAP_SALES_JAN27"/>
      <sheetName val="REKAP_SALES_FEB27"/>
      <sheetName val="REKAP_SALES_MAR27"/>
      <sheetName val="REKAP_SALES_APR27"/>
      <sheetName val="REKAP_SALES_MEI27"/>
      <sheetName val="REKAP_SALES_JUNI27"/>
      <sheetName val="REKAP_SALES_JULI27"/>
      <sheetName val="tranfer_to_HSD27"/>
      <sheetName val="Drop_down27"/>
      <sheetName val="Each_Dep_t22"/>
      <sheetName val="Complexity_tool16"/>
      <sheetName val="Look_Up16"/>
      <sheetName val="Gantt_Chart16"/>
      <sheetName val="jul_17pdk15"/>
      <sheetName val="Q-KPI_House_(Supplier)15"/>
      <sheetName val="category_and_gender15"/>
      <sheetName val="Target_Dep_t14"/>
      <sheetName val="FW15_Inline14"/>
      <sheetName val="datas_base_tab13"/>
      <sheetName val="Summary_Produksi13"/>
      <sheetName val="DGchitiet_13"/>
      <sheetName val="dropdown_list13"/>
      <sheetName val="Balance_13"/>
      <sheetName val="NosewLine_13"/>
      <sheetName val="MOVE_PO_13"/>
      <sheetName val="SUM_PLOT_F1-F3-MO13"/>
      <sheetName val="SUM_BM_F1-F3-MO13"/>
      <sheetName val="DATA_REJECT_SABLON13"/>
      <sheetName val="DOA_TIDAK_PUTUS_REZEKI13"/>
      <sheetName val="MB_WIJI13"/>
      <sheetName val="SUM_CRD_F2-F4-SF13"/>
      <sheetName val="SUM_BM_F2-F4-SF13"/>
      <sheetName val="DATA_KURANG_POTONG13"/>
      <sheetName val="ORDER_BARU13"/>
      <sheetName val="ORDER_PINDAHAN13"/>
      <sheetName val="Hasil_Produksi_Sablon_New13"/>
      <sheetName val="lop_tool13"/>
      <sheetName val="Johnny_Cheapo_M-SS08-PPR-018623"/>
      <sheetName val="CHANGE_RATE"/>
      <sheetName val="LUONG_1-2012"/>
      <sheetName val="Tooling_Transfer37"/>
      <sheetName val="Monitor_list_Case_of_Dept_33"/>
      <sheetName val="Dropdown_Box31"/>
      <sheetName val="LBP_DAROGA_2_INF29"/>
      <sheetName val="Transfer_Request29"/>
      <sheetName val="REKAP_SALES_JAN29"/>
      <sheetName val="REKAP_SALES_FEB29"/>
      <sheetName val="REKAP_SALES_MAR29"/>
      <sheetName val="REKAP_SALES_APR29"/>
      <sheetName val="REKAP_SALES_MEI29"/>
      <sheetName val="REKAP_SALES_JUNI29"/>
      <sheetName val="REKAP_SALES_JULI29"/>
      <sheetName val="tranfer_to_HSD29"/>
      <sheetName val="Drop_down29"/>
      <sheetName val="Each_Dep_t24"/>
      <sheetName val="Complexity_tool18"/>
      <sheetName val="Look_Up18"/>
      <sheetName val="Gantt_Chart18"/>
      <sheetName val="jul_17pdk17"/>
      <sheetName val="Q-KPI_House_(Supplier)17"/>
      <sheetName val="category_and_gender17"/>
      <sheetName val="Target_Dep_t16"/>
      <sheetName val="FW15_Inline16"/>
      <sheetName val="datas_base_tab15"/>
      <sheetName val="Summary_Produksi15"/>
      <sheetName val="DGchitiet_15"/>
      <sheetName val="dropdown_list15"/>
      <sheetName val="Balance_15"/>
      <sheetName val="NosewLine_15"/>
      <sheetName val="MOVE_PO_15"/>
      <sheetName val="SUM_PLOT_F1-F3-MO15"/>
      <sheetName val="SUM_BM_F1-F3-MO15"/>
      <sheetName val="DATA_REJECT_SABLON15"/>
      <sheetName val="DOA_TIDAK_PUTUS_REZEKI15"/>
      <sheetName val="MB_WIJI15"/>
      <sheetName val="SUM_CRD_F2-F4-SF15"/>
      <sheetName val="SUM_BM_F2-F4-SF15"/>
      <sheetName val="DATA_KURANG_POTONG15"/>
      <sheetName val="ORDER_BARU15"/>
      <sheetName val="ORDER_PINDAHAN15"/>
      <sheetName val="Hasil_Produksi_Sablon_New15"/>
      <sheetName val="lop_tool15"/>
      <sheetName val="Johnny_Cheapo_M-SS08-PPR-018625"/>
      <sheetName val="Tooling_Transfer36"/>
      <sheetName val="Monitor_list_Case_of_Dept_32"/>
      <sheetName val="Dropdown_Box30"/>
      <sheetName val="LBP_DAROGA_2_INF28"/>
      <sheetName val="Transfer_Request28"/>
      <sheetName val="REKAP_SALES_JAN28"/>
      <sheetName val="REKAP_SALES_FEB28"/>
      <sheetName val="REKAP_SALES_MAR28"/>
      <sheetName val="REKAP_SALES_APR28"/>
      <sheetName val="REKAP_SALES_MEI28"/>
      <sheetName val="REKAP_SALES_JUNI28"/>
      <sheetName val="REKAP_SALES_JULI28"/>
      <sheetName val="tranfer_to_HSD28"/>
      <sheetName val="Drop_down28"/>
      <sheetName val="Each_Dep_t23"/>
      <sheetName val="Complexity_tool17"/>
      <sheetName val="Look_Up17"/>
      <sheetName val="Gantt_Chart17"/>
      <sheetName val="jul_17pdk16"/>
      <sheetName val="Q-KPI_House_(Supplier)16"/>
      <sheetName val="category_and_gender16"/>
      <sheetName val="Target_Dep_t15"/>
      <sheetName val="FW15_Inline15"/>
      <sheetName val="datas_base_tab14"/>
      <sheetName val="Summary_Produksi14"/>
      <sheetName val="DGchitiet_14"/>
      <sheetName val="dropdown_list14"/>
      <sheetName val="Balance_14"/>
      <sheetName val="NosewLine_14"/>
      <sheetName val="MOVE_PO_14"/>
      <sheetName val="SUM_PLOT_F1-F3-MO14"/>
      <sheetName val="SUM_BM_F1-F3-MO14"/>
      <sheetName val="DATA_REJECT_SABLON14"/>
      <sheetName val="DOA_TIDAK_PUTUS_REZEKI14"/>
      <sheetName val="MB_WIJI14"/>
      <sheetName val="SUM_CRD_F2-F4-SF14"/>
      <sheetName val="SUM_BM_F2-F4-SF14"/>
      <sheetName val="DATA_KURANG_POTONG14"/>
      <sheetName val="ORDER_BARU14"/>
      <sheetName val="ORDER_PINDAHAN14"/>
      <sheetName val="Hasil_Produksi_Sablon_New14"/>
      <sheetName val="lop_tool14"/>
      <sheetName val="Johnny_Cheapo_M-SS08-PPR-018624"/>
      <sheetName val="CHANGE_RATE1"/>
      <sheetName val="LUONG_1-20121"/>
      <sheetName val="Tooling_Transfer38"/>
      <sheetName val="Monitor_list_Case_of_Dept_34"/>
      <sheetName val="Dropdown_Box32"/>
      <sheetName val="LBP_DAROGA_2_INF30"/>
      <sheetName val="Transfer_Request30"/>
      <sheetName val="REKAP_SALES_JAN30"/>
      <sheetName val="REKAP_SALES_FEB30"/>
      <sheetName val="REKAP_SALES_MAR30"/>
      <sheetName val="REKAP_SALES_APR30"/>
      <sheetName val="REKAP_SALES_MEI30"/>
      <sheetName val="REKAP_SALES_JUNI30"/>
      <sheetName val="REKAP_SALES_JULI30"/>
      <sheetName val="tranfer_to_HSD30"/>
      <sheetName val="Drop_down30"/>
      <sheetName val="Each_Dep_t25"/>
      <sheetName val="Complexity_tool19"/>
      <sheetName val="Look_Up19"/>
      <sheetName val="Gantt_Chart19"/>
      <sheetName val="jul_17pdk18"/>
      <sheetName val="Q-KPI_House_(Supplier)18"/>
      <sheetName val="category_and_gender18"/>
      <sheetName val="Target_Dep_t17"/>
      <sheetName val="FW15_Inline17"/>
      <sheetName val="datas_base_tab16"/>
      <sheetName val="Summary_Produksi16"/>
      <sheetName val="DGchitiet_16"/>
      <sheetName val="dropdown_list16"/>
      <sheetName val="Balance_16"/>
      <sheetName val="NosewLine_16"/>
      <sheetName val="MOVE_PO_16"/>
      <sheetName val="SUM_PLOT_F1-F3-MO16"/>
      <sheetName val="SUM_BM_F1-F3-MO16"/>
      <sheetName val="DATA_REJECT_SABLON16"/>
      <sheetName val="DOA_TIDAK_PUTUS_REZEKI16"/>
      <sheetName val="MB_WIJI16"/>
      <sheetName val="SUM_CRD_F2-F4-SF16"/>
      <sheetName val="SUM_BM_F2-F4-SF16"/>
      <sheetName val="DATA_KURANG_POTONG16"/>
      <sheetName val="ORDER_BARU16"/>
      <sheetName val="ORDER_PINDAHAN16"/>
      <sheetName val="Hasil_Produksi_Sablon_New16"/>
      <sheetName val="lop_tool16"/>
      <sheetName val="Johnny_Cheapo_M-SS08-PPR-018626"/>
      <sheetName val="CHANGE_RATE2"/>
      <sheetName val="LUONG_1-20122"/>
      <sheetName val="Tooling_Transfer39"/>
      <sheetName val="Monitor_list_Case_of_Dept_35"/>
      <sheetName val="Dropdown_Box33"/>
      <sheetName val="LBP_DAROGA_2_INF31"/>
      <sheetName val="Transfer_Request31"/>
      <sheetName val="REKAP_SALES_JAN31"/>
      <sheetName val="REKAP_SALES_FEB31"/>
      <sheetName val="REKAP_SALES_MAR31"/>
      <sheetName val="REKAP_SALES_APR31"/>
      <sheetName val="REKAP_SALES_MEI31"/>
      <sheetName val="REKAP_SALES_JUNI31"/>
      <sheetName val="REKAP_SALES_JULI31"/>
      <sheetName val="tranfer_to_HSD31"/>
      <sheetName val="Drop_down31"/>
      <sheetName val="Each_Dep_t26"/>
      <sheetName val="Complexity_tool20"/>
      <sheetName val="Look_Up20"/>
      <sheetName val="Gantt_Chart20"/>
      <sheetName val="jul_17pdk19"/>
      <sheetName val="Q-KPI_House_(Supplier)19"/>
      <sheetName val="category_and_gender19"/>
      <sheetName val="Target_Dep_t18"/>
      <sheetName val="FW15_Inline18"/>
      <sheetName val="datas_base_tab17"/>
      <sheetName val="Summary_Produksi17"/>
      <sheetName val="DGchitiet_17"/>
      <sheetName val="dropdown_list17"/>
      <sheetName val="Balance_17"/>
      <sheetName val="NosewLine_17"/>
      <sheetName val="MOVE_PO_17"/>
      <sheetName val="SUM_PLOT_F1-F3-MO17"/>
      <sheetName val="SUM_BM_F1-F3-MO17"/>
      <sheetName val="DATA_REJECT_SABLON17"/>
      <sheetName val="DOA_TIDAK_PUTUS_REZEKI17"/>
      <sheetName val="MB_WIJI17"/>
      <sheetName val="SUM_CRD_F2-F4-SF17"/>
      <sheetName val="SUM_BM_F2-F4-SF17"/>
      <sheetName val="DATA_KURANG_POTONG17"/>
      <sheetName val="ORDER_BARU17"/>
      <sheetName val="ORDER_PINDAHAN17"/>
      <sheetName val="Hasil_Produksi_Sablon_New17"/>
      <sheetName val="lop_tool17"/>
      <sheetName val="Johnny_Cheapo_M-SS08-PPR-018627"/>
      <sheetName val="CHANGE_RATE3"/>
      <sheetName val="LUONG_1-20123"/>
      <sheetName val="Tooling_Transfer40"/>
      <sheetName val="Monitor_list_Case_of_Dept_36"/>
      <sheetName val="Dropdown_Box34"/>
      <sheetName val="LBP_DAROGA_2_INF32"/>
      <sheetName val="Transfer_Request32"/>
      <sheetName val="REKAP_SALES_JAN32"/>
      <sheetName val="REKAP_SALES_FEB32"/>
      <sheetName val="REKAP_SALES_MAR32"/>
      <sheetName val="REKAP_SALES_APR32"/>
      <sheetName val="REKAP_SALES_MEI32"/>
      <sheetName val="REKAP_SALES_JUNI32"/>
      <sheetName val="REKAP_SALES_JULI32"/>
      <sheetName val="tranfer_to_HSD32"/>
      <sheetName val="Drop_down32"/>
      <sheetName val="Each_Dep_t27"/>
      <sheetName val="Complexity_tool21"/>
      <sheetName val="Look_Up21"/>
      <sheetName val="Gantt_Chart21"/>
      <sheetName val="jul_17pdk20"/>
      <sheetName val="Q-KPI_House_(Supplier)20"/>
      <sheetName val="category_and_gender20"/>
      <sheetName val="Target_Dep_t19"/>
      <sheetName val="FW15_Inline19"/>
      <sheetName val="datas_base_tab18"/>
      <sheetName val="Summary_Produksi18"/>
      <sheetName val="DGchitiet_18"/>
      <sheetName val="dropdown_list18"/>
      <sheetName val="Balance_18"/>
      <sheetName val="NosewLine_18"/>
      <sheetName val="MOVE_PO_18"/>
      <sheetName val="SUM_PLOT_F1-F3-MO18"/>
      <sheetName val="SUM_BM_F1-F3-MO18"/>
      <sheetName val="DATA_REJECT_SABLON18"/>
      <sheetName val="DOA_TIDAK_PUTUS_REZEKI18"/>
      <sheetName val="MB_WIJI18"/>
      <sheetName val="SUM_CRD_F2-F4-SF18"/>
      <sheetName val="SUM_BM_F2-F4-SF18"/>
      <sheetName val="DATA_KURANG_POTONG18"/>
      <sheetName val="ORDER_BARU18"/>
      <sheetName val="ORDER_PINDAHAN18"/>
      <sheetName val="Hasil_Produksi_Sablon_New18"/>
      <sheetName val="lop_tool18"/>
      <sheetName val="Johnny_Cheapo_M-SS08-PPR-018628"/>
      <sheetName val="CHANGE_RATE4"/>
      <sheetName val="LUONG_1-20124"/>
      <sheetName val="Tooling_Transfer41"/>
      <sheetName val="Monitor_list_Case_of_Dept_37"/>
      <sheetName val="Dropdown_Box35"/>
      <sheetName val="LBP_DAROGA_2_INF33"/>
      <sheetName val="Transfer_Request33"/>
      <sheetName val="REKAP_SALES_JAN33"/>
      <sheetName val="REKAP_SALES_FEB33"/>
      <sheetName val="REKAP_SALES_MAR33"/>
      <sheetName val="REKAP_SALES_APR33"/>
      <sheetName val="REKAP_SALES_MEI33"/>
      <sheetName val="REKAP_SALES_JUNI33"/>
      <sheetName val="REKAP_SALES_JULI33"/>
      <sheetName val="tranfer_to_HSD33"/>
      <sheetName val="Drop_down33"/>
      <sheetName val="Each_Dep_t28"/>
      <sheetName val="Complexity_tool22"/>
      <sheetName val="Look_Up22"/>
      <sheetName val="Gantt_Chart22"/>
      <sheetName val="jul_17pdk21"/>
      <sheetName val="Q-KPI_House_(Supplier)21"/>
      <sheetName val="category_and_gender21"/>
      <sheetName val="Target_Dep_t20"/>
      <sheetName val="FW15_Inline20"/>
      <sheetName val="datas_base_tab19"/>
      <sheetName val="Summary_Produksi19"/>
      <sheetName val="DGchitiet_19"/>
      <sheetName val="dropdown_list19"/>
      <sheetName val="Balance_19"/>
      <sheetName val="NosewLine_19"/>
      <sheetName val="MOVE_PO_19"/>
      <sheetName val="SUM_PLOT_F1-F3-MO19"/>
      <sheetName val="SUM_BM_F1-F3-MO19"/>
      <sheetName val="DATA_REJECT_SABLON19"/>
      <sheetName val="DOA_TIDAK_PUTUS_REZEKI19"/>
      <sheetName val="MB_WIJI19"/>
      <sheetName val="SUM_CRD_F2-F4-SF19"/>
      <sheetName val="SUM_BM_F2-F4-SF19"/>
      <sheetName val="DATA_KURANG_POTONG19"/>
      <sheetName val="ORDER_BARU19"/>
      <sheetName val="ORDER_PINDAHAN19"/>
      <sheetName val="Hasil_Produksi_Sablon_New19"/>
      <sheetName val="lop_tool19"/>
      <sheetName val="Johnny_Cheapo_M-SS08-PPR-018629"/>
      <sheetName val="CHANGE_RATE5"/>
      <sheetName val="LUONG_1-20125"/>
      <sheetName val="Orientation"/>
      <sheetName val="Report"/>
      <sheetName val="Delivery"/>
      <sheetName val="Supplier List"/>
      <sheetName val="Tooling_Transfer42"/>
      <sheetName val="Monitor_list_Case_of_Dept_38"/>
      <sheetName val="Dropdown_Box36"/>
      <sheetName val="LBP_DAROGA_2_INF34"/>
      <sheetName val="Transfer_Request34"/>
      <sheetName val="tranfer_to_HSD34"/>
      <sheetName val="REKAP_SALES_JAN34"/>
      <sheetName val="REKAP_SALES_FEB34"/>
      <sheetName val="REKAP_SALES_MAR34"/>
      <sheetName val="REKAP_SALES_APR34"/>
      <sheetName val="REKAP_SALES_MEI34"/>
      <sheetName val="REKAP_SALES_JUNI34"/>
      <sheetName val="REKAP_SALES_JULI34"/>
      <sheetName val="Drop_down34"/>
      <sheetName val="Each_Dep_t29"/>
      <sheetName val="Complexity_tool23"/>
      <sheetName val="Look_Up23"/>
      <sheetName val="Gantt_Chart23"/>
      <sheetName val="jul_17pdk22"/>
      <sheetName val="Q-KPI_House_(Supplier)22"/>
      <sheetName val="category_and_gender22"/>
      <sheetName val="Target_Dep_t21"/>
      <sheetName val="FW15_Inline21"/>
      <sheetName val="Summary_Produksi20"/>
      <sheetName val="datas_base_tab20"/>
      <sheetName val="Balance_20"/>
      <sheetName val="NosewLine_20"/>
      <sheetName val="MOVE_PO_20"/>
      <sheetName val="SUM_PLOT_F1-F3-MO20"/>
      <sheetName val="SUM_BM_F1-F3-MO20"/>
      <sheetName val="DATA_REJECT_SABLON20"/>
      <sheetName val="DOA_TIDAK_PUTUS_REZEKI20"/>
      <sheetName val="MB_WIJI20"/>
      <sheetName val="SUM_CRD_F2-F4-SF20"/>
      <sheetName val="SUM_BM_F2-F4-SF20"/>
      <sheetName val="DATA_KURANG_POTONG20"/>
      <sheetName val="ORDER_BARU20"/>
      <sheetName val="ORDER_PINDAHAN20"/>
      <sheetName val="Hasil_Produksi_Sablon_New20"/>
      <sheetName val="DGchitiet_20"/>
      <sheetName val="dropdown_list20"/>
      <sheetName val="lop_tool20"/>
      <sheetName val="Johnny_Cheapo_M-SS08-PPR-018630"/>
      <sheetName val="LUONG_1-20126"/>
      <sheetName val="CHANGE_RATE6"/>
      <sheetName val="SIZE_RUN_D_0804022"/>
      <sheetName val="MINUS_SCAN_PROD"/>
      <sheetName val="DAILY_BALANCE_15_MAY_2024"/>
      <sheetName val="Monthly_Summary"/>
      <sheetName val="Rolling12_Summary"/>
      <sheetName val="HIDE_dropdown list"/>
      <sheetName val="CODE"/>
      <sheetName val="Grafik (weekly) (2)"/>
      <sheetName val="summary"/>
      <sheetName val="Data Sheet"/>
      <sheetName val="tooling"/>
      <sheetName val="Info"/>
      <sheetName val="HIDE_dropdown_list"/>
      <sheetName val="analis"/>
      <sheetName val="Vendor_Optional_Field_Values"/>
      <sheetName val="Quantity"/>
      <sheetName val="Drop List"/>
      <sheetName val="注文書"/>
      <sheetName val="MAIN MENU"/>
      <sheetName val="Tooling_Transfer43"/>
      <sheetName val="Monitor_list_Case_of_Dept_39"/>
      <sheetName val="Dropdown_Box37"/>
      <sheetName val="LBP_DAROGA_2_INF35"/>
      <sheetName val="Transfer_Request35"/>
      <sheetName val="tranfer_to_HSD35"/>
      <sheetName val="REKAP_SALES_JAN35"/>
      <sheetName val="REKAP_SALES_FEB35"/>
      <sheetName val="REKAP_SALES_MAR35"/>
      <sheetName val="REKAP_SALES_APR35"/>
      <sheetName val="REKAP_SALES_MEI35"/>
      <sheetName val="REKAP_SALES_JUNI35"/>
      <sheetName val="REKAP_SALES_JULI35"/>
      <sheetName val="Drop_down35"/>
      <sheetName val="Each_Dep_t30"/>
      <sheetName val="Complexity_tool24"/>
      <sheetName val="Look_Up24"/>
      <sheetName val="Gantt_Chart24"/>
      <sheetName val="jul_17pdk23"/>
      <sheetName val="Q-KPI_House_(Supplier)23"/>
      <sheetName val="category_and_gender23"/>
      <sheetName val="Target_Dep_t22"/>
      <sheetName val="FW15_Inline22"/>
      <sheetName val="datas_base_tab21"/>
      <sheetName val="Summary_Produksi21"/>
      <sheetName val="DGchitiet_21"/>
      <sheetName val="dropdown_list21"/>
      <sheetName val="MINUS_SCAN_PROD1"/>
      <sheetName val="Balance_21"/>
      <sheetName val="NosewLine_21"/>
      <sheetName val="MOVE_PO_21"/>
      <sheetName val="SUM_PLOT_F1-F3-MO21"/>
      <sheetName val="SUM_BM_F1-F3-MO21"/>
      <sheetName val="DATA_REJECT_SABLON21"/>
      <sheetName val="DOA_TIDAK_PUTUS_REZEKI21"/>
      <sheetName val="MB_WIJI21"/>
      <sheetName val="SUM_CRD_F2-F4-SF21"/>
      <sheetName val="SUM_BM_F2-F4-SF21"/>
      <sheetName val="DATA_KURANG_POTONG21"/>
      <sheetName val="ORDER_BARU21"/>
      <sheetName val="ORDER_PINDAHAN21"/>
      <sheetName val="Hasil_Produksi_Sablon_New21"/>
      <sheetName val="lop_tool21"/>
      <sheetName val="Johnny_Cheapo_M-SS08-PPR-018631"/>
      <sheetName val="LUONG_1-20127"/>
      <sheetName val="CHANGE_RATE7"/>
      <sheetName val="SIZE_RUN_D_08040221"/>
      <sheetName val="Data_Sheet"/>
      <sheetName val="SIZE_RUN_D_08040222"/>
      <sheetName val="DAILY_BALANCE_15_MAY_20241"/>
      <sheetName val="Monthly_Summary1"/>
      <sheetName val="Rolling12_Summary1"/>
      <sheetName val="HIDE_dropdown_list1"/>
      <sheetName val="Data_Sheet1"/>
      <sheetName val="BASIC"/>
      <sheetName val="FW2005 KSA Magic List"/>
      <sheetName val="Detail - Dec"/>
      <sheetName val="PL (YTD)"/>
      <sheetName val="2229-1"/>
      <sheetName val="明细分类账"/>
      <sheetName val="基本参数"/>
      <sheetName val="07夏上会产品确认版 "/>
      <sheetName val="PF-OFFICE"/>
      <sheetName val="1999cf"/>
      <sheetName val="STATEMENT OF EXP. &amp; HO ACCOUNT"/>
      <sheetName val="PL (MONTHLY)"/>
      <sheetName val="Tooling_Transfer45"/>
      <sheetName val="Monitor_list_Case_of_Dept_41"/>
      <sheetName val="Dropdown_Box39"/>
      <sheetName val="LBP_DAROGA_2_INF37"/>
      <sheetName val="Transfer_Request37"/>
      <sheetName val="tranfer_to_HSD37"/>
      <sheetName val="REKAP_SALES_JAN37"/>
      <sheetName val="REKAP_SALES_FEB37"/>
      <sheetName val="REKAP_SALES_MAR37"/>
      <sheetName val="REKAP_SALES_APR37"/>
      <sheetName val="REKAP_SALES_MEI37"/>
      <sheetName val="REKAP_SALES_JUNI37"/>
      <sheetName val="REKAP_SALES_JULI37"/>
      <sheetName val="Drop_down37"/>
      <sheetName val="Each_Dep_t32"/>
      <sheetName val="Complexity_tool26"/>
      <sheetName val="Look_Up26"/>
      <sheetName val="Gantt_Chart26"/>
      <sheetName val="jul_17pdk25"/>
      <sheetName val="Q-KPI_House_(Supplier)25"/>
      <sheetName val="category_and_gender25"/>
      <sheetName val="Target_Dep_t24"/>
      <sheetName val="FW15_Inline24"/>
      <sheetName val="datas_base_tab23"/>
      <sheetName val="Summary_Produksi23"/>
      <sheetName val="DGchitiet_23"/>
      <sheetName val="dropdown_list23"/>
      <sheetName val="MINUS_SCAN_PROD3"/>
      <sheetName val="Balance_23"/>
      <sheetName val="NosewLine_23"/>
      <sheetName val="MOVE_PO_23"/>
      <sheetName val="SUM_PLOT_F1-F3-MO23"/>
      <sheetName val="SUM_BM_F1-F3-MO23"/>
      <sheetName val="DATA_REJECT_SABLON23"/>
      <sheetName val="DOA_TIDAK_PUTUS_REZEKI23"/>
      <sheetName val="MB_WIJI23"/>
      <sheetName val="SUM_CRD_F2-F4-SF23"/>
      <sheetName val="SUM_BM_F2-F4-SF23"/>
      <sheetName val="DATA_KURANG_POTONG23"/>
      <sheetName val="ORDER_BARU23"/>
      <sheetName val="ORDER_PINDAHAN23"/>
      <sheetName val="Hasil_Produksi_Sablon_New23"/>
      <sheetName val="lop_tool23"/>
      <sheetName val="Johnny_Cheapo_M-SS08-PPR-018633"/>
      <sheetName val="LUONG_1-20129"/>
      <sheetName val="CHANGE_RATE9"/>
      <sheetName val="SIZE_RUN_D_08040223"/>
      <sheetName val="Monthly_Summary2"/>
      <sheetName val="Rolling12_Summary2"/>
      <sheetName val="DAILY_BALANCE_15_MAY_20242"/>
      <sheetName val="HIDE_dropdown_list2"/>
      <sheetName val="Data_Sheet2"/>
      <sheetName val="Supplier_List1"/>
      <sheetName val="Grafik_(weekly)_(2)"/>
      <sheetName val="Tooling_Transfer44"/>
      <sheetName val="Monitor_list_Case_of_Dept_40"/>
      <sheetName val="Dropdown_Box38"/>
      <sheetName val="LBP_DAROGA_2_INF36"/>
      <sheetName val="Transfer_Request36"/>
      <sheetName val="REKAP_SALES_JAN36"/>
      <sheetName val="REKAP_SALES_FEB36"/>
      <sheetName val="REKAP_SALES_MAR36"/>
      <sheetName val="REKAP_SALES_APR36"/>
      <sheetName val="REKAP_SALES_MEI36"/>
      <sheetName val="REKAP_SALES_JUNI36"/>
      <sheetName val="REKAP_SALES_JULI36"/>
      <sheetName val="tranfer_to_HSD36"/>
      <sheetName val="Drop_down36"/>
      <sheetName val="Each_Dep_t31"/>
      <sheetName val="Complexity_tool25"/>
      <sheetName val="Look_Up25"/>
      <sheetName val="Gantt_Chart25"/>
      <sheetName val="jul_17pdk24"/>
      <sheetName val="Q-KPI_House_(Supplier)24"/>
      <sheetName val="category_and_gender24"/>
      <sheetName val="Target_Dep_t23"/>
      <sheetName val="FW15_Inline23"/>
      <sheetName val="datas_base_tab22"/>
      <sheetName val="Summary_Produksi22"/>
      <sheetName val="DGchitiet_22"/>
      <sheetName val="dropdown_list22"/>
      <sheetName val="Balance_22"/>
      <sheetName val="NosewLine_22"/>
      <sheetName val="MOVE_PO_22"/>
      <sheetName val="SUM_PLOT_F1-F3-MO22"/>
      <sheetName val="SUM_BM_F1-F3-MO22"/>
      <sheetName val="DATA_REJECT_SABLON22"/>
      <sheetName val="DOA_TIDAK_PUTUS_REZEKI22"/>
      <sheetName val="MB_WIJI22"/>
      <sheetName val="SUM_CRD_F2-F4-SF22"/>
      <sheetName val="SUM_BM_F2-F4-SF22"/>
      <sheetName val="DATA_KURANG_POTONG22"/>
      <sheetName val="ORDER_BARU22"/>
      <sheetName val="ORDER_PINDAHAN22"/>
      <sheetName val="Hasil_Produksi_Sablon_New22"/>
      <sheetName val="lop_tool22"/>
      <sheetName val="Johnny_Cheapo_M-SS08-PPR-018632"/>
      <sheetName val="LUONG_1-20128"/>
      <sheetName val="CHANGE_RATE8"/>
      <sheetName val="MINUS_SCAN_PROD2"/>
      <sheetName val="Supplier_List"/>
      <sheetName val="LacTy"/>
      <sheetName val="BP raw"/>
      <sheetName val="RAW DATA"/>
      <sheetName val="MTF"/>
      <sheetName val="OPEN FC"/>
      <sheetName val="DropDownlists"/>
    </sheetNames>
    <sheetDataSet>
      <sheetData sheetId="0">
        <row r="2">
          <cell r="B2" t="str">
            <v>Please select</v>
          </cell>
        </row>
      </sheetData>
      <sheetData sheetId="1"/>
      <sheetData sheetId="2">
        <row r="2">
          <cell r="B2" t="str">
            <v>Please select</v>
          </cell>
          <cell r="C2" t="str">
            <v>Utilize factory capacity</v>
          </cell>
        </row>
        <row r="3">
          <cell r="B3" t="str">
            <v>Add'l article/model transfer (Complete)</v>
          </cell>
          <cell r="C3" t="str">
            <v>Optimize landed cost</v>
          </cell>
        </row>
        <row r="4">
          <cell r="B4" t="str">
            <v>Add'l article/model transfer (Dual Source)</v>
          </cell>
          <cell r="C4" t="str">
            <v>Follow current season allocation</v>
          </cell>
        </row>
        <row r="5">
          <cell r="B5" t="str">
            <v>CKD Transfer</v>
          </cell>
          <cell r="C5" t="str">
            <v>Follow tooling location</v>
          </cell>
        </row>
        <row r="6">
          <cell r="B6" t="str">
            <v>Complete Transfer</v>
          </cell>
          <cell r="C6" t="str">
            <v>Follow the latest sourcing direction</v>
          </cell>
        </row>
        <row r="7">
          <cell r="B7" t="str">
            <v>Dual Source Transfer</v>
          </cell>
          <cell r="C7" t="str">
            <v>Consolidation</v>
          </cell>
        </row>
        <row r="9">
          <cell r="B9" t="str">
            <v>0131594332</v>
          </cell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>
        <row r="2">
          <cell r="B2" t="str">
            <v>Please select</v>
          </cell>
        </row>
      </sheetData>
      <sheetData sheetId="9">
        <row r="2">
          <cell r="B2" t="str">
            <v>Please select</v>
          </cell>
        </row>
      </sheetData>
      <sheetData sheetId="10">
        <row r="2">
          <cell r="B2" t="str">
            <v>Please select</v>
          </cell>
        </row>
      </sheetData>
      <sheetData sheetId="11">
        <row r="2">
          <cell r="B2" t="str">
            <v>Please select</v>
          </cell>
        </row>
      </sheetData>
      <sheetData sheetId="12">
        <row r="2">
          <cell r="B2" t="str">
            <v>Please select</v>
          </cell>
        </row>
      </sheetData>
      <sheetData sheetId="13">
        <row r="2">
          <cell r="B2" t="str">
            <v>Please select</v>
          </cell>
        </row>
      </sheetData>
      <sheetData sheetId="14">
        <row r="2">
          <cell r="B2" t="str">
            <v>Please select</v>
          </cell>
        </row>
      </sheetData>
      <sheetData sheetId="15">
        <row r="2">
          <cell r="B2" t="str">
            <v>Please select</v>
          </cell>
        </row>
      </sheetData>
      <sheetData sheetId="16">
        <row r="2">
          <cell r="B2" t="str">
            <v>Please select</v>
          </cell>
        </row>
      </sheetData>
      <sheetData sheetId="17">
        <row r="2">
          <cell r="B2" t="str">
            <v>Please select</v>
          </cell>
        </row>
      </sheetData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>
        <row r="2">
          <cell r="C2">
            <v>0</v>
          </cell>
        </row>
      </sheetData>
      <sheetData sheetId="285">
        <row r="2">
          <cell r="C2">
            <v>0</v>
          </cell>
        </row>
      </sheetData>
      <sheetData sheetId="286">
        <row r="2">
          <cell r="C2">
            <v>0</v>
          </cell>
        </row>
      </sheetData>
      <sheetData sheetId="287">
        <row r="2">
          <cell r="C2">
            <v>0</v>
          </cell>
        </row>
      </sheetData>
      <sheetData sheetId="288">
        <row r="2">
          <cell r="C2">
            <v>0</v>
          </cell>
        </row>
      </sheetData>
      <sheetData sheetId="289">
        <row r="2">
          <cell r="C2">
            <v>0</v>
          </cell>
        </row>
      </sheetData>
      <sheetData sheetId="290">
        <row r="2">
          <cell r="C2">
            <v>0</v>
          </cell>
        </row>
      </sheetData>
      <sheetData sheetId="291">
        <row r="2">
          <cell r="C2">
            <v>0</v>
          </cell>
        </row>
      </sheetData>
      <sheetData sheetId="292">
        <row r="2">
          <cell r="C2">
            <v>0</v>
          </cell>
        </row>
      </sheetData>
      <sheetData sheetId="293">
        <row r="2">
          <cell r="C2">
            <v>0</v>
          </cell>
        </row>
      </sheetData>
      <sheetData sheetId="294">
        <row r="2">
          <cell r="C2">
            <v>0</v>
          </cell>
        </row>
      </sheetData>
      <sheetData sheetId="295">
        <row r="2">
          <cell r="C2">
            <v>0</v>
          </cell>
        </row>
      </sheetData>
      <sheetData sheetId="296">
        <row r="2">
          <cell r="C2">
            <v>0</v>
          </cell>
        </row>
      </sheetData>
      <sheetData sheetId="297">
        <row r="2">
          <cell r="C2">
            <v>0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>
        <row r="2">
          <cell r="C2">
            <v>0</v>
          </cell>
        </row>
      </sheetData>
      <sheetData sheetId="303">
        <row r="2">
          <cell r="C2">
            <v>0</v>
          </cell>
        </row>
      </sheetData>
      <sheetData sheetId="304">
        <row r="2">
          <cell r="C2">
            <v>0</v>
          </cell>
        </row>
      </sheetData>
      <sheetData sheetId="305">
        <row r="2">
          <cell r="C2">
            <v>0</v>
          </cell>
        </row>
      </sheetData>
      <sheetData sheetId="306">
        <row r="2">
          <cell r="C2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2">
          <cell r="B2" t="str">
            <v>Please select</v>
          </cell>
        </row>
      </sheetData>
      <sheetData sheetId="323">
        <row r="2">
          <cell r="B2" t="str">
            <v>Please select</v>
          </cell>
        </row>
      </sheetData>
      <sheetData sheetId="324">
        <row r="2">
          <cell r="B2" t="str">
            <v>Please select</v>
          </cell>
        </row>
      </sheetData>
      <sheetData sheetId="325">
        <row r="2">
          <cell r="B2" t="str">
            <v>Please select</v>
          </cell>
        </row>
      </sheetData>
      <sheetData sheetId="326">
        <row r="2">
          <cell r="B2" t="str">
            <v>Please select</v>
          </cell>
        </row>
      </sheetData>
      <sheetData sheetId="327">
        <row r="2">
          <cell r="B2" t="str">
            <v>Please select</v>
          </cell>
        </row>
      </sheetData>
      <sheetData sheetId="328">
        <row r="2">
          <cell r="B2" t="str">
            <v>Please select</v>
          </cell>
        </row>
      </sheetData>
      <sheetData sheetId="329">
        <row r="2">
          <cell r="B2" t="str">
            <v>Please select</v>
          </cell>
        </row>
      </sheetData>
      <sheetData sheetId="330">
        <row r="2">
          <cell r="B2" t="str">
            <v>Please select</v>
          </cell>
        </row>
      </sheetData>
      <sheetData sheetId="331">
        <row r="2">
          <cell r="B2" t="str">
            <v>Please select</v>
          </cell>
        </row>
      </sheetData>
      <sheetData sheetId="332">
        <row r="2">
          <cell r="B2" t="str">
            <v>Please select</v>
          </cell>
        </row>
      </sheetData>
      <sheetData sheetId="333">
        <row r="2">
          <cell r="B2" t="str">
            <v>Please select</v>
          </cell>
        </row>
      </sheetData>
      <sheetData sheetId="334">
        <row r="2">
          <cell r="B2" t="str">
            <v>Please select</v>
          </cell>
        </row>
      </sheetData>
      <sheetData sheetId="335">
        <row r="2">
          <cell r="B2" t="str">
            <v>Please select</v>
          </cell>
        </row>
      </sheetData>
      <sheetData sheetId="336">
        <row r="2">
          <cell r="B2" t="str">
            <v>Please select</v>
          </cell>
        </row>
      </sheetData>
      <sheetData sheetId="337">
        <row r="2">
          <cell r="B2" t="str">
            <v>Please select</v>
          </cell>
        </row>
      </sheetData>
      <sheetData sheetId="338">
        <row r="2">
          <cell r="B2" t="str">
            <v>Please select</v>
          </cell>
        </row>
      </sheetData>
      <sheetData sheetId="339">
        <row r="2">
          <cell r="B2" t="str">
            <v>Please select</v>
          </cell>
        </row>
      </sheetData>
      <sheetData sheetId="340">
        <row r="2">
          <cell r="B2" t="str">
            <v>Please select</v>
          </cell>
        </row>
      </sheetData>
      <sheetData sheetId="341">
        <row r="2">
          <cell r="B2" t="str">
            <v>Please select</v>
          </cell>
        </row>
      </sheetData>
      <sheetData sheetId="342">
        <row r="2">
          <cell r="B2" t="str">
            <v>Please select</v>
          </cell>
        </row>
      </sheetData>
      <sheetData sheetId="343">
        <row r="2">
          <cell r="B2" t="str">
            <v>Please select</v>
          </cell>
        </row>
      </sheetData>
      <sheetData sheetId="344">
        <row r="2">
          <cell r="B2" t="str">
            <v>Please select</v>
          </cell>
        </row>
      </sheetData>
      <sheetData sheetId="345">
        <row r="2">
          <cell r="B2" t="str">
            <v>Please select</v>
          </cell>
        </row>
      </sheetData>
      <sheetData sheetId="346">
        <row r="2">
          <cell r="B2" t="str">
            <v>Please select</v>
          </cell>
        </row>
      </sheetData>
      <sheetData sheetId="347">
        <row r="2">
          <cell r="B2" t="str">
            <v>Please select</v>
          </cell>
        </row>
      </sheetData>
      <sheetData sheetId="348">
        <row r="2">
          <cell r="B2" t="str">
            <v>Please select</v>
          </cell>
        </row>
      </sheetData>
      <sheetData sheetId="349">
        <row r="2">
          <cell r="B2" t="str">
            <v>Please select</v>
          </cell>
        </row>
      </sheetData>
      <sheetData sheetId="350">
        <row r="2">
          <cell r="B2" t="str">
            <v>Please select</v>
          </cell>
        </row>
      </sheetData>
      <sheetData sheetId="351">
        <row r="2">
          <cell r="B2" t="str">
            <v>Please select</v>
          </cell>
        </row>
      </sheetData>
      <sheetData sheetId="352">
        <row r="2">
          <cell r="B2" t="str">
            <v>Please select</v>
          </cell>
        </row>
      </sheetData>
      <sheetData sheetId="353">
        <row r="2">
          <cell r="B2" t="str">
            <v>Please select</v>
          </cell>
        </row>
      </sheetData>
      <sheetData sheetId="354">
        <row r="2">
          <cell r="B2" t="str">
            <v>Please select</v>
          </cell>
        </row>
      </sheetData>
      <sheetData sheetId="355">
        <row r="2">
          <cell r="B2" t="str">
            <v>Please select</v>
          </cell>
        </row>
      </sheetData>
      <sheetData sheetId="356">
        <row r="2">
          <cell r="B2" t="str">
            <v>Please select</v>
          </cell>
        </row>
      </sheetData>
      <sheetData sheetId="357">
        <row r="2">
          <cell r="B2" t="str">
            <v>Please select</v>
          </cell>
        </row>
      </sheetData>
      <sheetData sheetId="358">
        <row r="2">
          <cell r="B2" t="str">
            <v>Please select</v>
          </cell>
        </row>
      </sheetData>
      <sheetData sheetId="359">
        <row r="2">
          <cell r="B2" t="str">
            <v>Please select</v>
          </cell>
        </row>
      </sheetData>
      <sheetData sheetId="360">
        <row r="2">
          <cell r="B2" t="str">
            <v>Please select</v>
          </cell>
        </row>
      </sheetData>
      <sheetData sheetId="361">
        <row r="2">
          <cell r="B2" t="str">
            <v>Please select</v>
          </cell>
        </row>
      </sheetData>
      <sheetData sheetId="362">
        <row r="2">
          <cell r="B2" t="str">
            <v>Please select</v>
          </cell>
        </row>
      </sheetData>
      <sheetData sheetId="363">
        <row r="2">
          <cell r="B2" t="str">
            <v>Please select</v>
          </cell>
        </row>
      </sheetData>
      <sheetData sheetId="364">
        <row r="2">
          <cell r="B2" t="str">
            <v>Please select</v>
          </cell>
        </row>
      </sheetData>
      <sheetData sheetId="365">
        <row r="2">
          <cell r="B2" t="str">
            <v>Please select</v>
          </cell>
        </row>
      </sheetData>
      <sheetData sheetId="366">
        <row r="2">
          <cell r="B2" t="str">
            <v>Please select</v>
          </cell>
        </row>
      </sheetData>
      <sheetData sheetId="367">
        <row r="2">
          <cell r="B2" t="str">
            <v>Please select</v>
          </cell>
        </row>
      </sheetData>
      <sheetData sheetId="368">
        <row r="2">
          <cell r="B2" t="str">
            <v>Please select</v>
          </cell>
        </row>
      </sheetData>
      <sheetData sheetId="369">
        <row r="2">
          <cell r="B2" t="str">
            <v>Please select</v>
          </cell>
        </row>
      </sheetData>
      <sheetData sheetId="370">
        <row r="2">
          <cell r="B2" t="str">
            <v>Please select</v>
          </cell>
        </row>
      </sheetData>
      <sheetData sheetId="371">
        <row r="2">
          <cell r="B2" t="str">
            <v>Please select</v>
          </cell>
        </row>
      </sheetData>
      <sheetData sheetId="372">
        <row r="2">
          <cell r="B2" t="str">
            <v>Please select</v>
          </cell>
        </row>
      </sheetData>
      <sheetData sheetId="373">
        <row r="2">
          <cell r="B2" t="str">
            <v>Please select</v>
          </cell>
        </row>
      </sheetData>
      <sheetData sheetId="374">
        <row r="2">
          <cell r="B2" t="str">
            <v>Please select</v>
          </cell>
        </row>
      </sheetData>
      <sheetData sheetId="375">
        <row r="2">
          <cell r="B2" t="str">
            <v>Please select</v>
          </cell>
        </row>
      </sheetData>
      <sheetData sheetId="376">
        <row r="2">
          <cell r="B2" t="str">
            <v>Please select</v>
          </cell>
        </row>
      </sheetData>
      <sheetData sheetId="377">
        <row r="2">
          <cell r="B2" t="str">
            <v>Please select</v>
          </cell>
        </row>
      </sheetData>
      <sheetData sheetId="378">
        <row r="2">
          <cell r="B2" t="str">
            <v>Please select</v>
          </cell>
        </row>
      </sheetData>
      <sheetData sheetId="379">
        <row r="2">
          <cell r="B2" t="str">
            <v>Please select</v>
          </cell>
        </row>
      </sheetData>
      <sheetData sheetId="380">
        <row r="2">
          <cell r="B2" t="str">
            <v>Please select</v>
          </cell>
        </row>
      </sheetData>
      <sheetData sheetId="381">
        <row r="2">
          <cell r="B2" t="str">
            <v>Please select</v>
          </cell>
        </row>
      </sheetData>
      <sheetData sheetId="382">
        <row r="2">
          <cell r="B2" t="str">
            <v>Please select</v>
          </cell>
        </row>
      </sheetData>
      <sheetData sheetId="383">
        <row r="2">
          <cell r="B2" t="str">
            <v>Please select</v>
          </cell>
        </row>
      </sheetData>
      <sheetData sheetId="384">
        <row r="2">
          <cell r="B2" t="str">
            <v>Please select</v>
          </cell>
        </row>
      </sheetData>
      <sheetData sheetId="385">
        <row r="2">
          <cell r="B2" t="str">
            <v>Please select</v>
          </cell>
        </row>
      </sheetData>
      <sheetData sheetId="386">
        <row r="2">
          <cell r="B2" t="str">
            <v>Please select</v>
          </cell>
        </row>
      </sheetData>
      <sheetData sheetId="387">
        <row r="2">
          <cell r="B2" t="str">
            <v>Please select</v>
          </cell>
        </row>
      </sheetData>
      <sheetData sheetId="388">
        <row r="2">
          <cell r="B2" t="str">
            <v>Please select</v>
          </cell>
        </row>
      </sheetData>
      <sheetData sheetId="389">
        <row r="2">
          <cell r="B2" t="str">
            <v>Please select</v>
          </cell>
        </row>
      </sheetData>
      <sheetData sheetId="390">
        <row r="2">
          <cell r="B2" t="str">
            <v>Please select</v>
          </cell>
        </row>
      </sheetData>
      <sheetData sheetId="391">
        <row r="2">
          <cell r="B2" t="str">
            <v>Please select</v>
          </cell>
        </row>
      </sheetData>
      <sheetData sheetId="392">
        <row r="2">
          <cell r="B2" t="str">
            <v>Please select</v>
          </cell>
        </row>
      </sheetData>
      <sheetData sheetId="393">
        <row r="2">
          <cell r="B2" t="str">
            <v>Please select</v>
          </cell>
        </row>
      </sheetData>
      <sheetData sheetId="394">
        <row r="2">
          <cell r="B2" t="str">
            <v>Please select</v>
          </cell>
        </row>
      </sheetData>
      <sheetData sheetId="395">
        <row r="2">
          <cell r="B2" t="str">
            <v>Please select</v>
          </cell>
        </row>
      </sheetData>
      <sheetData sheetId="396">
        <row r="2">
          <cell r="B2" t="str">
            <v>Please select</v>
          </cell>
        </row>
      </sheetData>
      <sheetData sheetId="397">
        <row r="2">
          <cell r="B2" t="str">
            <v>Please select</v>
          </cell>
        </row>
      </sheetData>
      <sheetData sheetId="398">
        <row r="2">
          <cell r="B2" t="str">
            <v>Please select</v>
          </cell>
        </row>
      </sheetData>
      <sheetData sheetId="399">
        <row r="2">
          <cell r="B2" t="str">
            <v>Please select</v>
          </cell>
        </row>
      </sheetData>
      <sheetData sheetId="400">
        <row r="2">
          <cell r="B2" t="str">
            <v>Please select</v>
          </cell>
        </row>
      </sheetData>
      <sheetData sheetId="401">
        <row r="2">
          <cell r="B2" t="str">
            <v>Please select</v>
          </cell>
        </row>
      </sheetData>
      <sheetData sheetId="402">
        <row r="2">
          <cell r="B2" t="str">
            <v>Please select</v>
          </cell>
        </row>
      </sheetData>
      <sheetData sheetId="403">
        <row r="2">
          <cell r="B2" t="str">
            <v>Please select</v>
          </cell>
        </row>
      </sheetData>
      <sheetData sheetId="404">
        <row r="2">
          <cell r="B2" t="str">
            <v>Please select</v>
          </cell>
        </row>
      </sheetData>
      <sheetData sheetId="405">
        <row r="2">
          <cell r="B2" t="str">
            <v>Please select</v>
          </cell>
        </row>
      </sheetData>
      <sheetData sheetId="406">
        <row r="2">
          <cell r="B2" t="str">
            <v>Please select</v>
          </cell>
        </row>
      </sheetData>
      <sheetData sheetId="407">
        <row r="2">
          <cell r="B2" t="str">
            <v>Please select</v>
          </cell>
        </row>
      </sheetData>
      <sheetData sheetId="408">
        <row r="2">
          <cell r="B2" t="str">
            <v>Please select</v>
          </cell>
        </row>
      </sheetData>
      <sheetData sheetId="409">
        <row r="2">
          <cell r="B2" t="str">
            <v>Please select</v>
          </cell>
        </row>
      </sheetData>
      <sheetData sheetId="410">
        <row r="2">
          <cell r="B2" t="str">
            <v>Please select</v>
          </cell>
        </row>
      </sheetData>
      <sheetData sheetId="411">
        <row r="2">
          <cell r="B2" t="str">
            <v>Please select</v>
          </cell>
        </row>
      </sheetData>
      <sheetData sheetId="412">
        <row r="2">
          <cell r="B2" t="str">
            <v>Please select</v>
          </cell>
        </row>
      </sheetData>
      <sheetData sheetId="413">
        <row r="2">
          <cell r="B2" t="str">
            <v>Please select</v>
          </cell>
        </row>
      </sheetData>
      <sheetData sheetId="414">
        <row r="2">
          <cell r="B2" t="str">
            <v>Please select</v>
          </cell>
        </row>
      </sheetData>
      <sheetData sheetId="415">
        <row r="2">
          <cell r="B2" t="str">
            <v>Please select</v>
          </cell>
        </row>
      </sheetData>
      <sheetData sheetId="416">
        <row r="2">
          <cell r="B2" t="str">
            <v>Please select</v>
          </cell>
        </row>
      </sheetData>
      <sheetData sheetId="417">
        <row r="2">
          <cell r="B2" t="str">
            <v>Please select</v>
          </cell>
        </row>
      </sheetData>
      <sheetData sheetId="418">
        <row r="2">
          <cell r="B2" t="str">
            <v>Please select</v>
          </cell>
        </row>
      </sheetData>
      <sheetData sheetId="419">
        <row r="2">
          <cell r="B2" t="str">
            <v>Please select</v>
          </cell>
        </row>
      </sheetData>
      <sheetData sheetId="420">
        <row r="2">
          <cell r="B2" t="str">
            <v>Please select</v>
          </cell>
        </row>
      </sheetData>
      <sheetData sheetId="421">
        <row r="2">
          <cell r="B2" t="str">
            <v>Please select</v>
          </cell>
        </row>
      </sheetData>
      <sheetData sheetId="422">
        <row r="2">
          <cell r="B2" t="str">
            <v>Please select</v>
          </cell>
        </row>
      </sheetData>
      <sheetData sheetId="423">
        <row r="2">
          <cell r="B2" t="str">
            <v>Please select</v>
          </cell>
        </row>
      </sheetData>
      <sheetData sheetId="424">
        <row r="2">
          <cell r="B2" t="str">
            <v>Please select</v>
          </cell>
        </row>
      </sheetData>
      <sheetData sheetId="425">
        <row r="2">
          <cell r="B2" t="str">
            <v>Please select</v>
          </cell>
        </row>
      </sheetData>
      <sheetData sheetId="426">
        <row r="2">
          <cell r="B2" t="str">
            <v>Please select</v>
          </cell>
        </row>
      </sheetData>
      <sheetData sheetId="427">
        <row r="2">
          <cell r="B2" t="str">
            <v>Please select</v>
          </cell>
        </row>
      </sheetData>
      <sheetData sheetId="428">
        <row r="2">
          <cell r="B2" t="str">
            <v>Please select</v>
          </cell>
        </row>
      </sheetData>
      <sheetData sheetId="429">
        <row r="2">
          <cell r="B2" t="str">
            <v>Please select</v>
          </cell>
        </row>
      </sheetData>
      <sheetData sheetId="430">
        <row r="2">
          <cell r="B2" t="str">
            <v>Please select</v>
          </cell>
        </row>
      </sheetData>
      <sheetData sheetId="431">
        <row r="2">
          <cell r="B2" t="str">
            <v>Please select</v>
          </cell>
        </row>
      </sheetData>
      <sheetData sheetId="432">
        <row r="2">
          <cell r="B2" t="str">
            <v>Please select</v>
          </cell>
        </row>
      </sheetData>
      <sheetData sheetId="433">
        <row r="2">
          <cell r="B2" t="str">
            <v>Please select</v>
          </cell>
        </row>
      </sheetData>
      <sheetData sheetId="434">
        <row r="2">
          <cell r="B2" t="str">
            <v>Please select</v>
          </cell>
        </row>
      </sheetData>
      <sheetData sheetId="435">
        <row r="2">
          <cell r="B2" t="str">
            <v>Please select</v>
          </cell>
        </row>
      </sheetData>
      <sheetData sheetId="436">
        <row r="2">
          <cell r="B2" t="str">
            <v>Please select</v>
          </cell>
        </row>
      </sheetData>
      <sheetData sheetId="437">
        <row r="2">
          <cell r="B2" t="str">
            <v>Please select</v>
          </cell>
        </row>
      </sheetData>
      <sheetData sheetId="438">
        <row r="2">
          <cell r="B2" t="str">
            <v>Please select</v>
          </cell>
        </row>
      </sheetData>
      <sheetData sheetId="439">
        <row r="2">
          <cell r="B2" t="str">
            <v>Please select</v>
          </cell>
        </row>
      </sheetData>
      <sheetData sheetId="440">
        <row r="2">
          <cell r="B2" t="str">
            <v>Please select</v>
          </cell>
        </row>
      </sheetData>
      <sheetData sheetId="441">
        <row r="2">
          <cell r="B2" t="str">
            <v>Please select</v>
          </cell>
        </row>
      </sheetData>
      <sheetData sheetId="442">
        <row r="2">
          <cell r="B2" t="str">
            <v>Please select</v>
          </cell>
        </row>
      </sheetData>
      <sheetData sheetId="443">
        <row r="2">
          <cell r="B2" t="str">
            <v>Please select</v>
          </cell>
        </row>
      </sheetData>
      <sheetData sheetId="444">
        <row r="2">
          <cell r="B2" t="str">
            <v>Please select</v>
          </cell>
        </row>
      </sheetData>
      <sheetData sheetId="445">
        <row r="2">
          <cell r="B2" t="str">
            <v>Please select</v>
          </cell>
        </row>
      </sheetData>
      <sheetData sheetId="446">
        <row r="2">
          <cell r="B2" t="str">
            <v>Please select</v>
          </cell>
        </row>
      </sheetData>
      <sheetData sheetId="447">
        <row r="2">
          <cell r="B2" t="str">
            <v>Please select</v>
          </cell>
        </row>
      </sheetData>
      <sheetData sheetId="448">
        <row r="2">
          <cell r="B2" t="str">
            <v>Please select</v>
          </cell>
        </row>
      </sheetData>
      <sheetData sheetId="449">
        <row r="2">
          <cell r="B2" t="str">
            <v>Please select</v>
          </cell>
        </row>
      </sheetData>
      <sheetData sheetId="450">
        <row r="2">
          <cell r="B2" t="str">
            <v>Please select</v>
          </cell>
        </row>
      </sheetData>
      <sheetData sheetId="451">
        <row r="2">
          <cell r="B2" t="str">
            <v>Please select</v>
          </cell>
        </row>
      </sheetData>
      <sheetData sheetId="452">
        <row r="2">
          <cell r="B2" t="str">
            <v>Please select</v>
          </cell>
        </row>
      </sheetData>
      <sheetData sheetId="453">
        <row r="2">
          <cell r="B2" t="str">
            <v>Please select</v>
          </cell>
        </row>
      </sheetData>
      <sheetData sheetId="454">
        <row r="2">
          <cell r="B2" t="str">
            <v>Please select</v>
          </cell>
        </row>
      </sheetData>
      <sheetData sheetId="455">
        <row r="2">
          <cell r="B2" t="str">
            <v>Please select</v>
          </cell>
        </row>
      </sheetData>
      <sheetData sheetId="456">
        <row r="2">
          <cell r="B2" t="str">
            <v>Please select</v>
          </cell>
        </row>
      </sheetData>
      <sheetData sheetId="457">
        <row r="2">
          <cell r="B2" t="str">
            <v>Please select</v>
          </cell>
        </row>
      </sheetData>
      <sheetData sheetId="458">
        <row r="2">
          <cell r="B2" t="str">
            <v>Please select</v>
          </cell>
        </row>
      </sheetData>
      <sheetData sheetId="459">
        <row r="2">
          <cell r="B2" t="str">
            <v>Please select</v>
          </cell>
        </row>
      </sheetData>
      <sheetData sheetId="460">
        <row r="2">
          <cell r="B2" t="str">
            <v>Please select</v>
          </cell>
        </row>
      </sheetData>
      <sheetData sheetId="461">
        <row r="2">
          <cell r="B2" t="str">
            <v>Please select</v>
          </cell>
        </row>
      </sheetData>
      <sheetData sheetId="462">
        <row r="2">
          <cell r="B2" t="str">
            <v>Please select</v>
          </cell>
        </row>
      </sheetData>
      <sheetData sheetId="463">
        <row r="2">
          <cell r="B2" t="str">
            <v>Please select</v>
          </cell>
        </row>
      </sheetData>
      <sheetData sheetId="464">
        <row r="2">
          <cell r="B2" t="str">
            <v>Please select</v>
          </cell>
        </row>
      </sheetData>
      <sheetData sheetId="465">
        <row r="2">
          <cell r="B2" t="str">
            <v>Please select</v>
          </cell>
        </row>
      </sheetData>
      <sheetData sheetId="466">
        <row r="2">
          <cell r="B2" t="str">
            <v>Please select</v>
          </cell>
        </row>
      </sheetData>
      <sheetData sheetId="467">
        <row r="2">
          <cell r="B2" t="str">
            <v>Please select</v>
          </cell>
        </row>
      </sheetData>
      <sheetData sheetId="468">
        <row r="2">
          <cell r="B2" t="str">
            <v>Please select</v>
          </cell>
        </row>
      </sheetData>
      <sheetData sheetId="469">
        <row r="2">
          <cell r="B2" t="str">
            <v>Please select</v>
          </cell>
        </row>
      </sheetData>
      <sheetData sheetId="470">
        <row r="2">
          <cell r="B2" t="str">
            <v>Please select</v>
          </cell>
        </row>
      </sheetData>
      <sheetData sheetId="471">
        <row r="2">
          <cell r="B2" t="str">
            <v>Please select</v>
          </cell>
        </row>
      </sheetData>
      <sheetData sheetId="472">
        <row r="2">
          <cell r="B2" t="str">
            <v>Please select</v>
          </cell>
        </row>
      </sheetData>
      <sheetData sheetId="473">
        <row r="2">
          <cell r="B2" t="str">
            <v>Please select</v>
          </cell>
        </row>
      </sheetData>
      <sheetData sheetId="474">
        <row r="2">
          <cell r="B2" t="str">
            <v>Please select</v>
          </cell>
        </row>
      </sheetData>
      <sheetData sheetId="475">
        <row r="2">
          <cell r="B2" t="str">
            <v>Please select</v>
          </cell>
        </row>
      </sheetData>
      <sheetData sheetId="476">
        <row r="2">
          <cell r="B2" t="str">
            <v>Please select</v>
          </cell>
        </row>
      </sheetData>
      <sheetData sheetId="477">
        <row r="2">
          <cell r="B2" t="str">
            <v>Please select</v>
          </cell>
        </row>
      </sheetData>
      <sheetData sheetId="478">
        <row r="2">
          <cell r="B2" t="str">
            <v>Please select</v>
          </cell>
        </row>
      </sheetData>
      <sheetData sheetId="479">
        <row r="2">
          <cell r="B2" t="str">
            <v>Please select</v>
          </cell>
        </row>
      </sheetData>
      <sheetData sheetId="480">
        <row r="2">
          <cell r="B2" t="str">
            <v>Please select</v>
          </cell>
        </row>
      </sheetData>
      <sheetData sheetId="481">
        <row r="2">
          <cell r="B2" t="str">
            <v>Please select</v>
          </cell>
        </row>
      </sheetData>
      <sheetData sheetId="482">
        <row r="2">
          <cell r="B2" t="str">
            <v>Please select</v>
          </cell>
        </row>
      </sheetData>
      <sheetData sheetId="483">
        <row r="2">
          <cell r="B2" t="str">
            <v>Please select</v>
          </cell>
        </row>
      </sheetData>
      <sheetData sheetId="484">
        <row r="2">
          <cell r="B2" t="str">
            <v>Please select</v>
          </cell>
        </row>
      </sheetData>
      <sheetData sheetId="485">
        <row r="2">
          <cell r="B2" t="str">
            <v>Please select</v>
          </cell>
        </row>
      </sheetData>
      <sheetData sheetId="486">
        <row r="2">
          <cell r="B2" t="str">
            <v>Please select</v>
          </cell>
        </row>
      </sheetData>
      <sheetData sheetId="487">
        <row r="2">
          <cell r="B2" t="str">
            <v>Please select</v>
          </cell>
        </row>
      </sheetData>
      <sheetData sheetId="488">
        <row r="2">
          <cell r="B2" t="str">
            <v>Please select</v>
          </cell>
        </row>
      </sheetData>
      <sheetData sheetId="489">
        <row r="2">
          <cell r="B2" t="str">
            <v>Please select</v>
          </cell>
        </row>
      </sheetData>
      <sheetData sheetId="490">
        <row r="2">
          <cell r="B2" t="str">
            <v>Please select</v>
          </cell>
        </row>
      </sheetData>
      <sheetData sheetId="491">
        <row r="2">
          <cell r="B2" t="str">
            <v>Please select</v>
          </cell>
        </row>
      </sheetData>
      <sheetData sheetId="492">
        <row r="2">
          <cell r="B2" t="str">
            <v>Please select</v>
          </cell>
        </row>
      </sheetData>
      <sheetData sheetId="493">
        <row r="2">
          <cell r="B2" t="str">
            <v>Please select</v>
          </cell>
        </row>
      </sheetData>
      <sheetData sheetId="494">
        <row r="2">
          <cell r="B2" t="str">
            <v>Please select</v>
          </cell>
        </row>
      </sheetData>
      <sheetData sheetId="495">
        <row r="2">
          <cell r="B2" t="str">
            <v>Please select</v>
          </cell>
        </row>
      </sheetData>
      <sheetData sheetId="496">
        <row r="2">
          <cell r="B2" t="str">
            <v>Please select</v>
          </cell>
        </row>
      </sheetData>
      <sheetData sheetId="497">
        <row r="2">
          <cell r="B2" t="str">
            <v>Please select</v>
          </cell>
        </row>
      </sheetData>
      <sheetData sheetId="498">
        <row r="2">
          <cell r="B2" t="str">
            <v>Please select</v>
          </cell>
        </row>
      </sheetData>
      <sheetData sheetId="499">
        <row r="2">
          <cell r="B2" t="str">
            <v>Please select</v>
          </cell>
        </row>
      </sheetData>
      <sheetData sheetId="500">
        <row r="2">
          <cell r="B2" t="str">
            <v>Please select</v>
          </cell>
        </row>
      </sheetData>
      <sheetData sheetId="501">
        <row r="2">
          <cell r="B2" t="str">
            <v>Please select</v>
          </cell>
        </row>
      </sheetData>
      <sheetData sheetId="502">
        <row r="2">
          <cell r="B2" t="str">
            <v>Please select</v>
          </cell>
        </row>
      </sheetData>
      <sheetData sheetId="503">
        <row r="2">
          <cell r="B2" t="str">
            <v>Please select</v>
          </cell>
        </row>
      </sheetData>
      <sheetData sheetId="504">
        <row r="2">
          <cell r="B2" t="str">
            <v>Please select</v>
          </cell>
        </row>
      </sheetData>
      <sheetData sheetId="505">
        <row r="2">
          <cell r="B2" t="str">
            <v>Please select</v>
          </cell>
        </row>
      </sheetData>
      <sheetData sheetId="506">
        <row r="2">
          <cell r="B2" t="str">
            <v>Please select</v>
          </cell>
        </row>
      </sheetData>
      <sheetData sheetId="507">
        <row r="2">
          <cell r="B2" t="str">
            <v>Please select</v>
          </cell>
        </row>
      </sheetData>
      <sheetData sheetId="508">
        <row r="2">
          <cell r="B2" t="str">
            <v>Please select</v>
          </cell>
        </row>
      </sheetData>
      <sheetData sheetId="509">
        <row r="2">
          <cell r="B2" t="str">
            <v>Please select</v>
          </cell>
        </row>
      </sheetData>
      <sheetData sheetId="510">
        <row r="2">
          <cell r="B2" t="str">
            <v>Please select</v>
          </cell>
        </row>
      </sheetData>
      <sheetData sheetId="511">
        <row r="2">
          <cell r="B2" t="str">
            <v>Please select</v>
          </cell>
        </row>
      </sheetData>
      <sheetData sheetId="512">
        <row r="2">
          <cell r="B2" t="str">
            <v>Please select</v>
          </cell>
        </row>
      </sheetData>
      <sheetData sheetId="513">
        <row r="2">
          <cell r="B2" t="str">
            <v>Please select</v>
          </cell>
        </row>
      </sheetData>
      <sheetData sheetId="514">
        <row r="2">
          <cell r="B2" t="str">
            <v>Please select</v>
          </cell>
        </row>
      </sheetData>
      <sheetData sheetId="515">
        <row r="2">
          <cell r="B2" t="str">
            <v>Please select</v>
          </cell>
        </row>
      </sheetData>
      <sheetData sheetId="516">
        <row r="2">
          <cell r="B2" t="str">
            <v>Please select</v>
          </cell>
        </row>
      </sheetData>
      <sheetData sheetId="517">
        <row r="2">
          <cell r="B2" t="str">
            <v>Please select</v>
          </cell>
        </row>
      </sheetData>
      <sheetData sheetId="518">
        <row r="2">
          <cell r="B2" t="str">
            <v>Please select</v>
          </cell>
        </row>
      </sheetData>
      <sheetData sheetId="519">
        <row r="2">
          <cell r="B2" t="str">
            <v>Please select</v>
          </cell>
        </row>
      </sheetData>
      <sheetData sheetId="520">
        <row r="2">
          <cell r="B2" t="str">
            <v>Please select</v>
          </cell>
        </row>
      </sheetData>
      <sheetData sheetId="521">
        <row r="2">
          <cell r="B2" t="str">
            <v>Please select</v>
          </cell>
        </row>
      </sheetData>
      <sheetData sheetId="522">
        <row r="2">
          <cell r="B2" t="str">
            <v>Please select</v>
          </cell>
        </row>
      </sheetData>
      <sheetData sheetId="523">
        <row r="2">
          <cell r="B2" t="str">
            <v>Please select</v>
          </cell>
        </row>
      </sheetData>
      <sheetData sheetId="524">
        <row r="2">
          <cell r="B2" t="str">
            <v>Please select</v>
          </cell>
        </row>
      </sheetData>
      <sheetData sheetId="525">
        <row r="2">
          <cell r="B2" t="str">
            <v>Please select</v>
          </cell>
        </row>
      </sheetData>
      <sheetData sheetId="526">
        <row r="2">
          <cell r="B2" t="str">
            <v>Please select</v>
          </cell>
        </row>
      </sheetData>
      <sheetData sheetId="527">
        <row r="2">
          <cell r="B2" t="str">
            <v>Please select</v>
          </cell>
        </row>
      </sheetData>
      <sheetData sheetId="528">
        <row r="2">
          <cell r="B2" t="str">
            <v>Please select</v>
          </cell>
        </row>
      </sheetData>
      <sheetData sheetId="529">
        <row r="2">
          <cell r="B2" t="str">
            <v>Please select</v>
          </cell>
        </row>
      </sheetData>
      <sheetData sheetId="530">
        <row r="2">
          <cell r="B2" t="str">
            <v>Please select</v>
          </cell>
        </row>
      </sheetData>
      <sheetData sheetId="531">
        <row r="2">
          <cell r="B2" t="str">
            <v>Please select</v>
          </cell>
        </row>
      </sheetData>
      <sheetData sheetId="532">
        <row r="2">
          <cell r="B2" t="str">
            <v>Please select</v>
          </cell>
        </row>
      </sheetData>
      <sheetData sheetId="533">
        <row r="2">
          <cell r="B2" t="str">
            <v>Please select</v>
          </cell>
        </row>
      </sheetData>
      <sheetData sheetId="534">
        <row r="2">
          <cell r="B2" t="str">
            <v>Please select</v>
          </cell>
        </row>
      </sheetData>
      <sheetData sheetId="535">
        <row r="2">
          <cell r="B2" t="str">
            <v>Please select</v>
          </cell>
        </row>
      </sheetData>
      <sheetData sheetId="536">
        <row r="2">
          <cell r="B2" t="str">
            <v>Please select</v>
          </cell>
        </row>
      </sheetData>
      <sheetData sheetId="537">
        <row r="2">
          <cell r="B2" t="str">
            <v>Please select</v>
          </cell>
        </row>
      </sheetData>
      <sheetData sheetId="538">
        <row r="2">
          <cell r="B2" t="str">
            <v>Please select</v>
          </cell>
        </row>
      </sheetData>
      <sheetData sheetId="539">
        <row r="2">
          <cell r="B2" t="str">
            <v>Please select</v>
          </cell>
        </row>
      </sheetData>
      <sheetData sheetId="540">
        <row r="2">
          <cell r="B2" t="str">
            <v>Please select</v>
          </cell>
        </row>
      </sheetData>
      <sheetData sheetId="541">
        <row r="2">
          <cell r="B2" t="str">
            <v>Please select</v>
          </cell>
        </row>
      </sheetData>
      <sheetData sheetId="542">
        <row r="2">
          <cell r="B2" t="str">
            <v>Please select</v>
          </cell>
        </row>
      </sheetData>
      <sheetData sheetId="543">
        <row r="2">
          <cell r="B2" t="str">
            <v>Please select</v>
          </cell>
        </row>
      </sheetData>
      <sheetData sheetId="544">
        <row r="2">
          <cell r="B2" t="str">
            <v>Please select</v>
          </cell>
        </row>
      </sheetData>
      <sheetData sheetId="545">
        <row r="2">
          <cell r="B2" t="str">
            <v>Please select</v>
          </cell>
        </row>
      </sheetData>
      <sheetData sheetId="546">
        <row r="2">
          <cell r="B2" t="str">
            <v>Please select</v>
          </cell>
        </row>
      </sheetData>
      <sheetData sheetId="547">
        <row r="2">
          <cell r="B2" t="str">
            <v>Please select</v>
          </cell>
        </row>
      </sheetData>
      <sheetData sheetId="548">
        <row r="2">
          <cell r="B2" t="str">
            <v>Please select</v>
          </cell>
        </row>
      </sheetData>
      <sheetData sheetId="549">
        <row r="2">
          <cell r="B2" t="str">
            <v>Please select</v>
          </cell>
        </row>
      </sheetData>
      <sheetData sheetId="550">
        <row r="2">
          <cell r="B2" t="str">
            <v>Please select</v>
          </cell>
        </row>
      </sheetData>
      <sheetData sheetId="551">
        <row r="2">
          <cell r="B2" t="str">
            <v>Please select</v>
          </cell>
        </row>
      </sheetData>
      <sheetData sheetId="552">
        <row r="2">
          <cell r="B2" t="str">
            <v>Please select</v>
          </cell>
        </row>
      </sheetData>
      <sheetData sheetId="553">
        <row r="2">
          <cell r="B2" t="str">
            <v>Please select</v>
          </cell>
        </row>
      </sheetData>
      <sheetData sheetId="554">
        <row r="2">
          <cell r="B2" t="str">
            <v>Please select</v>
          </cell>
        </row>
      </sheetData>
      <sheetData sheetId="555">
        <row r="2">
          <cell r="B2" t="str">
            <v>Please select</v>
          </cell>
        </row>
      </sheetData>
      <sheetData sheetId="556">
        <row r="2">
          <cell r="B2" t="str">
            <v>Please select</v>
          </cell>
        </row>
      </sheetData>
      <sheetData sheetId="557">
        <row r="2">
          <cell r="B2" t="str">
            <v>Please select</v>
          </cell>
        </row>
      </sheetData>
      <sheetData sheetId="558">
        <row r="2">
          <cell r="B2" t="str">
            <v>Please select</v>
          </cell>
        </row>
      </sheetData>
      <sheetData sheetId="559">
        <row r="2">
          <cell r="B2" t="str">
            <v>Please select</v>
          </cell>
        </row>
      </sheetData>
      <sheetData sheetId="560">
        <row r="2">
          <cell r="B2" t="str">
            <v>Please select</v>
          </cell>
        </row>
      </sheetData>
      <sheetData sheetId="561">
        <row r="2">
          <cell r="B2" t="str">
            <v>Please select</v>
          </cell>
        </row>
      </sheetData>
      <sheetData sheetId="562">
        <row r="2">
          <cell r="B2" t="str">
            <v>Please select</v>
          </cell>
        </row>
      </sheetData>
      <sheetData sheetId="563">
        <row r="2">
          <cell r="B2" t="str">
            <v>Please select</v>
          </cell>
        </row>
      </sheetData>
      <sheetData sheetId="564">
        <row r="2">
          <cell r="B2" t="str">
            <v>Please select</v>
          </cell>
        </row>
      </sheetData>
      <sheetData sheetId="565">
        <row r="2">
          <cell r="B2" t="str">
            <v>Please select</v>
          </cell>
        </row>
      </sheetData>
      <sheetData sheetId="566">
        <row r="2">
          <cell r="B2" t="str">
            <v>Please select</v>
          </cell>
        </row>
      </sheetData>
      <sheetData sheetId="567">
        <row r="2">
          <cell r="B2" t="str">
            <v>Please select</v>
          </cell>
        </row>
      </sheetData>
      <sheetData sheetId="568">
        <row r="2">
          <cell r="B2" t="str">
            <v>Please select</v>
          </cell>
        </row>
      </sheetData>
      <sheetData sheetId="569">
        <row r="2">
          <cell r="B2" t="str">
            <v>Please select</v>
          </cell>
        </row>
      </sheetData>
      <sheetData sheetId="570">
        <row r="2">
          <cell r="B2" t="str">
            <v>Please select</v>
          </cell>
        </row>
      </sheetData>
      <sheetData sheetId="571">
        <row r="2">
          <cell r="B2" t="str">
            <v>Please select</v>
          </cell>
        </row>
      </sheetData>
      <sheetData sheetId="572">
        <row r="2">
          <cell r="B2" t="str">
            <v>Please select</v>
          </cell>
        </row>
      </sheetData>
      <sheetData sheetId="573">
        <row r="2">
          <cell r="B2" t="str">
            <v>Please select</v>
          </cell>
        </row>
      </sheetData>
      <sheetData sheetId="574">
        <row r="2">
          <cell r="B2" t="str">
            <v>Please select</v>
          </cell>
        </row>
      </sheetData>
      <sheetData sheetId="575">
        <row r="2">
          <cell r="B2" t="str">
            <v>Please select</v>
          </cell>
        </row>
      </sheetData>
      <sheetData sheetId="576">
        <row r="2">
          <cell r="B2" t="str">
            <v>Please select</v>
          </cell>
        </row>
      </sheetData>
      <sheetData sheetId="577">
        <row r="2">
          <cell r="B2" t="str">
            <v>Please select</v>
          </cell>
        </row>
      </sheetData>
      <sheetData sheetId="578">
        <row r="2">
          <cell r="B2" t="str">
            <v>Please select</v>
          </cell>
        </row>
      </sheetData>
      <sheetData sheetId="579">
        <row r="2">
          <cell r="B2" t="str">
            <v>Please select</v>
          </cell>
        </row>
      </sheetData>
      <sheetData sheetId="580">
        <row r="2">
          <cell r="B2" t="str">
            <v>Please select</v>
          </cell>
        </row>
      </sheetData>
      <sheetData sheetId="581">
        <row r="2">
          <cell r="B2" t="str">
            <v>Please select</v>
          </cell>
        </row>
      </sheetData>
      <sheetData sheetId="582">
        <row r="2">
          <cell r="B2" t="str">
            <v>Please select</v>
          </cell>
        </row>
      </sheetData>
      <sheetData sheetId="583">
        <row r="2">
          <cell r="B2" t="str">
            <v>Please select</v>
          </cell>
        </row>
      </sheetData>
      <sheetData sheetId="584">
        <row r="2">
          <cell r="B2" t="str">
            <v>Please select</v>
          </cell>
        </row>
      </sheetData>
      <sheetData sheetId="585">
        <row r="2">
          <cell r="B2" t="str">
            <v>Please select</v>
          </cell>
        </row>
      </sheetData>
      <sheetData sheetId="586">
        <row r="2">
          <cell r="B2" t="str">
            <v>Please select</v>
          </cell>
        </row>
      </sheetData>
      <sheetData sheetId="587">
        <row r="2">
          <cell r="B2" t="str">
            <v>Please select</v>
          </cell>
        </row>
      </sheetData>
      <sheetData sheetId="588">
        <row r="2">
          <cell r="B2" t="str">
            <v>Please select</v>
          </cell>
        </row>
      </sheetData>
      <sheetData sheetId="589">
        <row r="2">
          <cell r="B2" t="str">
            <v>Please select</v>
          </cell>
        </row>
      </sheetData>
      <sheetData sheetId="590">
        <row r="2">
          <cell r="B2" t="str">
            <v>Please select</v>
          </cell>
        </row>
      </sheetData>
      <sheetData sheetId="591">
        <row r="2">
          <cell r="B2" t="str">
            <v>Please select</v>
          </cell>
        </row>
      </sheetData>
      <sheetData sheetId="592">
        <row r="2">
          <cell r="B2" t="str">
            <v>Please select</v>
          </cell>
        </row>
      </sheetData>
      <sheetData sheetId="593">
        <row r="2">
          <cell r="B2" t="str">
            <v>Please select</v>
          </cell>
        </row>
      </sheetData>
      <sheetData sheetId="594">
        <row r="2">
          <cell r="B2" t="str">
            <v>Please select</v>
          </cell>
        </row>
      </sheetData>
      <sheetData sheetId="595">
        <row r="2">
          <cell r="B2" t="str">
            <v>Please select</v>
          </cell>
        </row>
      </sheetData>
      <sheetData sheetId="596">
        <row r="2">
          <cell r="B2" t="str">
            <v>Please select</v>
          </cell>
        </row>
      </sheetData>
      <sheetData sheetId="597">
        <row r="2">
          <cell r="B2" t="str">
            <v>Please select</v>
          </cell>
        </row>
      </sheetData>
      <sheetData sheetId="598">
        <row r="2">
          <cell r="B2" t="str">
            <v>Please select</v>
          </cell>
        </row>
      </sheetData>
      <sheetData sheetId="599">
        <row r="2">
          <cell r="B2" t="str">
            <v>Please select</v>
          </cell>
        </row>
      </sheetData>
      <sheetData sheetId="600">
        <row r="2">
          <cell r="B2" t="str">
            <v>Please select</v>
          </cell>
        </row>
      </sheetData>
      <sheetData sheetId="601">
        <row r="2">
          <cell r="B2" t="str">
            <v>Please select</v>
          </cell>
        </row>
      </sheetData>
      <sheetData sheetId="602">
        <row r="2">
          <cell r="B2" t="str">
            <v>Please select</v>
          </cell>
        </row>
      </sheetData>
      <sheetData sheetId="603">
        <row r="2">
          <cell r="B2" t="str">
            <v>Please select</v>
          </cell>
        </row>
      </sheetData>
      <sheetData sheetId="604">
        <row r="2">
          <cell r="B2" t="str">
            <v>Please select</v>
          </cell>
        </row>
      </sheetData>
      <sheetData sheetId="605">
        <row r="2">
          <cell r="B2" t="str">
            <v>Please select</v>
          </cell>
        </row>
      </sheetData>
      <sheetData sheetId="606">
        <row r="2">
          <cell r="B2" t="str">
            <v>Please select</v>
          </cell>
        </row>
      </sheetData>
      <sheetData sheetId="607">
        <row r="2">
          <cell r="B2" t="str">
            <v>Please select</v>
          </cell>
        </row>
      </sheetData>
      <sheetData sheetId="608">
        <row r="2">
          <cell r="B2" t="str">
            <v>Please select</v>
          </cell>
        </row>
      </sheetData>
      <sheetData sheetId="609">
        <row r="2">
          <cell r="B2" t="str">
            <v>Please select</v>
          </cell>
        </row>
      </sheetData>
      <sheetData sheetId="610">
        <row r="2">
          <cell r="B2" t="str">
            <v>Please select</v>
          </cell>
        </row>
      </sheetData>
      <sheetData sheetId="611">
        <row r="2">
          <cell r="B2" t="str">
            <v>Please select</v>
          </cell>
        </row>
      </sheetData>
      <sheetData sheetId="612">
        <row r="2">
          <cell r="B2" t="str">
            <v>Please select</v>
          </cell>
        </row>
      </sheetData>
      <sheetData sheetId="613">
        <row r="2">
          <cell r="B2" t="str">
            <v>Please select</v>
          </cell>
        </row>
      </sheetData>
      <sheetData sheetId="614">
        <row r="2">
          <cell r="B2" t="str">
            <v>Please select</v>
          </cell>
        </row>
      </sheetData>
      <sheetData sheetId="615">
        <row r="2">
          <cell r="B2" t="str">
            <v>Please select</v>
          </cell>
        </row>
      </sheetData>
      <sheetData sheetId="616">
        <row r="2">
          <cell r="B2" t="str">
            <v>Please select</v>
          </cell>
        </row>
      </sheetData>
      <sheetData sheetId="617">
        <row r="2">
          <cell r="B2" t="str">
            <v>Please select</v>
          </cell>
        </row>
      </sheetData>
      <sheetData sheetId="618">
        <row r="2">
          <cell r="B2" t="str">
            <v>Please select</v>
          </cell>
        </row>
      </sheetData>
      <sheetData sheetId="619">
        <row r="2">
          <cell r="B2" t="str">
            <v>Please select</v>
          </cell>
        </row>
      </sheetData>
      <sheetData sheetId="620">
        <row r="2">
          <cell r="B2" t="str">
            <v>Please select</v>
          </cell>
        </row>
      </sheetData>
      <sheetData sheetId="621">
        <row r="2">
          <cell r="B2" t="str">
            <v>Please select</v>
          </cell>
        </row>
      </sheetData>
      <sheetData sheetId="622">
        <row r="2">
          <cell r="B2" t="str">
            <v>Please select</v>
          </cell>
        </row>
      </sheetData>
      <sheetData sheetId="623">
        <row r="2">
          <cell r="B2" t="str">
            <v>Please select</v>
          </cell>
        </row>
      </sheetData>
      <sheetData sheetId="624">
        <row r="2">
          <cell r="B2" t="str">
            <v>Please select</v>
          </cell>
        </row>
      </sheetData>
      <sheetData sheetId="625">
        <row r="2">
          <cell r="B2" t="str">
            <v>Please select</v>
          </cell>
        </row>
      </sheetData>
      <sheetData sheetId="626">
        <row r="2">
          <cell r="B2" t="str">
            <v>Please select</v>
          </cell>
        </row>
      </sheetData>
      <sheetData sheetId="627">
        <row r="2">
          <cell r="B2" t="str">
            <v>Please select</v>
          </cell>
        </row>
      </sheetData>
      <sheetData sheetId="628">
        <row r="2">
          <cell r="B2" t="str">
            <v>Please select</v>
          </cell>
        </row>
      </sheetData>
      <sheetData sheetId="629">
        <row r="2">
          <cell r="B2" t="str">
            <v>Please select</v>
          </cell>
        </row>
      </sheetData>
      <sheetData sheetId="630">
        <row r="2">
          <cell r="B2" t="str">
            <v>Please select</v>
          </cell>
        </row>
      </sheetData>
      <sheetData sheetId="631">
        <row r="2">
          <cell r="B2" t="str">
            <v>Please select</v>
          </cell>
        </row>
      </sheetData>
      <sheetData sheetId="632">
        <row r="2">
          <cell r="B2" t="str">
            <v>Please select</v>
          </cell>
        </row>
      </sheetData>
      <sheetData sheetId="633">
        <row r="2">
          <cell r="B2" t="str">
            <v>Please select</v>
          </cell>
        </row>
      </sheetData>
      <sheetData sheetId="634">
        <row r="2">
          <cell r="B2" t="str">
            <v>Please select</v>
          </cell>
        </row>
      </sheetData>
      <sheetData sheetId="635">
        <row r="2">
          <cell r="B2" t="str">
            <v>Please select</v>
          </cell>
        </row>
      </sheetData>
      <sheetData sheetId="636">
        <row r="2">
          <cell r="B2" t="str">
            <v>Please select</v>
          </cell>
        </row>
      </sheetData>
      <sheetData sheetId="637">
        <row r="2">
          <cell r="B2" t="str">
            <v>Please select</v>
          </cell>
        </row>
      </sheetData>
      <sheetData sheetId="638">
        <row r="2">
          <cell r="B2" t="str">
            <v>Please select</v>
          </cell>
        </row>
      </sheetData>
      <sheetData sheetId="639">
        <row r="2">
          <cell r="B2" t="str">
            <v>Please select</v>
          </cell>
        </row>
      </sheetData>
      <sheetData sheetId="640">
        <row r="2">
          <cell r="B2" t="str">
            <v>Please select</v>
          </cell>
        </row>
      </sheetData>
      <sheetData sheetId="641">
        <row r="2">
          <cell r="B2" t="str">
            <v>Please select</v>
          </cell>
        </row>
      </sheetData>
      <sheetData sheetId="642">
        <row r="2">
          <cell r="B2" t="str">
            <v>Please select</v>
          </cell>
        </row>
      </sheetData>
      <sheetData sheetId="643">
        <row r="2">
          <cell r="B2" t="str">
            <v>Please select</v>
          </cell>
        </row>
      </sheetData>
      <sheetData sheetId="644">
        <row r="2">
          <cell r="B2" t="str">
            <v>Please select</v>
          </cell>
        </row>
      </sheetData>
      <sheetData sheetId="645">
        <row r="2">
          <cell r="B2" t="str">
            <v>Please select</v>
          </cell>
        </row>
      </sheetData>
      <sheetData sheetId="646">
        <row r="2">
          <cell r="B2" t="str">
            <v>Please select</v>
          </cell>
        </row>
      </sheetData>
      <sheetData sheetId="647">
        <row r="2">
          <cell r="B2" t="str">
            <v>Please select</v>
          </cell>
        </row>
      </sheetData>
      <sheetData sheetId="648">
        <row r="2">
          <cell r="B2" t="str">
            <v>Please select</v>
          </cell>
        </row>
      </sheetData>
      <sheetData sheetId="649">
        <row r="2">
          <cell r="B2" t="str">
            <v>Please select</v>
          </cell>
        </row>
      </sheetData>
      <sheetData sheetId="650">
        <row r="2">
          <cell r="B2" t="str">
            <v>Please select</v>
          </cell>
        </row>
      </sheetData>
      <sheetData sheetId="651">
        <row r="2">
          <cell r="B2" t="str">
            <v>Please select</v>
          </cell>
        </row>
      </sheetData>
      <sheetData sheetId="652">
        <row r="2">
          <cell r="B2" t="str">
            <v>Please select</v>
          </cell>
        </row>
      </sheetData>
      <sheetData sheetId="653">
        <row r="2">
          <cell r="B2" t="str">
            <v>Please select</v>
          </cell>
        </row>
      </sheetData>
      <sheetData sheetId="654">
        <row r="2">
          <cell r="B2" t="str">
            <v>Please select</v>
          </cell>
        </row>
      </sheetData>
      <sheetData sheetId="655">
        <row r="2">
          <cell r="B2" t="str">
            <v>Please select</v>
          </cell>
        </row>
      </sheetData>
      <sheetData sheetId="656">
        <row r="2">
          <cell r="B2" t="str">
            <v>Please select</v>
          </cell>
        </row>
      </sheetData>
      <sheetData sheetId="657">
        <row r="2">
          <cell r="B2" t="str">
            <v>Please select</v>
          </cell>
        </row>
      </sheetData>
      <sheetData sheetId="658">
        <row r="2">
          <cell r="B2" t="str">
            <v>Please select</v>
          </cell>
        </row>
      </sheetData>
      <sheetData sheetId="659">
        <row r="2">
          <cell r="B2" t="str">
            <v>Please select</v>
          </cell>
        </row>
      </sheetData>
      <sheetData sheetId="660">
        <row r="2">
          <cell r="B2" t="str">
            <v>Please select</v>
          </cell>
        </row>
      </sheetData>
      <sheetData sheetId="661">
        <row r="2">
          <cell r="B2" t="str">
            <v>Please select</v>
          </cell>
        </row>
      </sheetData>
      <sheetData sheetId="662">
        <row r="2">
          <cell r="B2" t="str">
            <v>Please select</v>
          </cell>
        </row>
      </sheetData>
      <sheetData sheetId="663">
        <row r="2">
          <cell r="B2" t="str">
            <v>Please select</v>
          </cell>
        </row>
      </sheetData>
      <sheetData sheetId="664">
        <row r="2">
          <cell r="B2" t="str">
            <v>Please select</v>
          </cell>
        </row>
      </sheetData>
      <sheetData sheetId="665">
        <row r="2">
          <cell r="B2" t="str">
            <v>Please select</v>
          </cell>
        </row>
      </sheetData>
      <sheetData sheetId="666">
        <row r="2">
          <cell r="B2" t="str">
            <v>Please select</v>
          </cell>
        </row>
      </sheetData>
      <sheetData sheetId="667">
        <row r="2">
          <cell r="B2" t="str">
            <v>Please select</v>
          </cell>
        </row>
      </sheetData>
      <sheetData sheetId="668">
        <row r="2">
          <cell r="B2" t="str">
            <v>Please select</v>
          </cell>
        </row>
      </sheetData>
      <sheetData sheetId="669">
        <row r="2">
          <cell r="B2" t="str">
            <v>Please select</v>
          </cell>
        </row>
      </sheetData>
      <sheetData sheetId="670">
        <row r="2">
          <cell r="B2" t="str">
            <v>Please select</v>
          </cell>
        </row>
      </sheetData>
      <sheetData sheetId="671">
        <row r="2">
          <cell r="B2" t="str">
            <v>Please select</v>
          </cell>
        </row>
      </sheetData>
      <sheetData sheetId="672">
        <row r="2">
          <cell r="B2" t="str">
            <v>Please select</v>
          </cell>
        </row>
      </sheetData>
      <sheetData sheetId="673">
        <row r="2">
          <cell r="B2" t="str">
            <v>Please select</v>
          </cell>
        </row>
      </sheetData>
      <sheetData sheetId="674">
        <row r="2">
          <cell r="B2" t="str">
            <v>Please select</v>
          </cell>
        </row>
      </sheetData>
      <sheetData sheetId="675">
        <row r="2">
          <cell r="B2" t="str">
            <v>Please select</v>
          </cell>
        </row>
      </sheetData>
      <sheetData sheetId="676">
        <row r="2">
          <cell r="B2" t="str">
            <v>Please select</v>
          </cell>
        </row>
      </sheetData>
      <sheetData sheetId="677">
        <row r="2">
          <cell r="B2" t="str">
            <v>Please select</v>
          </cell>
        </row>
      </sheetData>
      <sheetData sheetId="678">
        <row r="2">
          <cell r="A2">
            <v>0</v>
          </cell>
        </row>
      </sheetData>
      <sheetData sheetId="679">
        <row r="2">
          <cell r="B2" t="str">
            <v>Please select</v>
          </cell>
        </row>
      </sheetData>
      <sheetData sheetId="680">
        <row r="2">
          <cell r="B2" t="str">
            <v>Please select</v>
          </cell>
        </row>
      </sheetData>
      <sheetData sheetId="681">
        <row r="2">
          <cell r="B2" t="str">
            <v>Please select</v>
          </cell>
        </row>
      </sheetData>
      <sheetData sheetId="682">
        <row r="2">
          <cell r="B2" t="str">
            <v>Please select</v>
          </cell>
        </row>
      </sheetData>
      <sheetData sheetId="683">
        <row r="2">
          <cell r="A2">
            <v>0</v>
          </cell>
        </row>
      </sheetData>
      <sheetData sheetId="684">
        <row r="2">
          <cell r="B2" t="str">
            <v>Please select</v>
          </cell>
        </row>
      </sheetData>
      <sheetData sheetId="685">
        <row r="2">
          <cell r="B2" t="str">
            <v>Please select</v>
          </cell>
        </row>
      </sheetData>
      <sheetData sheetId="686">
        <row r="2">
          <cell r="A2">
            <v>0</v>
          </cell>
        </row>
      </sheetData>
      <sheetData sheetId="687">
        <row r="2">
          <cell r="A2">
            <v>0</v>
          </cell>
        </row>
      </sheetData>
      <sheetData sheetId="688">
        <row r="2">
          <cell r="A2">
            <v>0</v>
          </cell>
        </row>
      </sheetData>
      <sheetData sheetId="689">
        <row r="2">
          <cell r="B2" t="str">
            <v>Please select</v>
          </cell>
        </row>
      </sheetData>
      <sheetData sheetId="690">
        <row r="2">
          <cell r="A2">
            <v>0</v>
          </cell>
        </row>
      </sheetData>
      <sheetData sheetId="691">
        <row r="2">
          <cell r="A2">
            <v>0</v>
          </cell>
        </row>
      </sheetData>
      <sheetData sheetId="692">
        <row r="2">
          <cell r="A2">
            <v>0</v>
          </cell>
        </row>
      </sheetData>
      <sheetData sheetId="693">
        <row r="2">
          <cell r="A2">
            <v>0</v>
          </cell>
        </row>
      </sheetData>
      <sheetData sheetId="694">
        <row r="2">
          <cell r="B2" t="str">
            <v>Please select</v>
          </cell>
        </row>
      </sheetData>
      <sheetData sheetId="695">
        <row r="2">
          <cell r="A2">
            <v>0</v>
          </cell>
        </row>
      </sheetData>
      <sheetData sheetId="696">
        <row r="2">
          <cell r="A2">
            <v>0</v>
          </cell>
        </row>
      </sheetData>
      <sheetData sheetId="697">
        <row r="2">
          <cell r="A2">
            <v>0</v>
          </cell>
        </row>
      </sheetData>
      <sheetData sheetId="698">
        <row r="2">
          <cell r="A2">
            <v>0</v>
          </cell>
        </row>
      </sheetData>
      <sheetData sheetId="699">
        <row r="2">
          <cell r="A2">
            <v>0</v>
          </cell>
        </row>
      </sheetData>
      <sheetData sheetId="700">
        <row r="2">
          <cell r="A2">
            <v>0</v>
          </cell>
        </row>
      </sheetData>
      <sheetData sheetId="701">
        <row r="2">
          <cell r="A2">
            <v>0</v>
          </cell>
        </row>
      </sheetData>
      <sheetData sheetId="702">
        <row r="2">
          <cell r="A2">
            <v>0</v>
          </cell>
        </row>
      </sheetData>
      <sheetData sheetId="703">
        <row r="2">
          <cell r="A2">
            <v>0</v>
          </cell>
        </row>
      </sheetData>
      <sheetData sheetId="704">
        <row r="2">
          <cell r="A2">
            <v>0</v>
          </cell>
        </row>
      </sheetData>
      <sheetData sheetId="705">
        <row r="2">
          <cell r="A2">
            <v>0</v>
          </cell>
        </row>
      </sheetData>
      <sheetData sheetId="706">
        <row r="2">
          <cell r="A2">
            <v>0</v>
          </cell>
        </row>
      </sheetData>
      <sheetData sheetId="707">
        <row r="2">
          <cell r="A2">
            <v>0</v>
          </cell>
        </row>
      </sheetData>
      <sheetData sheetId="708">
        <row r="2">
          <cell r="A2">
            <v>0</v>
          </cell>
        </row>
      </sheetData>
      <sheetData sheetId="709">
        <row r="2">
          <cell r="A2">
            <v>0</v>
          </cell>
        </row>
      </sheetData>
      <sheetData sheetId="710">
        <row r="2">
          <cell r="A2">
            <v>0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>
            <v>0</v>
          </cell>
        </row>
      </sheetData>
      <sheetData sheetId="714">
        <row r="2">
          <cell r="A2">
            <v>0</v>
          </cell>
        </row>
      </sheetData>
      <sheetData sheetId="715">
        <row r="2">
          <cell r="A2">
            <v>0</v>
          </cell>
        </row>
      </sheetData>
      <sheetData sheetId="716">
        <row r="2">
          <cell r="A2">
            <v>0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>
            <v>0</v>
          </cell>
        </row>
      </sheetData>
      <sheetData sheetId="720">
        <row r="2">
          <cell r="A2">
            <v>0</v>
          </cell>
        </row>
      </sheetData>
      <sheetData sheetId="721">
        <row r="2">
          <cell r="A2">
            <v>0</v>
          </cell>
        </row>
      </sheetData>
      <sheetData sheetId="722">
        <row r="2">
          <cell r="A2">
            <v>0</v>
          </cell>
        </row>
      </sheetData>
      <sheetData sheetId="723">
        <row r="2">
          <cell r="A2">
            <v>0</v>
          </cell>
        </row>
      </sheetData>
      <sheetData sheetId="724">
        <row r="2">
          <cell r="A2">
            <v>0</v>
          </cell>
        </row>
      </sheetData>
      <sheetData sheetId="725">
        <row r="2">
          <cell r="A2">
            <v>0</v>
          </cell>
        </row>
      </sheetData>
      <sheetData sheetId="726">
        <row r="2">
          <cell r="A2">
            <v>0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>
            <v>0</v>
          </cell>
        </row>
      </sheetData>
      <sheetData sheetId="730">
        <row r="2">
          <cell r="A2">
            <v>0</v>
          </cell>
        </row>
      </sheetData>
      <sheetData sheetId="731">
        <row r="2">
          <cell r="A2">
            <v>0</v>
          </cell>
        </row>
      </sheetData>
      <sheetData sheetId="732">
        <row r="2">
          <cell r="A2">
            <v>0</v>
          </cell>
        </row>
      </sheetData>
      <sheetData sheetId="733">
        <row r="2">
          <cell r="A2">
            <v>0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>
            <v>0</v>
          </cell>
        </row>
      </sheetData>
      <sheetData sheetId="737">
        <row r="2">
          <cell r="A2">
            <v>0</v>
          </cell>
        </row>
      </sheetData>
      <sheetData sheetId="738">
        <row r="2">
          <cell r="A2">
            <v>0</v>
          </cell>
        </row>
      </sheetData>
      <sheetData sheetId="739">
        <row r="2">
          <cell r="A2">
            <v>0</v>
          </cell>
        </row>
      </sheetData>
      <sheetData sheetId="740">
        <row r="2">
          <cell r="A2">
            <v>0</v>
          </cell>
        </row>
      </sheetData>
      <sheetData sheetId="741">
        <row r="2">
          <cell r="A2">
            <v>0</v>
          </cell>
        </row>
      </sheetData>
      <sheetData sheetId="742">
        <row r="2">
          <cell r="A2">
            <v>0</v>
          </cell>
        </row>
      </sheetData>
      <sheetData sheetId="743">
        <row r="2">
          <cell r="A2">
            <v>0</v>
          </cell>
        </row>
      </sheetData>
      <sheetData sheetId="744">
        <row r="2">
          <cell r="A2">
            <v>0</v>
          </cell>
        </row>
      </sheetData>
      <sheetData sheetId="745">
        <row r="2">
          <cell r="A2">
            <v>0</v>
          </cell>
        </row>
      </sheetData>
      <sheetData sheetId="746">
        <row r="2">
          <cell r="A2">
            <v>0</v>
          </cell>
        </row>
      </sheetData>
      <sheetData sheetId="747">
        <row r="2">
          <cell r="A2">
            <v>0</v>
          </cell>
        </row>
      </sheetData>
      <sheetData sheetId="748">
        <row r="2">
          <cell r="A2">
            <v>0</v>
          </cell>
        </row>
      </sheetData>
      <sheetData sheetId="749">
        <row r="2">
          <cell r="A2">
            <v>0</v>
          </cell>
        </row>
      </sheetData>
      <sheetData sheetId="750">
        <row r="2">
          <cell r="A2">
            <v>0</v>
          </cell>
        </row>
      </sheetData>
      <sheetData sheetId="751">
        <row r="2">
          <cell r="A2">
            <v>0</v>
          </cell>
        </row>
      </sheetData>
      <sheetData sheetId="752">
        <row r="2">
          <cell r="A2">
            <v>0</v>
          </cell>
        </row>
      </sheetData>
      <sheetData sheetId="753">
        <row r="2">
          <cell r="A2">
            <v>0</v>
          </cell>
        </row>
      </sheetData>
      <sheetData sheetId="754">
        <row r="2">
          <cell r="A2">
            <v>0</v>
          </cell>
        </row>
      </sheetData>
      <sheetData sheetId="755">
        <row r="2">
          <cell r="A2">
            <v>0</v>
          </cell>
        </row>
      </sheetData>
      <sheetData sheetId="756">
        <row r="2">
          <cell r="A2">
            <v>0</v>
          </cell>
        </row>
      </sheetData>
      <sheetData sheetId="757">
        <row r="2">
          <cell r="A2">
            <v>0</v>
          </cell>
        </row>
      </sheetData>
      <sheetData sheetId="758">
        <row r="2">
          <cell r="A2">
            <v>0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>
            <v>0</v>
          </cell>
        </row>
      </sheetData>
      <sheetData sheetId="761">
        <row r="2">
          <cell r="A2">
            <v>0</v>
          </cell>
        </row>
      </sheetData>
      <sheetData sheetId="762">
        <row r="2">
          <cell r="A2">
            <v>0</v>
          </cell>
        </row>
      </sheetData>
      <sheetData sheetId="763">
        <row r="2">
          <cell r="A2">
            <v>0</v>
          </cell>
        </row>
      </sheetData>
      <sheetData sheetId="764">
        <row r="2">
          <cell r="A2">
            <v>0</v>
          </cell>
        </row>
      </sheetData>
      <sheetData sheetId="765">
        <row r="2">
          <cell r="A2">
            <v>0</v>
          </cell>
        </row>
      </sheetData>
      <sheetData sheetId="766">
        <row r="2">
          <cell r="A2">
            <v>0</v>
          </cell>
        </row>
      </sheetData>
      <sheetData sheetId="767">
        <row r="2">
          <cell r="A2">
            <v>0</v>
          </cell>
        </row>
      </sheetData>
      <sheetData sheetId="768">
        <row r="2">
          <cell r="A2">
            <v>0</v>
          </cell>
        </row>
      </sheetData>
      <sheetData sheetId="769">
        <row r="2">
          <cell r="A2">
            <v>0</v>
          </cell>
        </row>
      </sheetData>
      <sheetData sheetId="770">
        <row r="2">
          <cell r="A2">
            <v>0</v>
          </cell>
        </row>
      </sheetData>
      <sheetData sheetId="771">
        <row r="2">
          <cell r="A2">
            <v>0</v>
          </cell>
        </row>
      </sheetData>
      <sheetData sheetId="772">
        <row r="2">
          <cell r="A2">
            <v>0</v>
          </cell>
        </row>
      </sheetData>
      <sheetData sheetId="773">
        <row r="2">
          <cell r="A2">
            <v>0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>
            <v>0</v>
          </cell>
        </row>
      </sheetData>
      <sheetData sheetId="777">
        <row r="2">
          <cell r="A2">
            <v>0</v>
          </cell>
        </row>
      </sheetData>
      <sheetData sheetId="778">
        <row r="2">
          <cell r="A2">
            <v>0</v>
          </cell>
        </row>
      </sheetData>
      <sheetData sheetId="779">
        <row r="2">
          <cell r="A2">
            <v>0</v>
          </cell>
        </row>
      </sheetData>
      <sheetData sheetId="780">
        <row r="2">
          <cell r="A2">
            <v>0</v>
          </cell>
        </row>
      </sheetData>
      <sheetData sheetId="781">
        <row r="2">
          <cell r="A2">
            <v>0</v>
          </cell>
        </row>
      </sheetData>
      <sheetData sheetId="782">
        <row r="2">
          <cell r="A2">
            <v>0</v>
          </cell>
        </row>
      </sheetData>
      <sheetData sheetId="783">
        <row r="2">
          <cell r="A2">
            <v>0</v>
          </cell>
        </row>
      </sheetData>
      <sheetData sheetId="784">
        <row r="2">
          <cell r="A2">
            <v>0</v>
          </cell>
        </row>
      </sheetData>
      <sheetData sheetId="785">
        <row r="2">
          <cell r="A2">
            <v>0</v>
          </cell>
        </row>
      </sheetData>
      <sheetData sheetId="786">
        <row r="2">
          <cell r="A2">
            <v>0</v>
          </cell>
        </row>
      </sheetData>
      <sheetData sheetId="787">
        <row r="2">
          <cell r="A2">
            <v>0</v>
          </cell>
        </row>
      </sheetData>
      <sheetData sheetId="788">
        <row r="2">
          <cell r="A2">
            <v>0</v>
          </cell>
        </row>
      </sheetData>
      <sheetData sheetId="789">
        <row r="2">
          <cell r="A2">
            <v>0</v>
          </cell>
        </row>
      </sheetData>
      <sheetData sheetId="790">
        <row r="2">
          <cell r="A2">
            <v>0</v>
          </cell>
        </row>
      </sheetData>
      <sheetData sheetId="791">
        <row r="2">
          <cell r="A2">
            <v>0</v>
          </cell>
        </row>
      </sheetData>
      <sheetData sheetId="792">
        <row r="2">
          <cell r="A2">
            <v>0</v>
          </cell>
        </row>
      </sheetData>
      <sheetData sheetId="793">
        <row r="2">
          <cell r="A2">
            <v>0</v>
          </cell>
        </row>
      </sheetData>
      <sheetData sheetId="794">
        <row r="2">
          <cell r="A2">
            <v>0</v>
          </cell>
        </row>
      </sheetData>
      <sheetData sheetId="795">
        <row r="2">
          <cell r="A2">
            <v>0</v>
          </cell>
        </row>
      </sheetData>
      <sheetData sheetId="796">
        <row r="2">
          <cell r="A2">
            <v>0</v>
          </cell>
        </row>
      </sheetData>
      <sheetData sheetId="797">
        <row r="2">
          <cell r="A2">
            <v>0</v>
          </cell>
        </row>
      </sheetData>
      <sheetData sheetId="798">
        <row r="2">
          <cell r="A2">
            <v>0</v>
          </cell>
        </row>
      </sheetData>
      <sheetData sheetId="799">
        <row r="2">
          <cell r="A2">
            <v>0</v>
          </cell>
        </row>
      </sheetData>
      <sheetData sheetId="800">
        <row r="2">
          <cell r="A2">
            <v>0</v>
          </cell>
        </row>
      </sheetData>
      <sheetData sheetId="801">
        <row r="2">
          <cell r="A2">
            <v>0</v>
          </cell>
        </row>
      </sheetData>
      <sheetData sheetId="802">
        <row r="2">
          <cell r="A2">
            <v>0</v>
          </cell>
        </row>
      </sheetData>
      <sheetData sheetId="803">
        <row r="2">
          <cell r="A2">
            <v>0</v>
          </cell>
        </row>
      </sheetData>
      <sheetData sheetId="804">
        <row r="2">
          <cell r="A2">
            <v>0</v>
          </cell>
        </row>
      </sheetData>
      <sheetData sheetId="805">
        <row r="2">
          <cell r="A2">
            <v>0</v>
          </cell>
        </row>
      </sheetData>
      <sheetData sheetId="806">
        <row r="2">
          <cell r="A2">
            <v>0</v>
          </cell>
        </row>
      </sheetData>
      <sheetData sheetId="807">
        <row r="2">
          <cell r="A2">
            <v>0</v>
          </cell>
        </row>
      </sheetData>
      <sheetData sheetId="808">
        <row r="2">
          <cell r="A2">
            <v>0</v>
          </cell>
        </row>
      </sheetData>
      <sheetData sheetId="809">
        <row r="2">
          <cell r="A2">
            <v>0</v>
          </cell>
        </row>
      </sheetData>
      <sheetData sheetId="810">
        <row r="2">
          <cell r="A2">
            <v>0</v>
          </cell>
        </row>
      </sheetData>
      <sheetData sheetId="811">
        <row r="2">
          <cell r="A2">
            <v>0</v>
          </cell>
        </row>
      </sheetData>
      <sheetData sheetId="812">
        <row r="2">
          <cell r="A2">
            <v>0</v>
          </cell>
        </row>
      </sheetData>
      <sheetData sheetId="813">
        <row r="2">
          <cell r="A2">
            <v>0</v>
          </cell>
        </row>
      </sheetData>
      <sheetData sheetId="814">
        <row r="2">
          <cell r="A2">
            <v>0</v>
          </cell>
        </row>
      </sheetData>
      <sheetData sheetId="815">
        <row r="2">
          <cell r="A2">
            <v>0</v>
          </cell>
        </row>
      </sheetData>
      <sheetData sheetId="816">
        <row r="2">
          <cell r="A2">
            <v>0</v>
          </cell>
        </row>
      </sheetData>
      <sheetData sheetId="817">
        <row r="2">
          <cell r="A2">
            <v>0</v>
          </cell>
        </row>
      </sheetData>
      <sheetData sheetId="818">
        <row r="2">
          <cell r="A2">
            <v>0</v>
          </cell>
        </row>
      </sheetData>
      <sheetData sheetId="819">
        <row r="2">
          <cell r="A2">
            <v>0</v>
          </cell>
        </row>
      </sheetData>
      <sheetData sheetId="820">
        <row r="2">
          <cell r="A2">
            <v>0</v>
          </cell>
        </row>
      </sheetData>
      <sheetData sheetId="821">
        <row r="2">
          <cell r="A2">
            <v>0</v>
          </cell>
        </row>
      </sheetData>
      <sheetData sheetId="822">
        <row r="2">
          <cell r="A2">
            <v>0</v>
          </cell>
        </row>
      </sheetData>
      <sheetData sheetId="823">
        <row r="2">
          <cell r="A2">
            <v>0</v>
          </cell>
        </row>
      </sheetData>
      <sheetData sheetId="824">
        <row r="2">
          <cell r="A2">
            <v>0</v>
          </cell>
        </row>
      </sheetData>
      <sheetData sheetId="825">
        <row r="2">
          <cell r="A2">
            <v>0</v>
          </cell>
        </row>
      </sheetData>
      <sheetData sheetId="826">
        <row r="2">
          <cell r="A2">
            <v>0</v>
          </cell>
        </row>
      </sheetData>
      <sheetData sheetId="827">
        <row r="2">
          <cell r="A2">
            <v>0</v>
          </cell>
        </row>
      </sheetData>
      <sheetData sheetId="828">
        <row r="2">
          <cell r="A2">
            <v>0</v>
          </cell>
        </row>
      </sheetData>
      <sheetData sheetId="829">
        <row r="2">
          <cell r="A2">
            <v>0</v>
          </cell>
        </row>
      </sheetData>
      <sheetData sheetId="830">
        <row r="2">
          <cell r="A2">
            <v>0</v>
          </cell>
        </row>
      </sheetData>
      <sheetData sheetId="831">
        <row r="2">
          <cell r="A2">
            <v>0</v>
          </cell>
        </row>
      </sheetData>
      <sheetData sheetId="832">
        <row r="2">
          <cell r="A2">
            <v>0</v>
          </cell>
        </row>
      </sheetData>
      <sheetData sheetId="833">
        <row r="2">
          <cell r="A2">
            <v>0</v>
          </cell>
        </row>
      </sheetData>
      <sheetData sheetId="834">
        <row r="2">
          <cell r="A2">
            <v>0</v>
          </cell>
        </row>
      </sheetData>
      <sheetData sheetId="835">
        <row r="2">
          <cell r="A2">
            <v>0</v>
          </cell>
        </row>
      </sheetData>
      <sheetData sheetId="836">
        <row r="2">
          <cell r="A2">
            <v>0</v>
          </cell>
        </row>
      </sheetData>
      <sheetData sheetId="837">
        <row r="2">
          <cell r="A2">
            <v>0</v>
          </cell>
        </row>
      </sheetData>
      <sheetData sheetId="838">
        <row r="2">
          <cell r="A2">
            <v>0</v>
          </cell>
        </row>
      </sheetData>
      <sheetData sheetId="839">
        <row r="2">
          <cell r="A2">
            <v>0</v>
          </cell>
        </row>
      </sheetData>
      <sheetData sheetId="840">
        <row r="2">
          <cell r="A2">
            <v>0</v>
          </cell>
        </row>
      </sheetData>
      <sheetData sheetId="841">
        <row r="2">
          <cell r="A2">
            <v>0</v>
          </cell>
        </row>
      </sheetData>
      <sheetData sheetId="842">
        <row r="2">
          <cell r="A2">
            <v>0</v>
          </cell>
        </row>
      </sheetData>
      <sheetData sheetId="843">
        <row r="2">
          <cell r="A2">
            <v>0</v>
          </cell>
        </row>
      </sheetData>
      <sheetData sheetId="844">
        <row r="2">
          <cell r="A2">
            <v>0</v>
          </cell>
        </row>
      </sheetData>
      <sheetData sheetId="845">
        <row r="2">
          <cell r="A2">
            <v>0</v>
          </cell>
        </row>
      </sheetData>
      <sheetData sheetId="846">
        <row r="2">
          <cell r="A2">
            <v>0</v>
          </cell>
        </row>
      </sheetData>
      <sheetData sheetId="847">
        <row r="2">
          <cell r="A2">
            <v>0</v>
          </cell>
        </row>
      </sheetData>
      <sheetData sheetId="848">
        <row r="2">
          <cell r="A2">
            <v>0</v>
          </cell>
        </row>
      </sheetData>
      <sheetData sheetId="849">
        <row r="2">
          <cell r="A2">
            <v>0</v>
          </cell>
        </row>
      </sheetData>
      <sheetData sheetId="850">
        <row r="2">
          <cell r="A2">
            <v>0</v>
          </cell>
        </row>
      </sheetData>
      <sheetData sheetId="851">
        <row r="2">
          <cell r="A2">
            <v>0</v>
          </cell>
        </row>
      </sheetData>
      <sheetData sheetId="852">
        <row r="2">
          <cell r="A2">
            <v>0</v>
          </cell>
        </row>
      </sheetData>
      <sheetData sheetId="853">
        <row r="2">
          <cell r="A2">
            <v>0</v>
          </cell>
        </row>
      </sheetData>
      <sheetData sheetId="854">
        <row r="2">
          <cell r="A2">
            <v>0</v>
          </cell>
        </row>
      </sheetData>
      <sheetData sheetId="855">
        <row r="2">
          <cell r="A2">
            <v>0</v>
          </cell>
        </row>
      </sheetData>
      <sheetData sheetId="856">
        <row r="2">
          <cell r="A2">
            <v>0</v>
          </cell>
        </row>
      </sheetData>
      <sheetData sheetId="857">
        <row r="2">
          <cell r="A2">
            <v>0</v>
          </cell>
        </row>
      </sheetData>
      <sheetData sheetId="858">
        <row r="2">
          <cell r="A2">
            <v>0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>
            <v>0</v>
          </cell>
        </row>
      </sheetData>
      <sheetData sheetId="862">
        <row r="2">
          <cell r="A2">
            <v>0</v>
          </cell>
        </row>
      </sheetData>
      <sheetData sheetId="863">
        <row r="2">
          <cell r="A2">
            <v>0</v>
          </cell>
        </row>
      </sheetData>
      <sheetData sheetId="864">
        <row r="2">
          <cell r="A2">
            <v>0</v>
          </cell>
        </row>
      </sheetData>
      <sheetData sheetId="865">
        <row r="2">
          <cell r="A2">
            <v>0</v>
          </cell>
        </row>
      </sheetData>
      <sheetData sheetId="866">
        <row r="2">
          <cell r="A2">
            <v>0</v>
          </cell>
        </row>
      </sheetData>
      <sheetData sheetId="867">
        <row r="2">
          <cell r="A2">
            <v>0</v>
          </cell>
        </row>
      </sheetData>
      <sheetData sheetId="868">
        <row r="2">
          <cell r="A2">
            <v>0</v>
          </cell>
        </row>
      </sheetData>
      <sheetData sheetId="869">
        <row r="2">
          <cell r="A2">
            <v>0</v>
          </cell>
        </row>
      </sheetData>
      <sheetData sheetId="870">
        <row r="2">
          <cell r="A2">
            <v>0</v>
          </cell>
        </row>
      </sheetData>
      <sheetData sheetId="871">
        <row r="2">
          <cell r="A2">
            <v>0</v>
          </cell>
        </row>
      </sheetData>
      <sheetData sheetId="872">
        <row r="2">
          <cell r="A2">
            <v>0</v>
          </cell>
        </row>
      </sheetData>
      <sheetData sheetId="873">
        <row r="2">
          <cell r="A2">
            <v>0</v>
          </cell>
        </row>
      </sheetData>
      <sheetData sheetId="874">
        <row r="2">
          <cell r="A2">
            <v>0</v>
          </cell>
        </row>
      </sheetData>
      <sheetData sheetId="875">
        <row r="2">
          <cell r="A2">
            <v>0</v>
          </cell>
        </row>
      </sheetData>
      <sheetData sheetId="876">
        <row r="2">
          <cell r="A2">
            <v>0</v>
          </cell>
        </row>
      </sheetData>
      <sheetData sheetId="877">
        <row r="2">
          <cell r="A2">
            <v>0</v>
          </cell>
        </row>
      </sheetData>
      <sheetData sheetId="878">
        <row r="2">
          <cell r="A2">
            <v>0</v>
          </cell>
        </row>
      </sheetData>
      <sheetData sheetId="879">
        <row r="2">
          <cell r="A2">
            <v>0</v>
          </cell>
        </row>
      </sheetData>
      <sheetData sheetId="880">
        <row r="2">
          <cell r="A2">
            <v>0</v>
          </cell>
        </row>
      </sheetData>
      <sheetData sheetId="881">
        <row r="2">
          <cell r="A2">
            <v>0</v>
          </cell>
        </row>
      </sheetData>
      <sheetData sheetId="882">
        <row r="2">
          <cell r="A2">
            <v>0</v>
          </cell>
        </row>
      </sheetData>
      <sheetData sheetId="883">
        <row r="2">
          <cell r="A2">
            <v>0</v>
          </cell>
        </row>
      </sheetData>
      <sheetData sheetId="884">
        <row r="2">
          <cell r="A2">
            <v>0</v>
          </cell>
        </row>
      </sheetData>
      <sheetData sheetId="885">
        <row r="2">
          <cell r="A2">
            <v>0</v>
          </cell>
        </row>
      </sheetData>
      <sheetData sheetId="886">
        <row r="2">
          <cell r="A2">
            <v>0</v>
          </cell>
        </row>
      </sheetData>
      <sheetData sheetId="887">
        <row r="2">
          <cell r="A2">
            <v>0</v>
          </cell>
        </row>
      </sheetData>
      <sheetData sheetId="888">
        <row r="2">
          <cell r="A2">
            <v>0</v>
          </cell>
        </row>
      </sheetData>
      <sheetData sheetId="889">
        <row r="2">
          <cell r="A2">
            <v>0</v>
          </cell>
        </row>
      </sheetData>
      <sheetData sheetId="890">
        <row r="2">
          <cell r="A2">
            <v>0</v>
          </cell>
        </row>
      </sheetData>
      <sheetData sheetId="891">
        <row r="2">
          <cell r="A2">
            <v>0</v>
          </cell>
        </row>
      </sheetData>
      <sheetData sheetId="892">
        <row r="2">
          <cell r="A2">
            <v>0</v>
          </cell>
        </row>
      </sheetData>
      <sheetData sheetId="893">
        <row r="2">
          <cell r="A2">
            <v>0</v>
          </cell>
        </row>
      </sheetData>
      <sheetData sheetId="894">
        <row r="2">
          <cell r="A2">
            <v>0</v>
          </cell>
        </row>
      </sheetData>
      <sheetData sheetId="895">
        <row r="2">
          <cell r="A2">
            <v>0</v>
          </cell>
        </row>
      </sheetData>
      <sheetData sheetId="896">
        <row r="2">
          <cell r="A2">
            <v>0</v>
          </cell>
        </row>
      </sheetData>
      <sheetData sheetId="897">
        <row r="2">
          <cell r="A2">
            <v>0</v>
          </cell>
        </row>
      </sheetData>
      <sheetData sheetId="898">
        <row r="2">
          <cell r="A2">
            <v>0</v>
          </cell>
        </row>
      </sheetData>
      <sheetData sheetId="899">
        <row r="2">
          <cell r="A2">
            <v>0</v>
          </cell>
        </row>
      </sheetData>
      <sheetData sheetId="900">
        <row r="2">
          <cell r="A2">
            <v>0</v>
          </cell>
        </row>
      </sheetData>
      <sheetData sheetId="901">
        <row r="2">
          <cell r="A2">
            <v>0</v>
          </cell>
        </row>
      </sheetData>
      <sheetData sheetId="902">
        <row r="2">
          <cell r="A2">
            <v>0</v>
          </cell>
        </row>
      </sheetData>
      <sheetData sheetId="903">
        <row r="2">
          <cell r="A2">
            <v>0</v>
          </cell>
        </row>
      </sheetData>
      <sheetData sheetId="904">
        <row r="2">
          <cell r="A2">
            <v>0</v>
          </cell>
        </row>
      </sheetData>
      <sheetData sheetId="905">
        <row r="2">
          <cell r="A2">
            <v>0</v>
          </cell>
        </row>
      </sheetData>
      <sheetData sheetId="906">
        <row r="2">
          <cell r="A2">
            <v>0</v>
          </cell>
        </row>
      </sheetData>
      <sheetData sheetId="907">
        <row r="2">
          <cell r="A2">
            <v>0</v>
          </cell>
        </row>
      </sheetData>
      <sheetData sheetId="908">
        <row r="2">
          <cell r="A2">
            <v>0</v>
          </cell>
        </row>
      </sheetData>
      <sheetData sheetId="909">
        <row r="2">
          <cell r="A2">
            <v>0</v>
          </cell>
        </row>
      </sheetData>
      <sheetData sheetId="910">
        <row r="2">
          <cell r="A2">
            <v>0</v>
          </cell>
        </row>
      </sheetData>
      <sheetData sheetId="911">
        <row r="2">
          <cell r="A2">
            <v>0</v>
          </cell>
        </row>
      </sheetData>
      <sheetData sheetId="912">
        <row r="2">
          <cell r="A2">
            <v>0</v>
          </cell>
        </row>
      </sheetData>
      <sheetData sheetId="913">
        <row r="2">
          <cell r="A2">
            <v>0</v>
          </cell>
        </row>
      </sheetData>
      <sheetData sheetId="914">
        <row r="2">
          <cell r="A2">
            <v>0</v>
          </cell>
        </row>
      </sheetData>
      <sheetData sheetId="915">
        <row r="2">
          <cell r="A2">
            <v>0</v>
          </cell>
        </row>
      </sheetData>
      <sheetData sheetId="916">
        <row r="2">
          <cell r="A2">
            <v>0</v>
          </cell>
        </row>
      </sheetData>
      <sheetData sheetId="917">
        <row r="2">
          <cell r="A2">
            <v>0</v>
          </cell>
        </row>
      </sheetData>
      <sheetData sheetId="918">
        <row r="2">
          <cell r="A2">
            <v>0</v>
          </cell>
        </row>
      </sheetData>
      <sheetData sheetId="919">
        <row r="2">
          <cell r="A2">
            <v>0</v>
          </cell>
        </row>
      </sheetData>
      <sheetData sheetId="920">
        <row r="2">
          <cell r="A2">
            <v>0</v>
          </cell>
        </row>
      </sheetData>
      <sheetData sheetId="921">
        <row r="2">
          <cell r="A2">
            <v>0</v>
          </cell>
        </row>
      </sheetData>
      <sheetData sheetId="922">
        <row r="2">
          <cell r="A2">
            <v>0</v>
          </cell>
        </row>
      </sheetData>
      <sheetData sheetId="923">
        <row r="2">
          <cell r="A2">
            <v>0</v>
          </cell>
        </row>
      </sheetData>
      <sheetData sheetId="924">
        <row r="2">
          <cell r="A2">
            <v>0</v>
          </cell>
        </row>
      </sheetData>
      <sheetData sheetId="925">
        <row r="2">
          <cell r="A2">
            <v>0</v>
          </cell>
        </row>
      </sheetData>
      <sheetData sheetId="926">
        <row r="2">
          <cell r="A2">
            <v>0</v>
          </cell>
        </row>
      </sheetData>
      <sheetData sheetId="927">
        <row r="2">
          <cell r="A2">
            <v>0</v>
          </cell>
        </row>
      </sheetData>
      <sheetData sheetId="928">
        <row r="2">
          <cell r="A2">
            <v>0</v>
          </cell>
        </row>
      </sheetData>
      <sheetData sheetId="929">
        <row r="2">
          <cell r="A2">
            <v>0</v>
          </cell>
        </row>
      </sheetData>
      <sheetData sheetId="930">
        <row r="2">
          <cell r="A2">
            <v>0</v>
          </cell>
        </row>
      </sheetData>
      <sheetData sheetId="931">
        <row r="2">
          <cell r="A2">
            <v>0</v>
          </cell>
        </row>
      </sheetData>
      <sheetData sheetId="932">
        <row r="2">
          <cell r="A2">
            <v>0</v>
          </cell>
        </row>
      </sheetData>
      <sheetData sheetId="933">
        <row r="2">
          <cell r="A2">
            <v>0</v>
          </cell>
        </row>
      </sheetData>
      <sheetData sheetId="934">
        <row r="2">
          <cell r="A2">
            <v>0</v>
          </cell>
        </row>
      </sheetData>
      <sheetData sheetId="935">
        <row r="2">
          <cell r="A2">
            <v>0</v>
          </cell>
        </row>
      </sheetData>
      <sheetData sheetId="936">
        <row r="2">
          <cell r="A2">
            <v>0</v>
          </cell>
        </row>
      </sheetData>
      <sheetData sheetId="937">
        <row r="2">
          <cell r="A2">
            <v>0</v>
          </cell>
        </row>
      </sheetData>
      <sheetData sheetId="938">
        <row r="2">
          <cell r="A2">
            <v>0</v>
          </cell>
        </row>
      </sheetData>
      <sheetData sheetId="939">
        <row r="2">
          <cell r="A2">
            <v>0</v>
          </cell>
        </row>
      </sheetData>
      <sheetData sheetId="940">
        <row r="2">
          <cell r="A2">
            <v>0</v>
          </cell>
        </row>
      </sheetData>
      <sheetData sheetId="941">
        <row r="2">
          <cell r="B2" t="str">
            <v>Please select</v>
          </cell>
        </row>
      </sheetData>
      <sheetData sheetId="942">
        <row r="2">
          <cell r="A2">
            <v>0</v>
          </cell>
        </row>
      </sheetData>
      <sheetData sheetId="943">
        <row r="2">
          <cell r="A2">
            <v>0</v>
          </cell>
        </row>
      </sheetData>
      <sheetData sheetId="944">
        <row r="2">
          <cell r="A2">
            <v>0</v>
          </cell>
        </row>
      </sheetData>
      <sheetData sheetId="945">
        <row r="2">
          <cell r="A2">
            <v>0</v>
          </cell>
        </row>
      </sheetData>
      <sheetData sheetId="946">
        <row r="2">
          <cell r="B2" t="str">
            <v>Please select</v>
          </cell>
        </row>
      </sheetData>
      <sheetData sheetId="947">
        <row r="2">
          <cell r="A2">
            <v>0</v>
          </cell>
        </row>
      </sheetData>
      <sheetData sheetId="948">
        <row r="2">
          <cell r="A2">
            <v>0</v>
          </cell>
        </row>
      </sheetData>
      <sheetData sheetId="949">
        <row r="2">
          <cell r="A2">
            <v>0</v>
          </cell>
        </row>
      </sheetData>
      <sheetData sheetId="950">
        <row r="2">
          <cell r="A2">
            <v>0</v>
          </cell>
        </row>
      </sheetData>
      <sheetData sheetId="951">
        <row r="2">
          <cell r="B2" t="str">
            <v>Please select</v>
          </cell>
        </row>
      </sheetData>
      <sheetData sheetId="952">
        <row r="2">
          <cell r="A2">
            <v>0</v>
          </cell>
        </row>
      </sheetData>
      <sheetData sheetId="953">
        <row r="2">
          <cell r="A2">
            <v>0</v>
          </cell>
        </row>
      </sheetData>
      <sheetData sheetId="954">
        <row r="2">
          <cell r="A2">
            <v>0</v>
          </cell>
        </row>
      </sheetData>
      <sheetData sheetId="955">
        <row r="2">
          <cell r="A2">
            <v>0</v>
          </cell>
        </row>
      </sheetData>
      <sheetData sheetId="956">
        <row r="2">
          <cell r="B2" t="str">
            <v>Please select</v>
          </cell>
        </row>
      </sheetData>
      <sheetData sheetId="957">
        <row r="2">
          <cell r="A2">
            <v>0</v>
          </cell>
        </row>
      </sheetData>
      <sheetData sheetId="958">
        <row r="2">
          <cell r="A2">
            <v>0</v>
          </cell>
        </row>
      </sheetData>
      <sheetData sheetId="959">
        <row r="2">
          <cell r="A2">
            <v>0</v>
          </cell>
        </row>
      </sheetData>
      <sheetData sheetId="960">
        <row r="2">
          <cell r="A2">
            <v>0</v>
          </cell>
        </row>
      </sheetData>
      <sheetData sheetId="961">
        <row r="2">
          <cell r="B2" t="str">
            <v>Please select</v>
          </cell>
        </row>
      </sheetData>
      <sheetData sheetId="962">
        <row r="2">
          <cell r="B2" t="str">
            <v>Please select</v>
          </cell>
        </row>
      </sheetData>
      <sheetData sheetId="963">
        <row r="2">
          <cell r="B2" t="str">
            <v>Please select</v>
          </cell>
        </row>
      </sheetData>
      <sheetData sheetId="964">
        <row r="2">
          <cell r="B2" t="str">
            <v>Please select</v>
          </cell>
        </row>
      </sheetData>
      <sheetData sheetId="965">
        <row r="2">
          <cell r="B2" t="str">
            <v>Please select</v>
          </cell>
        </row>
      </sheetData>
      <sheetData sheetId="966">
        <row r="2">
          <cell r="B2" t="str">
            <v>Please select</v>
          </cell>
        </row>
      </sheetData>
      <sheetData sheetId="967">
        <row r="2">
          <cell r="B2" t="str">
            <v>Please select</v>
          </cell>
        </row>
      </sheetData>
      <sheetData sheetId="968">
        <row r="2">
          <cell r="B2" t="str">
            <v>Please select</v>
          </cell>
        </row>
      </sheetData>
      <sheetData sheetId="969">
        <row r="2">
          <cell r="B2" t="str">
            <v>Please select</v>
          </cell>
        </row>
      </sheetData>
      <sheetData sheetId="970">
        <row r="2">
          <cell r="B2" t="str">
            <v>Please select</v>
          </cell>
        </row>
      </sheetData>
      <sheetData sheetId="971">
        <row r="2">
          <cell r="B2" t="str">
            <v>Please select</v>
          </cell>
        </row>
      </sheetData>
      <sheetData sheetId="972">
        <row r="2">
          <cell r="B2" t="str">
            <v>Please select</v>
          </cell>
        </row>
      </sheetData>
      <sheetData sheetId="973">
        <row r="2">
          <cell r="B2" t="str">
            <v>Please select</v>
          </cell>
        </row>
      </sheetData>
      <sheetData sheetId="974">
        <row r="2">
          <cell r="B2" t="str">
            <v>Please select</v>
          </cell>
        </row>
      </sheetData>
      <sheetData sheetId="975">
        <row r="2">
          <cell r="B2" t="str">
            <v>Please select</v>
          </cell>
        </row>
      </sheetData>
      <sheetData sheetId="976">
        <row r="2">
          <cell r="B2" t="str">
            <v>Please select</v>
          </cell>
        </row>
      </sheetData>
      <sheetData sheetId="977">
        <row r="2">
          <cell r="B2" t="str">
            <v>Please select</v>
          </cell>
        </row>
      </sheetData>
      <sheetData sheetId="978">
        <row r="2">
          <cell r="B2" t="str">
            <v>Please select</v>
          </cell>
        </row>
      </sheetData>
      <sheetData sheetId="979">
        <row r="2">
          <cell r="B2" t="str">
            <v>Please select</v>
          </cell>
        </row>
      </sheetData>
      <sheetData sheetId="980">
        <row r="2">
          <cell r="B2" t="str">
            <v>Please select</v>
          </cell>
        </row>
      </sheetData>
      <sheetData sheetId="981">
        <row r="2">
          <cell r="B2" t="str">
            <v>Please select</v>
          </cell>
        </row>
      </sheetData>
      <sheetData sheetId="982">
        <row r="2">
          <cell r="B2" t="str">
            <v>Please select</v>
          </cell>
        </row>
      </sheetData>
      <sheetData sheetId="983">
        <row r="2">
          <cell r="B2" t="str">
            <v>Please select</v>
          </cell>
        </row>
      </sheetData>
      <sheetData sheetId="984">
        <row r="2">
          <cell r="B2" t="str">
            <v>Please select</v>
          </cell>
        </row>
      </sheetData>
      <sheetData sheetId="985">
        <row r="2">
          <cell r="B2" t="str">
            <v>Please select</v>
          </cell>
        </row>
      </sheetData>
      <sheetData sheetId="986">
        <row r="2">
          <cell r="B2" t="str">
            <v>Please select</v>
          </cell>
        </row>
      </sheetData>
      <sheetData sheetId="987">
        <row r="2">
          <cell r="B2" t="str">
            <v>Please select</v>
          </cell>
        </row>
      </sheetData>
      <sheetData sheetId="988">
        <row r="2">
          <cell r="B2" t="str">
            <v>Please select</v>
          </cell>
        </row>
      </sheetData>
      <sheetData sheetId="989">
        <row r="2">
          <cell r="B2" t="str">
            <v>Please select</v>
          </cell>
        </row>
      </sheetData>
      <sheetData sheetId="990">
        <row r="2">
          <cell r="B2" t="str">
            <v>Please select</v>
          </cell>
        </row>
      </sheetData>
      <sheetData sheetId="991">
        <row r="2">
          <cell r="B2" t="str">
            <v>Please select</v>
          </cell>
        </row>
      </sheetData>
      <sheetData sheetId="992">
        <row r="2">
          <cell r="B2" t="str">
            <v>Please select</v>
          </cell>
        </row>
      </sheetData>
      <sheetData sheetId="993">
        <row r="2">
          <cell r="B2" t="str">
            <v>Please select</v>
          </cell>
        </row>
      </sheetData>
      <sheetData sheetId="994">
        <row r="2">
          <cell r="B2" t="str">
            <v>Please select</v>
          </cell>
        </row>
      </sheetData>
      <sheetData sheetId="995">
        <row r="2">
          <cell r="B2" t="str">
            <v>Please select</v>
          </cell>
        </row>
      </sheetData>
      <sheetData sheetId="996">
        <row r="2">
          <cell r="B2" t="str">
            <v>Please select</v>
          </cell>
        </row>
      </sheetData>
      <sheetData sheetId="997">
        <row r="2">
          <cell r="B2" t="str">
            <v>Please select</v>
          </cell>
        </row>
      </sheetData>
      <sheetData sheetId="998">
        <row r="2">
          <cell r="B2" t="str">
            <v>Please select</v>
          </cell>
        </row>
      </sheetData>
      <sheetData sheetId="999">
        <row r="2">
          <cell r="B2" t="str">
            <v>Please select</v>
          </cell>
        </row>
      </sheetData>
      <sheetData sheetId="1000">
        <row r="2">
          <cell r="B2" t="str">
            <v>Please select</v>
          </cell>
        </row>
      </sheetData>
      <sheetData sheetId="1001">
        <row r="2">
          <cell r="B2" t="str">
            <v>Please select</v>
          </cell>
        </row>
      </sheetData>
      <sheetData sheetId="1002">
        <row r="2">
          <cell r="B2" t="str">
            <v>Please select</v>
          </cell>
        </row>
      </sheetData>
      <sheetData sheetId="1003">
        <row r="2">
          <cell r="B2" t="str">
            <v>Please select</v>
          </cell>
        </row>
      </sheetData>
      <sheetData sheetId="1004">
        <row r="2">
          <cell r="B2" t="str">
            <v>Please select</v>
          </cell>
        </row>
      </sheetData>
      <sheetData sheetId="1005">
        <row r="2">
          <cell r="B2" t="str">
            <v>Please select</v>
          </cell>
        </row>
      </sheetData>
      <sheetData sheetId="1006">
        <row r="2">
          <cell r="B2" t="str">
            <v>Please select</v>
          </cell>
        </row>
      </sheetData>
      <sheetData sheetId="1007">
        <row r="2">
          <cell r="B2" t="str">
            <v>Please select</v>
          </cell>
        </row>
      </sheetData>
      <sheetData sheetId="1008">
        <row r="2">
          <cell r="B2" t="str">
            <v>Please select</v>
          </cell>
        </row>
      </sheetData>
      <sheetData sheetId="1009">
        <row r="2">
          <cell r="B2" t="str">
            <v>Please select</v>
          </cell>
        </row>
      </sheetData>
      <sheetData sheetId="1010">
        <row r="2">
          <cell r="B2" t="str">
            <v>Please select</v>
          </cell>
        </row>
      </sheetData>
      <sheetData sheetId="1011">
        <row r="2">
          <cell r="B2" t="str">
            <v>Please select</v>
          </cell>
        </row>
      </sheetData>
      <sheetData sheetId="1012">
        <row r="2">
          <cell r="B2" t="str">
            <v>Please select</v>
          </cell>
        </row>
      </sheetData>
      <sheetData sheetId="1013">
        <row r="2">
          <cell r="B2" t="str">
            <v>Please select</v>
          </cell>
        </row>
      </sheetData>
      <sheetData sheetId="1014">
        <row r="2">
          <cell r="B2" t="str">
            <v>Please select</v>
          </cell>
        </row>
      </sheetData>
      <sheetData sheetId="1015">
        <row r="2">
          <cell r="B2" t="str">
            <v>Please select</v>
          </cell>
        </row>
      </sheetData>
      <sheetData sheetId="1016">
        <row r="2">
          <cell r="B2" t="str">
            <v>Please select</v>
          </cell>
        </row>
      </sheetData>
      <sheetData sheetId="1017">
        <row r="2">
          <cell r="B2" t="str">
            <v>Please select</v>
          </cell>
        </row>
      </sheetData>
      <sheetData sheetId="1018">
        <row r="2">
          <cell r="B2" t="str">
            <v>Please select</v>
          </cell>
        </row>
      </sheetData>
      <sheetData sheetId="1019">
        <row r="2">
          <cell r="B2" t="str">
            <v>Please select</v>
          </cell>
        </row>
      </sheetData>
      <sheetData sheetId="1020">
        <row r="2">
          <cell r="B2" t="str">
            <v>Please select</v>
          </cell>
        </row>
      </sheetData>
      <sheetData sheetId="1021">
        <row r="2">
          <cell r="B2" t="str">
            <v>Please select</v>
          </cell>
        </row>
      </sheetData>
      <sheetData sheetId="1022">
        <row r="2">
          <cell r="B2" t="str">
            <v>Please select</v>
          </cell>
        </row>
      </sheetData>
      <sheetData sheetId="1023">
        <row r="2">
          <cell r="B2" t="str">
            <v>Please select</v>
          </cell>
        </row>
      </sheetData>
      <sheetData sheetId="1024">
        <row r="2">
          <cell r="B2" t="str">
            <v>Please select</v>
          </cell>
        </row>
      </sheetData>
      <sheetData sheetId="1025">
        <row r="2">
          <cell r="B2" t="str">
            <v>Please select</v>
          </cell>
        </row>
      </sheetData>
      <sheetData sheetId="1026">
        <row r="2">
          <cell r="B2" t="str">
            <v>Please select</v>
          </cell>
        </row>
      </sheetData>
      <sheetData sheetId="1027">
        <row r="2">
          <cell r="B2" t="str">
            <v>Please select</v>
          </cell>
        </row>
      </sheetData>
      <sheetData sheetId="1028">
        <row r="2">
          <cell r="B2" t="str">
            <v>Please select</v>
          </cell>
        </row>
      </sheetData>
      <sheetData sheetId="1029">
        <row r="2">
          <cell r="B2" t="str">
            <v>Please select</v>
          </cell>
        </row>
      </sheetData>
      <sheetData sheetId="1030">
        <row r="2">
          <cell r="B2" t="str">
            <v>Please select</v>
          </cell>
        </row>
      </sheetData>
      <sheetData sheetId="1031">
        <row r="2">
          <cell r="B2" t="str">
            <v>Please select</v>
          </cell>
        </row>
      </sheetData>
      <sheetData sheetId="1032">
        <row r="2">
          <cell r="B2" t="str">
            <v>Please select</v>
          </cell>
        </row>
      </sheetData>
      <sheetData sheetId="1033">
        <row r="2">
          <cell r="B2" t="str">
            <v>Please select</v>
          </cell>
        </row>
      </sheetData>
      <sheetData sheetId="1034">
        <row r="2">
          <cell r="B2" t="str">
            <v>Please select</v>
          </cell>
        </row>
      </sheetData>
      <sheetData sheetId="1035">
        <row r="2">
          <cell r="B2" t="str">
            <v>Please select</v>
          </cell>
        </row>
      </sheetData>
      <sheetData sheetId="1036">
        <row r="2">
          <cell r="B2" t="str">
            <v>Please select</v>
          </cell>
        </row>
      </sheetData>
      <sheetData sheetId="1037">
        <row r="2">
          <cell r="B2" t="str">
            <v>Please select</v>
          </cell>
        </row>
      </sheetData>
      <sheetData sheetId="1038">
        <row r="2">
          <cell r="B2" t="str">
            <v>Please select</v>
          </cell>
        </row>
      </sheetData>
      <sheetData sheetId="1039">
        <row r="2">
          <cell r="B2" t="str">
            <v>Please select</v>
          </cell>
        </row>
      </sheetData>
      <sheetData sheetId="1040">
        <row r="2">
          <cell r="B2" t="str">
            <v>Please select</v>
          </cell>
        </row>
      </sheetData>
      <sheetData sheetId="1041">
        <row r="2">
          <cell r="B2" t="str">
            <v>Please select</v>
          </cell>
        </row>
      </sheetData>
      <sheetData sheetId="1042">
        <row r="2">
          <cell r="B2" t="str">
            <v>Please select</v>
          </cell>
        </row>
      </sheetData>
      <sheetData sheetId="1043">
        <row r="2">
          <cell r="B2" t="str">
            <v>Please select</v>
          </cell>
        </row>
      </sheetData>
      <sheetData sheetId="1044">
        <row r="2">
          <cell r="B2" t="str">
            <v>Please select</v>
          </cell>
        </row>
      </sheetData>
      <sheetData sheetId="1045">
        <row r="2">
          <cell r="B2" t="str">
            <v>Please select</v>
          </cell>
        </row>
      </sheetData>
      <sheetData sheetId="1046">
        <row r="2">
          <cell r="B2" t="str">
            <v>Please select</v>
          </cell>
        </row>
      </sheetData>
      <sheetData sheetId="1047">
        <row r="2">
          <cell r="B2" t="str">
            <v>Please select</v>
          </cell>
        </row>
      </sheetData>
      <sheetData sheetId="1048">
        <row r="2">
          <cell r="B2" t="str">
            <v>Please select</v>
          </cell>
        </row>
      </sheetData>
      <sheetData sheetId="1049">
        <row r="2">
          <cell r="B2" t="str">
            <v>Please select</v>
          </cell>
        </row>
      </sheetData>
      <sheetData sheetId="1050">
        <row r="2">
          <cell r="B2" t="str">
            <v>Please select</v>
          </cell>
        </row>
      </sheetData>
      <sheetData sheetId="1051">
        <row r="2">
          <cell r="B2" t="str">
            <v>Please select</v>
          </cell>
        </row>
      </sheetData>
      <sheetData sheetId="1052">
        <row r="2">
          <cell r="B2" t="str">
            <v>Please select</v>
          </cell>
        </row>
      </sheetData>
      <sheetData sheetId="1053">
        <row r="2">
          <cell r="B2" t="str">
            <v>Please select</v>
          </cell>
        </row>
      </sheetData>
      <sheetData sheetId="1054">
        <row r="2">
          <cell r="B2" t="str">
            <v>Please select</v>
          </cell>
        </row>
      </sheetData>
      <sheetData sheetId="1055">
        <row r="2">
          <cell r="B2" t="str">
            <v>Please select</v>
          </cell>
        </row>
      </sheetData>
      <sheetData sheetId="1056">
        <row r="2">
          <cell r="B2" t="str">
            <v>Please select</v>
          </cell>
        </row>
      </sheetData>
      <sheetData sheetId="1057">
        <row r="2">
          <cell r="B2" t="str">
            <v>Please select</v>
          </cell>
        </row>
      </sheetData>
      <sheetData sheetId="1058">
        <row r="2">
          <cell r="B2" t="str">
            <v>Please select</v>
          </cell>
        </row>
      </sheetData>
      <sheetData sheetId="1059">
        <row r="2">
          <cell r="B2" t="str">
            <v>Please select</v>
          </cell>
        </row>
      </sheetData>
      <sheetData sheetId="1060">
        <row r="2">
          <cell r="B2" t="str">
            <v>Please select</v>
          </cell>
        </row>
      </sheetData>
      <sheetData sheetId="1061">
        <row r="2">
          <cell r="B2" t="str">
            <v>Please select</v>
          </cell>
        </row>
      </sheetData>
      <sheetData sheetId="1062">
        <row r="2">
          <cell r="B2" t="str">
            <v>Please select</v>
          </cell>
        </row>
      </sheetData>
      <sheetData sheetId="1063">
        <row r="2">
          <cell r="B2" t="str">
            <v>Please select</v>
          </cell>
        </row>
      </sheetData>
      <sheetData sheetId="1064">
        <row r="2">
          <cell r="B2" t="str">
            <v>Please select</v>
          </cell>
        </row>
      </sheetData>
      <sheetData sheetId="1065">
        <row r="2">
          <cell r="B2" t="str">
            <v>Please select</v>
          </cell>
        </row>
      </sheetData>
      <sheetData sheetId="1066">
        <row r="2">
          <cell r="B2" t="str">
            <v>Please select</v>
          </cell>
        </row>
      </sheetData>
      <sheetData sheetId="1067">
        <row r="2">
          <cell r="B2" t="str">
            <v>Please select</v>
          </cell>
        </row>
      </sheetData>
      <sheetData sheetId="1068">
        <row r="2">
          <cell r="B2" t="str">
            <v>Please select</v>
          </cell>
        </row>
      </sheetData>
      <sheetData sheetId="1069">
        <row r="2">
          <cell r="B2" t="str">
            <v>Please select</v>
          </cell>
        </row>
      </sheetData>
      <sheetData sheetId="1070">
        <row r="2">
          <cell r="B2" t="str">
            <v>Please select</v>
          </cell>
        </row>
      </sheetData>
      <sheetData sheetId="1071">
        <row r="2">
          <cell r="B2" t="str">
            <v>Please select</v>
          </cell>
        </row>
      </sheetData>
      <sheetData sheetId="1072">
        <row r="2">
          <cell r="B2" t="str">
            <v>Please select</v>
          </cell>
        </row>
      </sheetData>
      <sheetData sheetId="1073">
        <row r="2">
          <cell r="B2" t="str">
            <v>Please select</v>
          </cell>
        </row>
      </sheetData>
      <sheetData sheetId="1074">
        <row r="2">
          <cell r="B2" t="str">
            <v>Please select</v>
          </cell>
        </row>
      </sheetData>
      <sheetData sheetId="1075">
        <row r="2">
          <cell r="B2" t="str">
            <v>Please select</v>
          </cell>
        </row>
      </sheetData>
      <sheetData sheetId="1076">
        <row r="2">
          <cell r="B2" t="str">
            <v>Please select</v>
          </cell>
        </row>
      </sheetData>
      <sheetData sheetId="1077">
        <row r="2">
          <cell r="B2" t="str">
            <v>Please select</v>
          </cell>
        </row>
      </sheetData>
      <sheetData sheetId="1078">
        <row r="2">
          <cell r="B2" t="str">
            <v>Please select</v>
          </cell>
        </row>
      </sheetData>
      <sheetData sheetId="1079">
        <row r="2">
          <cell r="B2" t="str">
            <v>Please select</v>
          </cell>
        </row>
      </sheetData>
      <sheetData sheetId="1080">
        <row r="2">
          <cell r="B2" t="str">
            <v>Please select</v>
          </cell>
        </row>
      </sheetData>
      <sheetData sheetId="1081">
        <row r="2">
          <cell r="B2" t="str">
            <v>Please select</v>
          </cell>
        </row>
      </sheetData>
      <sheetData sheetId="1082">
        <row r="2">
          <cell r="B2" t="str">
            <v>Please select</v>
          </cell>
        </row>
      </sheetData>
      <sheetData sheetId="1083">
        <row r="2">
          <cell r="B2" t="str">
            <v>Please select</v>
          </cell>
        </row>
      </sheetData>
      <sheetData sheetId="1084">
        <row r="2">
          <cell r="B2" t="str">
            <v>Please select</v>
          </cell>
        </row>
      </sheetData>
      <sheetData sheetId="1085">
        <row r="2">
          <cell r="B2" t="str">
            <v>Please select</v>
          </cell>
        </row>
      </sheetData>
      <sheetData sheetId="1086">
        <row r="2">
          <cell r="B2" t="str">
            <v>Please select</v>
          </cell>
        </row>
      </sheetData>
      <sheetData sheetId="1087">
        <row r="2">
          <cell r="B2" t="str">
            <v>Please select</v>
          </cell>
        </row>
      </sheetData>
      <sheetData sheetId="1088">
        <row r="2">
          <cell r="B2" t="str">
            <v>Please select</v>
          </cell>
        </row>
      </sheetData>
      <sheetData sheetId="1089">
        <row r="2">
          <cell r="B2" t="str">
            <v>Please select</v>
          </cell>
        </row>
      </sheetData>
      <sheetData sheetId="1090">
        <row r="2">
          <cell r="B2" t="str">
            <v>Please select</v>
          </cell>
        </row>
      </sheetData>
      <sheetData sheetId="1091">
        <row r="2">
          <cell r="B2" t="str">
            <v>Please select</v>
          </cell>
        </row>
      </sheetData>
      <sheetData sheetId="1092">
        <row r="2">
          <cell r="B2" t="str">
            <v>Please select</v>
          </cell>
        </row>
      </sheetData>
      <sheetData sheetId="1093">
        <row r="2">
          <cell r="B2" t="str">
            <v>Please select</v>
          </cell>
        </row>
      </sheetData>
      <sheetData sheetId="1094">
        <row r="2">
          <cell r="B2" t="str">
            <v>Please select</v>
          </cell>
        </row>
      </sheetData>
      <sheetData sheetId="1095">
        <row r="2">
          <cell r="B2" t="str">
            <v>Please select</v>
          </cell>
        </row>
      </sheetData>
      <sheetData sheetId="1096">
        <row r="2">
          <cell r="B2" t="str">
            <v>Please select</v>
          </cell>
        </row>
      </sheetData>
      <sheetData sheetId="1097">
        <row r="2">
          <cell r="B2" t="str">
            <v>Please select</v>
          </cell>
        </row>
      </sheetData>
      <sheetData sheetId="1098">
        <row r="2">
          <cell r="B2" t="str">
            <v>Please select</v>
          </cell>
        </row>
      </sheetData>
      <sheetData sheetId="1099">
        <row r="2">
          <cell r="B2" t="str">
            <v>Please select</v>
          </cell>
        </row>
      </sheetData>
      <sheetData sheetId="1100">
        <row r="2">
          <cell r="B2" t="str">
            <v>Please select</v>
          </cell>
        </row>
      </sheetData>
      <sheetData sheetId="1101">
        <row r="2">
          <cell r="B2" t="str">
            <v>Please select</v>
          </cell>
        </row>
      </sheetData>
      <sheetData sheetId="1102">
        <row r="2">
          <cell r="B2" t="str">
            <v>Please select</v>
          </cell>
        </row>
      </sheetData>
      <sheetData sheetId="1103">
        <row r="2">
          <cell r="B2" t="str">
            <v>Please select</v>
          </cell>
        </row>
      </sheetData>
      <sheetData sheetId="1104">
        <row r="2">
          <cell r="B2" t="str">
            <v>Please select</v>
          </cell>
        </row>
      </sheetData>
      <sheetData sheetId="1105">
        <row r="2">
          <cell r="B2" t="str">
            <v>Please select</v>
          </cell>
        </row>
      </sheetData>
      <sheetData sheetId="1106">
        <row r="2">
          <cell r="B2" t="str">
            <v>Please select</v>
          </cell>
        </row>
      </sheetData>
      <sheetData sheetId="1107">
        <row r="2">
          <cell r="B2" t="str">
            <v>Please select</v>
          </cell>
        </row>
      </sheetData>
      <sheetData sheetId="1108">
        <row r="2">
          <cell r="B2" t="str">
            <v>Please select</v>
          </cell>
        </row>
      </sheetData>
      <sheetData sheetId="1109">
        <row r="2">
          <cell r="B2" t="str">
            <v>Please select</v>
          </cell>
        </row>
      </sheetData>
      <sheetData sheetId="1110">
        <row r="2">
          <cell r="B2" t="str">
            <v>Please select</v>
          </cell>
        </row>
      </sheetData>
      <sheetData sheetId="1111">
        <row r="2">
          <cell r="B2" t="str">
            <v>Please select</v>
          </cell>
        </row>
      </sheetData>
      <sheetData sheetId="1112">
        <row r="2">
          <cell r="B2" t="str">
            <v>Please select</v>
          </cell>
        </row>
      </sheetData>
      <sheetData sheetId="1113">
        <row r="2">
          <cell r="B2" t="str">
            <v>Please select</v>
          </cell>
        </row>
      </sheetData>
      <sheetData sheetId="1114">
        <row r="2">
          <cell r="B2" t="str">
            <v>Please select</v>
          </cell>
        </row>
      </sheetData>
      <sheetData sheetId="1115">
        <row r="2">
          <cell r="B2" t="str">
            <v>Please select</v>
          </cell>
        </row>
      </sheetData>
      <sheetData sheetId="1116">
        <row r="2">
          <cell r="B2" t="str">
            <v>Please select</v>
          </cell>
        </row>
      </sheetData>
      <sheetData sheetId="1117">
        <row r="2">
          <cell r="B2" t="str">
            <v>Please select</v>
          </cell>
        </row>
      </sheetData>
      <sheetData sheetId="1118">
        <row r="2">
          <cell r="B2" t="str">
            <v>Please select</v>
          </cell>
        </row>
      </sheetData>
      <sheetData sheetId="1119">
        <row r="2">
          <cell r="B2" t="str">
            <v>Please select</v>
          </cell>
        </row>
      </sheetData>
      <sheetData sheetId="1120">
        <row r="2">
          <cell r="B2" t="str">
            <v>Please select</v>
          </cell>
        </row>
      </sheetData>
      <sheetData sheetId="1121">
        <row r="2">
          <cell r="B2" t="str">
            <v>Please select</v>
          </cell>
        </row>
      </sheetData>
      <sheetData sheetId="1122">
        <row r="2">
          <cell r="B2" t="str">
            <v>Please select</v>
          </cell>
        </row>
      </sheetData>
      <sheetData sheetId="1123">
        <row r="2">
          <cell r="B2" t="str">
            <v>Please select</v>
          </cell>
        </row>
      </sheetData>
      <sheetData sheetId="1124">
        <row r="2">
          <cell r="B2" t="str">
            <v>Please select</v>
          </cell>
        </row>
      </sheetData>
      <sheetData sheetId="1125">
        <row r="2">
          <cell r="B2" t="str">
            <v>Please select</v>
          </cell>
        </row>
      </sheetData>
      <sheetData sheetId="1126">
        <row r="2">
          <cell r="B2" t="str">
            <v>Please select</v>
          </cell>
        </row>
      </sheetData>
      <sheetData sheetId="1127">
        <row r="2">
          <cell r="B2" t="str">
            <v>Please select</v>
          </cell>
        </row>
      </sheetData>
      <sheetData sheetId="1128">
        <row r="2">
          <cell r="B2" t="str">
            <v>Please select</v>
          </cell>
        </row>
      </sheetData>
      <sheetData sheetId="1129">
        <row r="2">
          <cell r="B2" t="str">
            <v>Please select</v>
          </cell>
        </row>
      </sheetData>
      <sheetData sheetId="1130">
        <row r="2">
          <cell r="B2" t="str">
            <v>Please select</v>
          </cell>
        </row>
      </sheetData>
      <sheetData sheetId="1131">
        <row r="2">
          <cell r="B2" t="str">
            <v>Please select</v>
          </cell>
        </row>
      </sheetData>
      <sheetData sheetId="1132">
        <row r="2">
          <cell r="B2" t="str">
            <v>Please select</v>
          </cell>
        </row>
      </sheetData>
      <sheetData sheetId="1133">
        <row r="2">
          <cell r="B2" t="str">
            <v>Please select</v>
          </cell>
        </row>
      </sheetData>
      <sheetData sheetId="1134">
        <row r="2">
          <cell r="B2" t="str">
            <v>Please select</v>
          </cell>
        </row>
      </sheetData>
      <sheetData sheetId="1135">
        <row r="2">
          <cell r="B2" t="str">
            <v>Please select</v>
          </cell>
        </row>
      </sheetData>
      <sheetData sheetId="1136">
        <row r="2">
          <cell r="B2" t="str">
            <v>Please select</v>
          </cell>
        </row>
      </sheetData>
      <sheetData sheetId="1137">
        <row r="2">
          <cell r="B2" t="str">
            <v>Please select</v>
          </cell>
        </row>
      </sheetData>
      <sheetData sheetId="1138">
        <row r="2">
          <cell r="B2" t="str">
            <v>Please select</v>
          </cell>
        </row>
      </sheetData>
      <sheetData sheetId="1139">
        <row r="2">
          <cell r="B2" t="str">
            <v>Please select</v>
          </cell>
        </row>
      </sheetData>
      <sheetData sheetId="1140">
        <row r="2">
          <cell r="B2" t="str">
            <v>Please select</v>
          </cell>
        </row>
      </sheetData>
      <sheetData sheetId="1141">
        <row r="2">
          <cell r="B2" t="str">
            <v>Please select</v>
          </cell>
        </row>
      </sheetData>
      <sheetData sheetId="1142">
        <row r="2">
          <cell r="B2" t="str">
            <v>Please select</v>
          </cell>
        </row>
      </sheetData>
      <sheetData sheetId="1143">
        <row r="2">
          <cell r="B2" t="str">
            <v>Please select</v>
          </cell>
        </row>
      </sheetData>
      <sheetData sheetId="1144">
        <row r="2">
          <cell r="B2" t="str">
            <v>Please select</v>
          </cell>
        </row>
      </sheetData>
      <sheetData sheetId="1145">
        <row r="2">
          <cell r="B2" t="str">
            <v>Please select</v>
          </cell>
        </row>
      </sheetData>
      <sheetData sheetId="1146">
        <row r="2">
          <cell r="B2" t="str">
            <v>Please select</v>
          </cell>
        </row>
      </sheetData>
      <sheetData sheetId="1147">
        <row r="2">
          <cell r="B2" t="str">
            <v>Please select</v>
          </cell>
        </row>
      </sheetData>
      <sheetData sheetId="1148">
        <row r="2">
          <cell r="B2" t="str">
            <v>Please select</v>
          </cell>
        </row>
      </sheetData>
      <sheetData sheetId="1149">
        <row r="2">
          <cell r="B2" t="str">
            <v>Please select</v>
          </cell>
        </row>
      </sheetData>
      <sheetData sheetId="1150">
        <row r="2">
          <cell r="B2" t="str">
            <v>Please select</v>
          </cell>
        </row>
      </sheetData>
      <sheetData sheetId="1151">
        <row r="2">
          <cell r="B2" t="str">
            <v>Please select</v>
          </cell>
        </row>
      </sheetData>
      <sheetData sheetId="1152">
        <row r="2">
          <cell r="B2" t="str">
            <v>Please select</v>
          </cell>
        </row>
      </sheetData>
      <sheetData sheetId="1153">
        <row r="2">
          <cell r="B2" t="str">
            <v>Please select</v>
          </cell>
        </row>
      </sheetData>
      <sheetData sheetId="1154">
        <row r="2">
          <cell r="B2" t="str">
            <v>Please select</v>
          </cell>
        </row>
      </sheetData>
      <sheetData sheetId="1155">
        <row r="2">
          <cell r="B2" t="str">
            <v>Please select</v>
          </cell>
        </row>
      </sheetData>
      <sheetData sheetId="1156">
        <row r="2">
          <cell r="B2" t="str">
            <v>Please select</v>
          </cell>
        </row>
      </sheetData>
      <sheetData sheetId="1157">
        <row r="2">
          <cell r="B2" t="str">
            <v>Please select</v>
          </cell>
        </row>
      </sheetData>
      <sheetData sheetId="1158">
        <row r="2">
          <cell r="B2" t="str">
            <v>Please select</v>
          </cell>
        </row>
      </sheetData>
      <sheetData sheetId="1159">
        <row r="2">
          <cell r="B2" t="str">
            <v>Please select</v>
          </cell>
        </row>
      </sheetData>
      <sheetData sheetId="1160">
        <row r="2">
          <cell r="B2" t="str">
            <v>Please select</v>
          </cell>
        </row>
      </sheetData>
      <sheetData sheetId="1161">
        <row r="2">
          <cell r="B2" t="str">
            <v>Please select</v>
          </cell>
        </row>
      </sheetData>
      <sheetData sheetId="1162">
        <row r="2">
          <cell r="B2" t="str">
            <v>Please select</v>
          </cell>
        </row>
      </sheetData>
      <sheetData sheetId="1163">
        <row r="2">
          <cell r="B2" t="str">
            <v>Please select</v>
          </cell>
        </row>
      </sheetData>
      <sheetData sheetId="1164">
        <row r="2">
          <cell r="B2" t="str">
            <v>Please select</v>
          </cell>
        </row>
      </sheetData>
      <sheetData sheetId="1165">
        <row r="2">
          <cell r="B2" t="str">
            <v>Please select</v>
          </cell>
        </row>
      </sheetData>
      <sheetData sheetId="1166">
        <row r="2">
          <cell r="B2" t="str">
            <v>Please select</v>
          </cell>
        </row>
      </sheetData>
      <sheetData sheetId="1167">
        <row r="2">
          <cell r="B2" t="str">
            <v>Please select</v>
          </cell>
        </row>
      </sheetData>
      <sheetData sheetId="1168">
        <row r="2">
          <cell r="B2" t="str">
            <v>Please select</v>
          </cell>
        </row>
      </sheetData>
      <sheetData sheetId="1169">
        <row r="2">
          <cell r="B2" t="str">
            <v>Please select</v>
          </cell>
        </row>
      </sheetData>
      <sheetData sheetId="1170">
        <row r="2">
          <cell r="B2" t="str">
            <v>Please select</v>
          </cell>
        </row>
      </sheetData>
      <sheetData sheetId="1171">
        <row r="2">
          <cell r="B2" t="str">
            <v>Please select</v>
          </cell>
        </row>
      </sheetData>
      <sheetData sheetId="1172">
        <row r="2">
          <cell r="B2" t="str">
            <v>Please select</v>
          </cell>
        </row>
      </sheetData>
      <sheetData sheetId="1173">
        <row r="2">
          <cell r="B2" t="str">
            <v>Please select</v>
          </cell>
        </row>
      </sheetData>
      <sheetData sheetId="1174">
        <row r="2">
          <cell r="B2" t="str">
            <v>Please select</v>
          </cell>
        </row>
      </sheetData>
      <sheetData sheetId="1175">
        <row r="2">
          <cell r="B2" t="str">
            <v>Please select</v>
          </cell>
        </row>
      </sheetData>
      <sheetData sheetId="1176">
        <row r="2">
          <cell r="B2" t="str">
            <v>Please select</v>
          </cell>
        </row>
      </sheetData>
      <sheetData sheetId="1177">
        <row r="2">
          <cell r="B2" t="str">
            <v>Please select</v>
          </cell>
        </row>
      </sheetData>
      <sheetData sheetId="1178">
        <row r="2">
          <cell r="B2" t="str">
            <v>Please select</v>
          </cell>
        </row>
      </sheetData>
      <sheetData sheetId="1179">
        <row r="2">
          <cell r="B2" t="str">
            <v>Please select</v>
          </cell>
        </row>
      </sheetData>
      <sheetData sheetId="1180">
        <row r="2">
          <cell r="B2" t="str">
            <v>Please select</v>
          </cell>
        </row>
      </sheetData>
      <sheetData sheetId="1181">
        <row r="2">
          <cell r="B2" t="str">
            <v>Please select</v>
          </cell>
        </row>
      </sheetData>
      <sheetData sheetId="1182">
        <row r="2">
          <cell r="B2" t="str">
            <v>Please select</v>
          </cell>
        </row>
      </sheetData>
      <sheetData sheetId="1183">
        <row r="2">
          <cell r="B2" t="str">
            <v>Please select</v>
          </cell>
        </row>
      </sheetData>
      <sheetData sheetId="1184">
        <row r="2">
          <cell r="B2" t="str">
            <v>Please select</v>
          </cell>
        </row>
      </sheetData>
      <sheetData sheetId="1185">
        <row r="2">
          <cell r="B2" t="str">
            <v>Please select</v>
          </cell>
        </row>
      </sheetData>
      <sheetData sheetId="1186">
        <row r="2">
          <cell r="B2" t="str">
            <v>Please select</v>
          </cell>
        </row>
      </sheetData>
      <sheetData sheetId="1187">
        <row r="2">
          <cell r="B2" t="str">
            <v>Please select</v>
          </cell>
        </row>
      </sheetData>
      <sheetData sheetId="1188">
        <row r="2">
          <cell r="B2" t="str">
            <v>Please select</v>
          </cell>
        </row>
      </sheetData>
      <sheetData sheetId="1189">
        <row r="2">
          <cell r="B2" t="str">
            <v>Please select</v>
          </cell>
        </row>
      </sheetData>
      <sheetData sheetId="1190">
        <row r="2">
          <cell r="B2" t="str">
            <v>Please select</v>
          </cell>
        </row>
      </sheetData>
      <sheetData sheetId="1191">
        <row r="2">
          <cell r="B2" t="str">
            <v>Please select</v>
          </cell>
        </row>
      </sheetData>
      <sheetData sheetId="1192">
        <row r="2">
          <cell r="B2" t="str">
            <v>Please select</v>
          </cell>
        </row>
      </sheetData>
      <sheetData sheetId="1193">
        <row r="2">
          <cell r="B2" t="str">
            <v>Please select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>
        <row r="2">
          <cell r="B2" t="str">
            <v>Please select</v>
          </cell>
        </row>
      </sheetData>
      <sheetData sheetId="1199">
        <row r="2">
          <cell r="B2" t="str">
            <v>Please select</v>
          </cell>
        </row>
      </sheetData>
      <sheetData sheetId="1200">
        <row r="2">
          <cell r="B2" t="str">
            <v>Please select</v>
          </cell>
        </row>
      </sheetData>
      <sheetData sheetId="1201">
        <row r="2">
          <cell r="B2" t="str">
            <v>Please select</v>
          </cell>
        </row>
      </sheetData>
      <sheetData sheetId="1202">
        <row r="2">
          <cell r="B2" t="str">
            <v>Please select</v>
          </cell>
        </row>
      </sheetData>
      <sheetData sheetId="1203">
        <row r="2">
          <cell r="B2" t="str">
            <v>Please select</v>
          </cell>
        </row>
      </sheetData>
      <sheetData sheetId="1204">
        <row r="2">
          <cell r="B2" t="str">
            <v>Please select</v>
          </cell>
        </row>
      </sheetData>
      <sheetData sheetId="1205">
        <row r="2">
          <cell r="B2" t="str">
            <v>Please select</v>
          </cell>
        </row>
      </sheetData>
      <sheetData sheetId="1206">
        <row r="2">
          <cell r="B2" t="str">
            <v>Please select</v>
          </cell>
        </row>
      </sheetData>
      <sheetData sheetId="1207">
        <row r="2">
          <cell r="B2" t="str">
            <v>Please select</v>
          </cell>
        </row>
      </sheetData>
      <sheetData sheetId="1208">
        <row r="2">
          <cell r="B2" t="str">
            <v>Please select</v>
          </cell>
        </row>
      </sheetData>
      <sheetData sheetId="1209">
        <row r="2">
          <cell r="B2" t="str">
            <v>Please select</v>
          </cell>
        </row>
      </sheetData>
      <sheetData sheetId="1210">
        <row r="2">
          <cell r="B2" t="str">
            <v>Please select</v>
          </cell>
        </row>
      </sheetData>
      <sheetData sheetId="1211">
        <row r="2">
          <cell r="B2" t="str">
            <v>Please select</v>
          </cell>
        </row>
      </sheetData>
      <sheetData sheetId="1212">
        <row r="2">
          <cell r="B2" t="str">
            <v>Please select</v>
          </cell>
        </row>
      </sheetData>
      <sheetData sheetId="1213">
        <row r="2">
          <cell r="B2" t="str">
            <v>Please select</v>
          </cell>
        </row>
      </sheetData>
      <sheetData sheetId="1214">
        <row r="2">
          <cell r="B2" t="str">
            <v>Please select</v>
          </cell>
        </row>
      </sheetData>
      <sheetData sheetId="1215">
        <row r="2">
          <cell r="B2" t="str">
            <v>Please select</v>
          </cell>
        </row>
      </sheetData>
      <sheetData sheetId="1216">
        <row r="2">
          <cell r="B2" t="str">
            <v>Please select</v>
          </cell>
        </row>
      </sheetData>
      <sheetData sheetId="1217">
        <row r="2">
          <cell r="B2" t="str">
            <v>Please select</v>
          </cell>
        </row>
      </sheetData>
      <sheetData sheetId="1218">
        <row r="2">
          <cell r="B2" t="str">
            <v>Please select</v>
          </cell>
        </row>
      </sheetData>
      <sheetData sheetId="1219">
        <row r="2">
          <cell r="B2" t="str">
            <v>Please select</v>
          </cell>
        </row>
      </sheetData>
      <sheetData sheetId="1220">
        <row r="2">
          <cell r="B2" t="str">
            <v>Please select</v>
          </cell>
        </row>
      </sheetData>
      <sheetData sheetId="1221">
        <row r="2">
          <cell r="B2" t="str">
            <v>Please select</v>
          </cell>
        </row>
      </sheetData>
      <sheetData sheetId="1222">
        <row r="2">
          <cell r="B2" t="str">
            <v>Please select</v>
          </cell>
        </row>
      </sheetData>
      <sheetData sheetId="1223">
        <row r="2">
          <cell r="B2" t="str">
            <v>Please select</v>
          </cell>
        </row>
      </sheetData>
      <sheetData sheetId="1224">
        <row r="2">
          <cell r="B2" t="str">
            <v>Please select</v>
          </cell>
        </row>
      </sheetData>
      <sheetData sheetId="1225">
        <row r="2">
          <cell r="B2" t="str">
            <v>Please select</v>
          </cell>
        </row>
      </sheetData>
      <sheetData sheetId="1226">
        <row r="2">
          <cell r="B2" t="str">
            <v>Please select</v>
          </cell>
        </row>
      </sheetData>
      <sheetData sheetId="1227">
        <row r="2">
          <cell r="B2" t="str">
            <v>Please select</v>
          </cell>
        </row>
      </sheetData>
      <sheetData sheetId="1228">
        <row r="2">
          <cell r="B2" t="str">
            <v>Please select</v>
          </cell>
        </row>
      </sheetData>
      <sheetData sheetId="1229">
        <row r="2">
          <cell r="B2" t="str">
            <v>Please select</v>
          </cell>
        </row>
      </sheetData>
      <sheetData sheetId="1230">
        <row r="2">
          <cell r="B2" t="str">
            <v>Please select</v>
          </cell>
        </row>
      </sheetData>
      <sheetData sheetId="1231">
        <row r="2">
          <cell r="B2" t="str">
            <v>Please select</v>
          </cell>
        </row>
      </sheetData>
      <sheetData sheetId="1232">
        <row r="2">
          <cell r="B2" t="str">
            <v>Please select</v>
          </cell>
        </row>
      </sheetData>
      <sheetData sheetId="1233">
        <row r="2">
          <cell r="B2" t="str">
            <v>Please select</v>
          </cell>
        </row>
      </sheetData>
      <sheetData sheetId="1234">
        <row r="2">
          <cell r="B2" t="str">
            <v>Please select</v>
          </cell>
        </row>
      </sheetData>
      <sheetData sheetId="1235">
        <row r="2">
          <cell r="B2" t="str">
            <v>Please select</v>
          </cell>
        </row>
      </sheetData>
      <sheetData sheetId="1236">
        <row r="2">
          <cell r="B2" t="str">
            <v>Please select</v>
          </cell>
        </row>
      </sheetData>
      <sheetData sheetId="1237">
        <row r="2">
          <cell r="B2" t="str">
            <v>Please select</v>
          </cell>
        </row>
      </sheetData>
      <sheetData sheetId="1238">
        <row r="2">
          <cell r="B2" t="str">
            <v>Please select</v>
          </cell>
        </row>
      </sheetData>
      <sheetData sheetId="1239">
        <row r="2">
          <cell r="B2" t="str">
            <v>Please select</v>
          </cell>
        </row>
      </sheetData>
      <sheetData sheetId="1240">
        <row r="2">
          <cell r="B2" t="str">
            <v>Please select</v>
          </cell>
        </row>
      </sheetData>
      <sheetData sheetId="1241">
        <row r="2">
          <cell r="B2" t="str">
            <v>Please select</v>
          </cell>
        </row>
      </sheetData>
      <sheetData sheetId="1242">
        <row r="2">
          <cell r="B2" t="str">
            <v>Please select</v>
          </cell>
        </row>
      </sheetData>
      <sheetData sheetId="1243">
        <row r="2">
          <cell r="B2" t="str">
            <v>Please select</v>
          </cell>
        </row>
      </sheetData>
      <sheetData sheetId="1244">
        <row r="2">
          <cell r="B2" t="str">
            <v>Please select</v>
          </cell>
        </row>
      </sheetData>
      <sheetData sheetId="1245">
        <row r="2">
          <cell r="B2" t="str">
            <v>Please select</v>
          </cell>
        </row>
      </sheetData>
      <sheetData sheetId="1246">
        <row r="2">
          <cell r="B2" t="str">
            <v>Please select</v>
          </cell>
        </row>
      </sheetData>
      <sheetData sheetId="1247">
        <row r="2">
          <cell r="B2" t="str">
            <v>Please select</v>
          </cell>
        </row>
      </sheetData>
      <sheetData sheetId="1248" refreshError="1"/>
      <sheetData sheetId="1249" refreshError="1"/>
      <sheetData sheetId="1250" refreshError="1"/>
      <sheetData sheetId="1251">
        <row r="2">
          <cell r="B2" t="str">
            <v>Please select</v>
          </cell>
        </row>
      </sheetData>
      <sheetData sheetId="1252" refreshError="1"/>
      <sheetData sheetId="1253" refreshError="1"/>
      <sheetData sheetId="1254" refreshError="1"/>
      <sheetData sheetId="1255">
        <row r="2">
          <cell r="B2" t="str">
            <v>Please select</v>
          </cell>
        </row>
      </sheetData>
      <sheetData sheetId="1256">
        <row r="2">
          <cell r="B2" t="str">
            <v>Please select</v>
          </cell>
        </row>
      </sheetData>
      <sheetData sheetId="1257"/>
      <sheetData sheetId="1258">
        <row r="2">
          <cell r="B2" t="str">
            <v>Please select</v>
          </cell>
        </row>
      </sheetData>
      <sheetData sheetId="1259" refreshError="1"/>
      <sheetData sheetId="1260" refreshError="1"/>
      <sheetData sheetId="1261" refreshError="1"/>
      <sheetData sheetId="1262">
        <row r="2">
          <cell r="B2" t="str">
            <v>Please select</v>
          </cell>
        </row>
      </sheetData>
      <sheetData sheetId="1263">
        <row r="2">
          <cell r="B2" t="str">
            <v>Please select</v>
          </cell>
        </row>
      </sheetData>
      <sheetData sheetId="1264">
        <row r="2">
          <cell r="B2" t="str">
            <v>Please select</v>
          </cell>
        </row>
      </sheetData>
      <sheetData sheetId="1265">
        <row r="2">
          <cell r="B2" t="str">
            <v>Please select</v>
          </cell>
        </row>
      </sheetData>
      <sheetData sheetId="1266">
        <row r="2">
          <cell r="B2" t="str">
            <v>Please select</v>
          </cell>
        </row>
      </sheetData>
      <sheetData sheetId="1267">
        <row r="2">
          <cell r="B2" t="str">
            <v>Please select</v>
          </cell>
        </row>
      </sheetData>
      <sheetData sheetId="1268">
        <row r="2">
          <cell r="B2" t="str">
            <v>Please select</v>
          </cell>
        </row>
      </sheetData>
      <sheetData sheetId="1269">
        <row r="2">
          <cell r="B2" t="str">
            <v>Please select</v>
          </cell>
        </row>
      </sheetData>
      <sheetData sheetId="1270">
        <row r="2">
          <cell r="B2" t="str">
            <v>Please select</v>
          </cell>
        </row>
      </sheetData>
      <sheetData sheetId="1271">
        <row r="2">
          <cell r="B2" t="str">
            <v>Please select</v>
          </cell>
        </row>
      </sheetData>
      <sheetData sheetId="1272">
        <row r="2">
          <cell r="B2" t="str">
            <v>Please select</v>
          </cell>
        </row>
      </sheetData>
      <sheetData sheetId="1273">
        <row r="2">
          <cell r="B2" t="str">
            <v>Please select</v>
          </cell>
        </row>
      </sheetData>
      <sheetData sheetId="1274">
        <row r="2">
          <cell r="B2" t="str">
            <v>Please select</v>
          </cell>
        </row>
      </sheetData>
      <sheetData sheetId="1275">
        <row r="2">
          <cell r="B2" t="str">
            <v>Please select</v>
          </cell>
        </row>
      </sheetData>
      <sheetData sheetId="1276">
        <row r="2">
          <cell r="B2" t="str">
            <v>Please select</v>
          </cell>
        </row>
      </sheetData>
      <sheetData sheetId="1277">
        <row r="2">
          <cell r="B2" t="str">
            <v>Please select</v>
          </cell>
        </row>
      </sheetData>
      <sheetData sheetId="1278">
        <row r="2">
          <cell r="B2" t="str">
            <v>Please select</v>
          </cell>
        </row>
      </sheetData>
      <sheetData sheetId="1279">
        <row r="2">
          <cell r="B2" t="str">
            <v>Please select</v>
          </cell>
        </row>
      </sheetData>
      <sheetData sheetId="1280">
        <row r="2">
          <cell r="B2" t="str">
            <v>Please select</v>
          </cell>
        </row>
      </sheetData>
      <sheetData sheetId="1281">
        <row r="2">
          <cell r="B2" t="str">
            <v>Please select</v>
          </cell>
        </row>
      </sheetData>
      <sheetData sheetId="1282">
        <row r="2">
          <cell r="C2">
            <v>0</v>
          </cell>
        </row>
      </sheetData>
      <sheetData sheetId="1283">
        <row r="2">
          <cell r="C2">
            <v>0</v>
          </cell>
        </row>
      </sheetData>
      <sheetData sheetId="1284">
        <row r="2">
          <cell r="C2">
            <v>0</v>
          </cell>
        </row>
      </sheetData>
      <sheetData sheetId="1285">
        <row r="2">
          <cell r="C2">
            <v>0</v>
          </cell>
        </row>
      </sheetData>
      <sheetData sheetId="1286">
        <row r="2">
          <cell r="C2">
            <v>0</v>
          </cell>
        </row>
      </sheetData>
      <sheetData sheetId="1287">
        <row r="2">
          <cell r="C2">
            <v>0</v>
          </cell>
        </row>
      </sheetData>
      <sheetData sheetId="1288">
        <row r="2">
          <cell r="C2">
            <v>0</v>
          </cell>
        </row>
      </sheetData>
      <sheetData sheetId="1289">
        <row r="2">
          <cell r="C2">
            <v>0</v>
          </cell>
        </row>
      </sheetData>
      <sheetData sheetId="1290">
        <row r="2">
          <cell r="C2">
            <v>0</v>
          </cell>
        </row>
      </sheetData>
      <sheetData sheetId="1291">
        <row r="2">
          <cell r="C2">
            <v>0</v>
          </cell>
        </row>
      </sheetData>
      <sheetData sheetId="1292">
        <row r="2">
          <cell r="C2">
            <v>0</v>
          </cell>
        </row>
      </sheetData>
      <sheetData sheetId="1293">
        <row r="2">
          <cell r="C2">
            <v>0</v>
          </cell>
        </row>
      </sheetData>
      <sheetData sheetId="1294">
        <row r="2">
          <cell r="C2">
            <v>0</v>
          </cell>
        </row>
      </sheetData>
      <sheetData sheetId="1295">
        <row r="2">
          <cell r="C2">
            <v>0</v>
          </cell>
        </row>
      </sheetData>
      <sheetData sheetId="1296">
        <row r="2">
          <cell r="C2">
            <v>0</v>
          </cell>
        </row>
      </sheetData>
      <sheetData sheetId="1297">
        <row r="2">
          <cell r="B2" t="str">
            <v>Please select</v>
          </cell>
        </row>
      </sheetData>
      <sheetData sheetId="1298">
        <row r="2">
          <cell r="B2" t="str">
            <v>Please select</v>
          </cell>
        </row>
      </sheetData>
      <sheetData sheetId="1299">
        <row r="2">
          <cell r="B2" t="str">
            <v>Please select</v>
          </cell>
        </row>
      </sheetData>
      <sheetData sheetId="1300">
        <row r="2">
          <cell r="B2" t="str">
            <v>Please select</v>
          </cell>
        </row>
      </sheetData>
      <sheetData sheetId="1301">
        <row r="2">
          <cell r="B2" t="str">
            <v>Please select</v>
          </cell>
        </row>
      </sheetData>
      <sheetData sheetId="1302">
        <row r="2">
          <cell r="B2" t="str">
            <v>Please select</v>
          </cell>
        </row>
      </sheetData>
      <sheetData sheetId="1303">
        <row r="2">
          <cell r="B2" t="str">
            <v>Please select</v>
          </cell>
        </row>
      </sheetData>
      <sheetData sheetId="1304">
        <row r="2">
          <cell r="B2" t="str">
            <v>Please select</v>
          </cell>
        </row>
      </sheetData>
      <sheetData sheetId="1305">
        <row r="2">
          <cell r="B2" t="str">
            <v>Please select</v>
          </cell>
        </row>
      </sheetData>
      <sheetData sheetId="1306">
        <row r="2">
          <cell r="B2" t="str">
            <v>Please select</v>
          </cell>
        </row>
      </sheetData>
      <sheetData sheetId="1307">
        <row r="2">
          <cell r="B2" t="str">
            <v>Please select</v>
          </cell>
        </row>
      </sheetData>
      <sheetData sheetId="1308">
        <row r="2">
          <cell r="B2" t="str">
            <v>Please select</v>
          </cell>
        </row>
      </sheetData>
      <sheetData sheetId="1309">
        <row r="2">
          <cell r="B2" t="str">
            <v>Please select</v>
          </cell>
        </row>
      </sheetData>
      <sheetData sheetId="1310">
        <row r="2">
          <cell r="C2">
            <v>0</v>
          </cell>
        </row>
      </sheetData>
      <sheetData sheetId="1311">
        <row r="2">
          <cell r="B2" t="str">
            <v>Please select</v>
          </cell>
        </row>
      </sheetData>
      <sheetData sheetId="1312">
        <row r="2">
          <cell r="B2" t="str">
            <v>Please select</v>
          </cell>
        </row>
      </sheetData>
      <sheetData sheetId="1313">
        <row r="2">
          <cell r="B2" t="str">
            <v>Please select</v>
          </cell>
        </row>
      </sheetData>
      <sheetData sheetId="1314">
        <row r="2">
          <cell r="B2" t="str">
            <v>Please select</v>
          </cell>
        </row>
      </sheetData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2">
          <cell r="B2" t="str">
            <v>Please select</v>
          </cell>
        </row>
      </sheetData>
      <sheetData sheetId="1329">
        <row r="2">
          <cell r="B2" t="str">
            <v>Please select</v>
          </cell>
        </row>
      </sheetData>
      <sheetData sheetId="1330">
        <row r="2">
          <cell r="B2" t="str">
            <v>Please select</v>
          </cell>
        </row>
      </sheetData>
      <sheetData sheetId="1331">
        <row r="2">
          <cell r="B2" t="str">
            <v>Please select</v>
          </cell>
        </row>
      </sheetData>
      <sheetData sheetId="1332">
        <row r="2">
          <cell r="B2" t="str">
            <v>Please select</v>
          </cell>
        </row>
      </sheetData>
      <sheetData sheetId="1333">
        <row r="2">
          <cell r="B2" t="str">
            <v>Please select</v>
          </cell>
        </row>
      </sheetData>
      <sheetData sheetId="1334">
        <row r="2">
          <cell r="B2" t="str">
            <v>Please select</v>
          </cell>
        </row>
      </sheetData>
      <sheetData sheetId="1335">
        <row r="2">
          <cell r="B2" t="str">
            <v>Please select</v>
          </cell>
        </row>
      </sheetData>
      <sheetData sheetId="1336">
        <row r="2">
          <cell r="B2" t="str">
            <v>Please select</v>
          </cell>
        </row>
      </sheetData>
      <sheetData sheetId="1337">
        <row r="2">
          <cell r="B2" t="str">
            <v>Please select</v>
          </cell>
        </row>
      </sheetData>
      <sheetData sheetId="1338">
        <row r="2">
          <cell r="B2" t="str">
            <v>Please select</v>
          </cell>
        </row>
      </sheetData>
      <sheetData sheetId="1339">
        <row r="2">
          <cell r="B2" t="str">
            <v>Please select</v>
          </cell>
        </row>
      </sheetData>
      <sheetData sheetId="1340">
        <row r="2">
          <cell r="B2" t="str">
            <v>Please select</v>
          </cell>
        </row>
      </sheetData>
      <sheetData sheetId="1341">
        <row r="2">
          <cell r="B2" t="str">
            <v>Please select</v>
          </cell>
        </row>
      </sheetData>
      <sheetData sheetId="1342">
        <row r="2">
          <cell r="B2" t="str">
            <v>Please select</v>
          </cell>
        </row>
      </sheetData>
      <sheetData sheetId="1343">
        <row r="2">
          <cell r="B2" t="str">
            <v>Please select</v>
          </cell>
        </row>
      </sheetData>
      <sheetData sheetId="1344">
        <row r="2">
          <cell r="B2" t="str">
            <v>Please select</v>
          </cell>
        </row>
      </sheetData>
      <sheetData sheetId="1345">
        <row r="2">
          <cell r="B2" t="str">
            <v>Please select</v>
          </cell>
        </row>
      </sheetData>
      <sheetData sheetId="1346">
        <row r="2">
          <cell r="B2" t="str">
            <v>Please select</v>
          </cell>
        </row>
      </sheetData>
      <sheetData sheetId="1347">
        <row r="2">
          <cell r="B2" t="str">
            <v>Please select</v>
          </cell>
        </row>
      </sheetData>
      <sheetData sheetId="1348">
        <row r="2">
          <cell r="B2" t="str">
            <v>Please select</v>
          </cell>
        </row>
      </sheetData>
      <sheetData sheetId="1349">
        <row r="2">
          <cell r="B2" t="str">
            <v>Please select</v>
          </cell>
        </row>
      </sheetData>
      <sheetData sheetId="1350">
        <row r="2">
          <cell r="B2" t="str">
            <v>Please select</v>
          </cell>
        </row>
      </sheetData>
      <sheetData sheetId="1351">
        <row r="2">
          <cell r="C2">
            <v>0</v>
          </cell>
        </row>
      </sheetData>
      <sheetData sheetId="1352">
        <row r="2">
          <cell r="C2">
            <v>0</v>
          </cell>
        </row>
      </sheetData>
      <sheetData sheetId="1353">
        <row r="2">
          <cell r="C2">
            <v>0</v>
          </cell>
        </row>
      </sheetData>
      <sheetData sheetId="1354">
        <row r="2">
          <cell r="C2">
            <v>0</v>
          </cell>
        </row>
      </sheetData>
      <sheetData sheetId="1355">
        <row r="2">
          <cell r="C2">
            <v>0</v>
          </cell>
        </row>
      </sheetData>
      <sheetData sheetId="1356">
        <row r="2">
          <cell r="C2">
            <v>0</v>
          </cell>
        </row>
      </sheetData>
      <sheetData sheetId="1357">
        <row r="2">
          <cell r="C2">
            <v>0</v>
          </cell>
        </row>
      </sheetData>
      <sheetData sheetId="1358">
        <row r="2">
          <cell r="C2">
            <v>0</v>
          </cell>
        </row>
      </sheetData>
      <sheetData sheetId="1359">
        <row r="2">
          <cell r="C2">
            <v>0</v>
          </cell>
        </row>
      </sheetData>
      <sheetData sheetId="1360">
        <row r="2">
          <cell r="C2">
            <v>0</v>
          </cell>
        </row>
      </sheetData>
      <sheetData sheetId="1361">
        <row r="2">
          <cell r="C2">
            <v>0</v>
          </cell>
        </row>
      </sheetData>
      <sheetData sheetId="1362">
        <row r="2">
          <cell r="C2">
            <v>0</v>
          </cell>
        </row>
      </sheetData>
      <sheetData sheetId="1363">
        <row r="2">
          <cell r="C2">
            <v>0</v>
          </cell>
        </row>
      </sheetData>
      <sheetData sheetId="1364">
        <row r="2">
          <cell r="C2">
            <v>0</v>
          </cell>
        </row>
      </sheetData>
      <sheetData sheetId="1365">
        <row r="2">
          <cell r="C2">
            <v>0</v>
          </cell>
        </row>
      </sheetData>
      <sheetData sheetId="1366">
        <row r="2">
          <cell r="C2">
            <v>0</v>
          </cell>
        </row>
      </sheetData>
      <sheetData sheetId="1367">
        <row r="2">
          <cell r="C2">
            <v>0</v>
          </cell>
        </row>
      </sheetData>
      <sheetData sheetId="1368">
        <row r="2">
          <cell r="C2">
            <v>0</v>
          </cell>
        </row>
      </sheetData>
      <sheetData sheetId="1369">
        <row r="2">
          <cell r="C2">
            <v>0</v>
          </cell>
        </row>
      </sheetData>
      <sheetData sheetId="1370">
        <row r="2">
          <cell r="C2">
            <v>0</v>
          </cell>
        </row>
      </sheetData>
      <sheetData sheetId="1371">
        <row r="2">
          <cell r="C2">
            <v>0</v>
          </cell>
        </row>
      </sheetData>
      <sheetData sheetId="1372">
        <row r="2">
          <cell r="C2">
            <v>0</v>
          </cell>
        </row>
      </sheetData>
      <sheetData sheetId="1373">
        <row r="2">
          <cell r="C2">
            <v>0</v>
          </cell>
        </row>
      </sheetData>
      <sheetData sheetId="1374">
        <row r="2">
          <cell r="C2">
            <v>0</v>
          </cell>
        </row>
      </sheetData>
      <sheetData sheetId="1375">
        <row r="2">
          <cell r="C2">
            <v>0</v>
          </cell>
        </row>
      </sheetData>
      <sheetData sheetId="1376">
        <row r="2">
          <cell r="C2">
            <v>0</v>
          </cell>
        </row>
      </sheetData>
      <sheetData sheetId="1377">
        <row r="2">
          <cell r="B2" t="str">
            <v>Please select</v>
          </cell>
        </row>
      </sheetData>
      <sheetData sheetId="1378">
        <row r="2">
          <cell r="B2" t="str">
            <v>Please select</v>
          </cell>
        </row>
      </sheetData>
      <sheetData sheetId="1379">
        <row r="2">
          <cell r="B2" t="str">
            <v>Please select</v>
          </cell>
        </row>
      </sheetData>
      <sheetData sheetId="1380">
        <row r="2">
          <cell r="B2" t="str">
            <v>Please select</v>
          </cell>
        </row>
      </sheetData>
      <sheetData sheetId="1381">
        <row r="2">
          <cell r="B2" t="str">
            <v>Please select</v>
          </cell>
        </row>
      </sheetData>
      <sheetData sheetId="1382">
        <row r="2">
          <cell r="B2" t="str">
            <v>Please select</v>
          </cell>
        </row>
      </sheetData>
      <sheetData sheetId="1383">
        <row r="2">
          <cell r="B2" t="str">
            <v>Please select</v>
          </cell>
        </row>
      </sheetData>
      <sheetData sheetId="1384">
        <row r="2">
          <cell r="B2" t="str">
            <v>Please select</v>
          </cell>
        </row>
      </sheetData>
      <sheetData sheetId="1385">
        <row r="2">
          <cell r="B2" t="str">
            <v>Please select</v>
          </cell>
        </row>
      </sheetData>
      <sheetData sheetId="1386">
        <row r="2">
          <cell r="B2" t="str">
            <v>Please select</v>
          </cell>
        </row>
      </sheetData>
      <sheetData sheetId="1387">
        <row r="2">
          <cell r="B2" t="str">
            <v>Please select</v>
          </cell>
        </row>
      </sheetData>
      <sheetData sheetId="1388">
        <row r="2">
          <cell r="B2" t="str">
            <v>Please select</v>
          </cell>
        </row>
      </sheetData>
      <sheetData sheetId="1389">
        <row r="2">
          <cell r="B2" t="str">
            <v>Please select</v>
          </cell>
        </row>
      </sheetData>
      <sheetData sheetId="1390">
        <row r="2">
          <cell r="B2" t="str">
            <v>Please select</v>
          </cell>
        </row>
      </sheetData>
      <sheetData sheetId="1391">
        <row r="2">
          <cell r="B2" t="str">
            <v>Please select</v>
          </cell>
        </row>
      </sheetData>
      <sheetData sheetId="1392">
        <row r="2">
          <cell r="B2" t="str">
            <v>Please select</v>
          </cell>
        </row>
      </sheetData>
      <sheetData sheetId="1393">
        <row r="2">
          <cell r="B2" t="str">
            <v>Please select</v>
          </cell>
        </row>
      </sheetData>
      <sheetData sheetId="1394">
        <row r="2">
          <cell r="B2" t="str">
            <v>Please select</v>
          </cell>
        </row>
      </sheetData>
      <sheetData sheetId="1395">
        <row r="2">
          <cell r="B2" t="str">
            <v>Please select</v>
          </cell>
        </row>
      </sheetData>
      <sheetData sheetId="1396">
        <row r="2">
          <cell r="B2" t="str">
            <v>Please select</v>
          </cell>
        </row>
      </sheetData>
      <sheetData sheetId="1397">
        <row r="2">
          <cell r="B2" t="str">
            <v>Please select</v>
          </cell>
        </row>
      </sheetData>
      <sheetData sheetId="1398">
        <row r="2">
          <cell r="B2" t="str">
            <v>Please select</v>
          </cell>
        </row>
      </sheetData>
      <sheetData sheetId="1399">
        <row r="2">
          <cell r="B2" t="str">
            <v>Please select</v>
          </cell>
        </row>
      </sheetData>
      <sheetData sheetId="1400">
        <row r="2">
          <cell r="B2" t="str">
            <v>Please select</v>
          </cell>
        </row>
      </sheetData>
      <sheetData sheetId="1401">
        <row r="2">
          <cell r="B2" t="str">
            <v>Please select</v>
          </cell>
        </row>
      </sheetData>
      <sheetData sheetId="1402">
        <row r="2">
          <cell r="B2" t="str">
            <v>Please select</v>
          </cell>
        </row>
      </sheetData>
      <sheetData sheetId="1403">
        <row r="2">
          <cell r="B2" t="str">
            <v>Please select</v>
          </cell>
        </row>
      </sheetData>
      <sheetData sheetId="1404">
        <row r="2">
          <cell r="B2" t="str">
            <v>Please select</v>
          </cell>
        </row>
      </sheetData>
      <sheetData sheetId="1405">
        <row r="2">
          <cell r="C2">
            <v>0</v>
          </cell>
        </row>
      </sheetData>
      <sheetData sheetId="1406">
        <row r="2">
          <cell r="C2">
            <v>0</v>
          </cell>
        </row>
      </sheetData>
      <sheetData sheetId="1407">
        <row r="2">
          <cell r="C2">
            <v>0</v>
          </cell>
        </row>
      </sheetData>
      <sheetData sheetId="1408">
        <row r="2">
          <cell r="C2">
            <v>0</v>
          </cell>
        </row>
      </sheetData>
      <sheetData sheetId="1409">
        <row r="2">
          <cell r="C2">
            <v>0</v>
          </cell>
        </row>
      </sheetData>
      <sheetData sheetId="1410">
        <row r="2">
          <cell r="C2">
            <v>0</v>
          </cell>
        </row>
      </sheetData>
      <sheetData sheetId="1411">
        <row r="2">
          <cell r="C2">
            <v>0</v>
          </cell>
        </row>
      </sheetData>
      <sheetData sheetId="1412">
        <row r="2">
          <cell r="C2">
            <v>0</v>
          </cell>
        </row>
      </sheetData>
      <sheetData sheetId="1413">
        <row r="2">
          <cell r="C2">
            <v>0</v>
          </cell>
        </row>
      </sheetData>
      <sheetData sheetId="1414">
        <row r="2">
          <cell r="C2">
            <v>0</v>
          </cell>
        </row>
      </sheetData>
      <sheetData sheetId="1415">
        <row r="2">
          <cell r="C2">
            <v>0</v>
          </cell>
        </row>
      </sheetData>
      <sheetData sheetId="1416">
        <row r="2">
          <cell r="C2">
            <v>0</v>
          </cell>
        </row>
      </sheetData>
      <sheetData sheetId="1417">
        <row r="2">
          <cell r="C2">
            <v>0</v>
          </cell>
        </row>
      </sheetData>
      <sheetData sheetId="1418">
        <row r="2">
          <cell r="C2">
            <v>0</v>
          </cell>
        </row>
      </sheetData>
      <sheetData sheetId="1419">
        <row r="2">
          <cell r="C2">
            <v>0</v>
          </cell>
        </row>
      </sheetData>
      <sheetData sheetId="1420">
        <row r="2">
          <cell r="C2">
            <v>0</v>
          </cell>
        </row>
      </sheetData>
      <sheetData sheetId="1421">
        <row r="2">
          <cell r="C2">
            <v>0</v>
          </cell>
        </row>
      </sheetData>
      <sheetData sheetId="1422">
        <row r="2">
          <cell r="C2">
            <v>0</v>
          </cell>
        </row>
      </sheetData>
      <sheetData sheetId="1423">
        <row r="2">
          <cell r="C2">
            <v>0</v>
          </cell>
        </row>
      </sheetData>
      <sheetData sheetId="1424">
        <row r="2">
          <cell r="C2">
            <v>0</v>
          </cell>
        </row>
      </sheetData>
      <sheetData sheetId="1425">
        <row r="2">
          <cell r="C2">
            <v>0</v>
          </cell>
        </row>
      </sheetData>
      <sheetData sheetId="1426">
        <row r="2">
          <cell r="C2">
            <v>0</v>
          </cell>
        </row>
      </sheetData>
      <sheetData sheetId="1427">
        <row r="2">
          <cell r="C2">
            <v>0</v>
          </cell>
        </row>
      </sheetData>
      <sheetData sheetId="1428">
        <row r="2">
          <cell r="C2">
            <v>0</v>
          </cell>
        </row>
      </sheetData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ing Transfer"/>
      <sheetName val="Transfer"/>
      <sheetName val="Sheet1"/>
      <sheetName val="Sheet2"/>
      <sheetName val="Sheet3"/>
      <sheetName val="index"/>
      <sheetName val="Monitor list Case of Dept."/>
      <sheetName val="Dropdown Box"/>
      <sheetName val="Tooling_Transfer"/>
      <sheetName val="Tooling_Transfer1"/>
      <sheetName val="Tooling_Transfer2"/>
      <sheetName val="Monitor_list_Case_of_Dept_"/>
      <sheetName val="Dropdown_Box"/>
      <sheetName val="Tooling_Transfer3"/>
      <sheetName val="Monitor_list_Case_of_Dept_1"/>
      <sheetName val="Dropdown_Box1"/>
      <sheetName val="LBP DAROGA 2 INF"/>
      <sheetName val="Transfer Request"/>
      <sheetName val="Tooling_Transfer4"/>
      <sheetName val="Tooling_Transfer5"/>
      <sheetName val="Tooling_Transfer6"/>
      <sheetName val="Monitor_list_Case_of_Dept_2"/>
      <sheetName val="Tooling_Transfer7"/>
      <sheetName val="Monitor_list_Case_of_Dept_3"/>
      <sheetName val="tranfer to HSD"/>
      <sheetName val="REKAP SALES JAN"/>
      <sheetName val="REKAP SALES FEB"/>
      <sheetName val="REKAP SALES MAR"/>
      <sheetName val="REKAP SALES APR"/>
      <sheetName val="REKAP SALES MEI"/>
      <sheetName val="REKAP SALES JUNI"/>
      <sheetName val="REKAP SALES JULI"/>
      <sheetName val="Drop down"/>
      <sheetName val="Each Dep.t"/>
      <sheetName val="Tooling_Transfer12"/>
      <sheetName val="Monitor_list_Case_of_Dept_8"/>
      <sheetName val="Dropdown_Box6"/>
      <sheetName val="LBP_DAROGA_2_INF4"/>
      <sheetName val="Transfer_Request4"/>
      <sheetName val="tranfer_to_HSD4"/>
      <sheetName val="REKAP_SALES_JAN4"/>
      <sheetName val="REKAP_SALES_FEB4"/>
      <sheetName val="REKAP_SALES_MAR4"/>
      <sheetName val="REKAP_SALES_APR4"/>
      <sheetName val="REKAP_SALES_MEI4"/>
      <sheetName val="REKAP_SALES_JUNI4"/>
      <sheetName val="REKAP_SALES_JULI4"/>
      <sheetName val="Drop_down4"/>
      <sheetName val="Each_Dep_t"/>
      <sheetName val="Tooling_Transfer8"/>
      <sheetName val="Monitor_list_Case_of_Dept_4"/>
      <sheetName val="Dropdown_Box2"/>
      <sheetName val="LBP_DAROGA_2_INF"/>
      <sheetName val="Transfer_Request"/>
      <sheetName val="tranfer_to_HSD"/>
      <sheetName val="REKAP_SALES_JAN"/>
      <sheetName val="REKAP_SALES_FEB"/>
      <sheetName val="REKAP_SALES_MAR"/>
      <sheetName val="REKAP_SALES_APR"/>
      <sheetName val="REKAP_SALES_MEI"/>
      <sheetName val="REKAP_SALES_JUNI"/>
      <sheetName val="REKAP_SALES_JULI"/>
      <sheetName val="Drop_down"/>
      <sheetName val="Tooling_Transfer9"/>
      <sheetName val="Monitor_list_Case_of_Dept_5"/>
      <sheetName val="Dropdown_Box3"/>
      <sheetName val="LBP_DAROGA_2_INF1"/>
      <sheetName val="Transfer_Request1"/>
      <sheetName val="tranfer_to_HSD1"/>
      <sheetName val="REKAP_SALES_JAN1"/>
      <sheetName val="REKAP_SALES_FEB1"/>
      <sheetName val="REKAP_SALES_MAR1"/>
      <sheetName val="REKAP_SALES_APR1"/>
      <sheetName val="REKAP_SALES_MEI1"/>
      <sheetName val="REKAP_SALES_JUNI1"/>
      <sheetName val="REKAP_SALES_JULI1"/>
      <sheetName val="Drop_down1"/>
      <sheetName val="Tooling_Transfer11"/>
      <sheetName val="Monitor_list_Case_of_Dept_7"/>
      <sheetName val="Dropdown_Box5"/>
      <sheetName val="LBP_DAROGA_2_INF3"/>
      <sheetName val="Transfer_Request3"/>
      <sheetName val="tranfer_to_HSD3"/>
      <sheetName val="REKAP_SALES_JAN3"/>
      <sheetName val="REKAP_SALES_FEB3"/>
      <sheetName val="REKAP_SALES_MAR3"/>
      <sheetName val="REKAP_SALES_APR3"/>
      <sheetName val="REKAP_SALES_MEI3"/>
      <sheetName val="REKAP_SALES_JUNI3"/>
      <sheetName val="REKAP_SALES_JULI3"/>
      <sheetName val="Drop_down3"/>
      <sheetName val="Tooling_Transfer10"/>
      <sheetName val="Monitor_list_Case_of_Dept_6"/>
      <sheetName val="Dropdown_Box4"/>
      <sheetName val="LBP_DAROGA_2_INF2"/>
      <sheetName val="Transfer_Request2"/>
      <sheetName val="tranfer_to_HSD2"/>
      <sheetName val="REKAP_SALES_JAN2"/>
      <sheetName val="REKAP_SALES_FEB2"/>
      <sheetName val="REKAP_SALES_MAR2"/>
      <sheetName val="REKAP_SALES_APR2"/>
      <sheetName val="REKAP_SALES_MEI2"/>
      <sheetName val="REKAP_SALES_JUNI2"/>
      <sheetName val="REKAP_SALES_JULI2"/>
      <sheetName val="Drop_down2"/>
      <sheetName val="Complexity tool"/>
      <sheetName val="VSM(cut)"/>
      <sheetName val="Look Up"/>
      <sheetName val="Drop-down"/>
      <sheetName val="Tooling_Transfer13"/>
      <sheetName val="Monitor_list_Case_of_Dept_9"/>
      <sheetName val="Dropdown_Box7"/>
      <sheetName val="LBP_DAROGA_2_INF5"/>
      <sheetName val="Transfer_Request5"/>
      <sheetName val="tranfer_to_HSD5"/>
      <sheetName val="REKAP_SALES_JAN5"/>
      <sheetName val="REKAP_SALES_FEB5"/>
      <sheetName val="REKAP_SALES_MAR5"/>
      <sheetName val="REKAP_SALES_APR5"/>
      <sheetName val="REKAP_SALES_MEI5"/>
      <sheetName val="REKAP_SALES_JUNI5"/>
      <sheetName val="REKAP_SALES_JULI5"/>
      <sheetName val="Drop_down5"/>
      <sheetName val="Each_Dep_t1"/>
      <sheetName val="Tooling_Transfer14"/>
      <sheetName val="Monitor_list_Case_of_Dept_10"/>
      <sheetName val="Dropdown_Box8"/>
      <sheetName val="LBP_DAROGA_2_INF6"/>
      <sheetName val="Transfer_Request6"/>
      <sheetName val="tranfer_to_HSD6"/>
      <sheetName val="REKAP_SALES_JAN6"/>
      <sheetName val="REKAP_SALES_FEB6"/>
      <sheetName val="REKAP_SALES_MAR6"/>
      <sheetName val="REKAP_SALES_APR6"/>
      <sheetName val="REKAP_SALES_MEI6"/>
      <sheetName val="REKAP_SALES_JUNI6"/>
      <sheetName val="REKAP_SALES_JULI6"/>
      <sheetName val="Drop_down6"/>
      <sheetName val="Each_Dep_t2"/>
      <sheetName val="Tooling_Transfer15"/>
      <sheetName val="Monitor_list_Case_of_Dept_11"/>
      <sheetName val="Dropdown_Box9"/>
      <sheetName val="LBP_DAROGA_2_INF7"/>
      <sheetName val="Transfer_Request7"/>
      <sheetName val="tranfer_to_HSD7"/>
      <sheetName val="REKAP_SALES_JAN7"/>
      <sheetName val="REKAP_SALES_FEB7"/>
      <sheetName val="REKAP_SALES_MAR7"/>
      <sheetName val="REKAP_SALES_APR7"/>
      <sheetName val="REKAP_SALES_MEI7"/>
      <sheetName val="REKAP_SALES_JUNI7"/>
      <sheetName val="REKAP_SALES_JULI7"/>
      <sheetName val="Drop_down7"/>
      <sheetName val="Each_Dep_t3"/>
      <sheetName val="Tooling_Transfer16"/>
      <sheetName val="Monitor_list_Case_of_Dept_12"/>
      <sheetName val="Dropdown_Box10"/>
      <sheetName val="LBP_DAROGA_2_INF8"/>
      <sheetName val="Transfer_Request8"/>
      <sheetName val="tranfer_to_HSD8"/>
      <sheetName val="REKAP_SALES_JAN8"/>
      <sheetName val="REKAP_SALES_FEB8"/>
      <sheetName val="REKAP_SALES_MAR8"/>
      <sheetName val="REKAP_SALES_APR8"/>
      <sheetName val="REKAP_SALES_MEI8"/>
      <sheetName val="REKAP_SALES_JUNI8"/>
      <sheetName val="REKAP_SALES_JULI8"/>
      <sheetName val="Drop_down8"/>
      <sheetName val="Each_Dep_t4"/>
      <sheetName val="Tooling_Transfer17"/>
      <sheetName val="Monitor_list_Case_of_Dept_13"/>
      <sheetName val="Dropdown_Box11"/>
      <sheetName val="LBP_DAROGA_2_INF9"/>
      <sheetName val="Transfer_Request9"/>
      <sheetName val="REKAP_SALES_JAN9"/>
      <sheetName val="REKAP_SALES_FEB9"/>
      <sheetName val="REKAP_SALES_MAR9"/>
      <sheetName val="REKAP_SALES_APR9"/>
      <sheetName val="REKAP_SALES_MEI9"/>
      <sheetName val="REKAP_SALES_JUNI9"/>
      <sheetName val="REKAP_SALES_JULI9"/>
      <sheetName val="tranfer_to_HSD9"/>
      <sheetName val="Drop_down9"/>
      <sheetName val="Each_Dep_t5"/>
      <sheetName val="Tooling_Transfer18"/>
      <sheetName val="Monitor_list_Case_of_Dept_14"/>
      <sheetName val="Dropdown_Box12"/>
      <sheetName val="LBP_DAROGA_2_INF10"/>
      <sheetName val="Transfer_Request10"/>
      <sheetName val="tranfer_to_HSD10"/>
      <sheetName val="REKAP_SALES_JAN10"/>
      <sheetName val="REKAP_SALES_FEB10"/>
      <sheetName val="REKAP_SALES_MAR10"/>
      <sheetName val="REKAP_SALES_APR10"/>
      <sheetName val="REKAP_SALES_MEI10"/>
      <sheetName val="REKAP_SALES_JUNI10"/>
      <sheetName val="REKAP_SALES_JULI10"/>
      <sheetName val="Drop_down10"/>
      <sheetName val="MATCH"/>
      <sheetName val="lookup"/>
      <sheetName val="list"/>
      <sheetName val="Data"/>
      <sheetName val="C"/>
      <sheetName val="D"/>
      <sheetName val="Setup"/>
      <sheetName val="Gantt Chart"/>
      <sheetName val="Items"/>
      <sheetName val="Tooling_Transfer19"/>
      <sheetName val="Monitor_list_Case_of_Dept_15"/>
      <sheetName val="Dropdown_Box13"/>
      <sheetName val="LBP_DAROGA_2_INF11"/>
      <sheetName val="Transfer_Request11"/>
      <sheetName val="tranfer_to_HSD11"/>
      <sheetName val="REKAP_SALES_JAN11"/>
      <sheetName val="REKAP_SALES_FEB11"/>
      <sheetName val="REKAP_SALES_MAR11"/>
      <sheetName val="REKAP_SALES_APR11"/>
      <sheetName val="REKAP_SALES_MEI11"/>
      <sheetName val="REKAP_SALES_JUNI11"/>
      <sheetName val="REKAP_SALES_JULI11"/>
      <sheetName val="Drop_down11"/>
      <sheetName val="Each_Dep_t6"/>
      <sheetName val="Complexity_tool"/>
      <sheetName val="Look_Up"/>
      <sheetName val="Gantt_Chart"/>
      <sheetName val="jul 17pdk"/>
      <sheetName val="Dropdowns"/>
      <sheetName val="Q-KPI House (Supplier)"/>
      <sheetName val="Sheet5"/>
      <sheetName val="Pareto"/>
      <sheetName val=""/>
      <sheetName val="category and gender"/>
      <sheetName val="Target Dep.t"/>
      <sheetName val="Tooling_Transfer20"/>
      <sheetName val="Monitor_list_Case_of_Dept_16"/>
      <sheetName val="Dropdown_Box14"/>
      <sheetName val="LBP_DAROGA_2_INF12"/>
      <sheetName val="Transfer_Request12"/>
      <sheetName val="tranfer_to_HSD12"/>
      <sheetName val="REKAP_SALES_JAN12"/>
      <sheetName val="REKAP_SALES_FEB12"/>
      <sheetName val="REKAP_SALES_MAR12"/>
      <sheetName val="REKAP_SALES_APR12"/>
      <sheetName val="REKAP_SALES_MEI12"/>
      <sheetName val="REKAP_SALES_JUNI12"/>
      <sheetName val="REKAP_SALES_JULI12"/>
      <sheetName val="Drop_down12"/>
      <sheetName val="Each_Dep_t7"/>
      <sheetName val="Complexity_tool1"/>
      <sheetName val="Look_Up1"/>
      <sheetName val="Gantt_Chart1"/>
      <sheetName val="jul_17pdk"/>
      <sheetName val="Q-KPI_House_(Supplier)"/>
      <sheetName val="category_and_gender"/>
      <sheetName val="FW15 Inline"/>
      <sheetName val="Summary Produksi"/>
      <sheetName val="LEGEND"/>
      <sheetName val="datas base tab"/>
      <sheetName val="Tooling_Transfer21"/>
      <sheetName val="Monitor_list_Case_of_Dept_17"/>
      <sheetName val="Dropdown_Box15"/>
      <sheetName val="LBP_DAROGA_2_INF13"/>
      <sheetName val="Transfer_Request13"/>
      <sheetName val="tranfer_to_HSD13"/>
      <sheetName val="REKAP_SALES_JAN13"/>
      <sheetName val="REKAP_SALES_FEB13"/>
      <sheetName val="REKAP_SALES_MAR13"/>
      <sheetName val="REKAP_SALES_APR13"/>
      <sheetName val="REKAP_SALES_MEI13"/>
      <sheetName val="REKAP_SALES_JUNI13"/>
      <sheetName val="REKAP_SALES_JULI13"/>
      <sheetName val="Drop_down13"/>
      <sheetName val="Each_Dep_t8"/>
      <sheetName val="Complexity_tool2"/>
      <sheetName val="Look_Up2"/>
      <sheetName val="Gantt_Chart2"/>
      <sheetName val="jul_17pdk1"/>
      <sheetName val="Q-KPI_House_(Supplier)1"/>
      <sheetName val="category_and_gender1"/>
      <sheetName val="Target_Dep_t"/>
      <sheetName val="FW15_Inline"/>
    </sheetNames>
    <sheetDataSet>
      <sheetData sheetId="0"/>
      <sheetData sheetId="1"/>
      <sheetData sheetId="2">
        <row r="2">
          <cell r="B2" t="str">
            <v>Please select</v>
          </cell>
          <cell r="C2" t="str">
            <v>Utilize factory capacity</v>
          </cell>
        </row>
        <row r="3">
          <cell r="B3" t="str">
            <v>Add'l article/model transfer (Complete)</v>
          </cell>
          <cell r="C3" t="str">
            <v>Optimize landed cost</v>
          </cell>
        </row>
        <row r="4">
          <cell r="B4" t="str">
            <v>Add'l article/model transfer (Dual Source)</v>
          </cell>
          <cell r="C4" t="str">
            <v>Follow current season allocation</v>
          </cell>
        </row>
        <row r="5">
          <cell r="B5" t="str">
            <v>CKD Transfer</v>
          </cell>
          <cell r="C5" t="str">
            <v>Follow tooling location</v>
          </cell>
        </row>
        <row r="6">
          <cell r="B6" t="str">
            <v>Complete Transfer</v>
          </cell>
          <cell r="C6" t="str">
            <v>Follow the latest sourcing direction</v>
          </cell>
        </row>
        <row r="7">
          <cell r="B7" t="str">
            <v>Dual Source Transfer</v>
          </cell>
          <cell r="C7" t="str">
            <v>Consolidation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KT Forecast Details"/>
      <sheetName val="Historical Data-TOTAL"/>
      <sheetName val="Historical Data-WHQ"/>
      <sheetName val="Financial-Resource Summary"/>
      <sheetName val="MPM Count Pivot"/>
      <sheetName val="MPM Count Pivot History"/>
      <sheetName val="MO Count Pivot"/>
      <sheetName val="MO Count Pivot History"/>
      <sheetName val="MO Considered Pivot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nsidered Summary"/>
      <sheetName val="VLP % of Column Considered"/>
      <sheetName val="VLP % of Row Considered"/>
      <sheetName val="Line_Planning_Data"/>
      <sheetName val="KT_Forecast_Details"/>
      <sheetName val="Historical_Data-TOTAL"/>
      <sheetName val="Historical_Data-WHQ"/>
      <sheetName val="Financial-Resource_Summary"/>
      <sheetName val="MPM_Count_Pivot"/>
      <sheetName val="MPM_Count_Pivot_History"/>
      <sheetName val="MO_Count_Pivot"/>
      <sheetName val="MO_Count_Pivot_History"/>
      <sheetName val="MO_Considered_Pivot"/>
      <sheetName val="Platform_Summary"/>
      <sheetName val="VLP_%_of_Column_Platform"/>
      <sheetName val="VLP_%_of_Row_Platform"/>
      <sheetName val="Focus_Summary"/>
      <sheetName val="VLP_%_of_Column_Focus"/>
      <sheetName val="VLP_%_of_Row_Focus"/>
      <sheetName val="Construct_Summary"/>
      <sheetName val="VLP_%_of_Column_Construct"/>
      <sheetName val="VLP_%_of_Row_Construct"/>
      <sheetName val="Considered_Summary"/>
      <sheetName val="VLP_%_of_Column_Considered"/>
      <sheetName val="VLP_%_of_Row_Considered"/>
      <sheetName val="Line_Planning_Data1"/>
      <sheetName val="KT_Forecast_Details1"/>
      <sheetName val="Historical_Data-TOTAL1"/>
      <sheetName val="Historical_Data-WHQ1"/>
      <sheetName val="Financial-Resource_Summary1"/>
      <sheetName val="MPM_Count_Pivot1"/>
      <sheetName val="MPM_Count_Pivot_History1"/>
      <sheetName val="MO_Count_Pivot1"/>
      <sheetName val="MO_Count_Pivot_History1"/>
      <sheetName val="MO_Considered_Pivot1"/>
      <sheetName val="Platform_Summary1"/>
      <sheetName val="VLP_%_of_Column_Platform1"/>
      <sheetName val="VLP_%_of_Row_Platform1"/>
      <sheetName val="Focus_Summary1"/>
      <sheetName val="VLP_%_of_Column_Focus1"/>
      <sheetName val="VLP_%_of_Row_Focus1"/>
      <sheetName val="Construct_Summary1"/>
      <sheetName val="VLP_%_of_Column_Construct1"/>
      <sheetName val="VLP_%_of_Row_Construct1"/>
      <sheetName val="Considered_Summary1"/>
      <sheetName val="VLP_%_of_Column_Considered1"/>
      <sheetName val="VLP_%_of_Row_Considered1"/>
      <sheetName val="LAST_YEARS_CS1"/>
      <sheetName val="Drop_Down_Values1"/>
      <sheetName val="GFP_Type2"/>
      <sheetName val="Line_Planning_Data2"/>
      <sheetName val="KT_Forecast_Details2"/>
      <sheetName val="Historical_Data-TOTAL2"/>
      <sheetName val="Historical_Data-WHQ2"/>
      <sheetName val="Financial-Resource_Summary2"/>
      <sheetName val="MPM_Count_Pivot2"/>
      <sheetName val="MPM_Count_Pivot_History2"/>
      <sheetName val="MO_Count_Pivot2"/>
      <sheetName val="MO_Count_Pivot_History2"/>
      <sheetName val="MO_Considered_Pivot2"/>
      <sheetName val="Platform_Summary2"/>
      <sheetName val="VLP_%_of_Column_Platform2"/>
      <sheetName val="VLP_%_of_Row_Platform2"/>
      <sheetName val="Focus_Summary2"/>
      <sheetName val="VLP_%_of_Column_Focus2"/>
      <sheetName val="VLP_%_of_Row_Focus2"/>
      <sheetName val="Construct_Summary2"/>
      <sheetName val="VLP_%_of_Column_Construct2"/>
      <sheetName val="VLP_%_of_Row_Construct2"/>
      <sheetName val="Considered_Summary2"/>
      <sheetName val="VLP_%_of_Column_Considered2"/>
      <sheetName val="VLP_%_of_Row_Considered2"/>
      <sheetName val="Line_Planning_Data3"/>
      <sheetName val="KT_Forecast_Details3"/>
      <sheetName val="Historical_Data-TOTAL3"/>
      <sheetName val="Historical_Data-WHQ3"/>
      <sheetName val="Financial-Resource_Summary3"/>
      <sheetName val="MPM_Count_Pivot3"/>
      <sheetName val="MPM_Count_Pivot_History3"/>
      <sheetName val="MO_Count_Pivot3"/>
      <sheetName val="MO_Count_Pivot_History3"/>
      <sheetName val="MO_Considered_Pivot3"/>
      <sheetName val="Platform_Summary3"/>
      <sheetName val="VLP_%_of_Column_Platform3"/>
      <sheetName val="VLP_%_of_Row_Platform3"/>
      <sheetName val="Focus_Summary3"/>
      <sheetName val="VLP_%_of_Column_Focus3"/>
      <sheetName val="VLP_%_of_Row_Focus3"/>
      <sheetName val="Construct_Summary3"/>
      <sheetName val="VLP_%_of_Column_Construct3"/>
      <sheetName val="VLP_%_of_Row_Construct3"/>
      <sheetName val="Considered_Summary3"/>
      <sheetName val="VLP_%_of_Column_Considered3"/>
      <sheetName val="VLP_%_of_Row_Considered3"/>
      <sheetName val="Line_Planning_Data4"/>
      <sheetName val="KT_Forecast_Details4"/>
      <sheetName val="Historical_Data-TOTAL4"/>
      <sheetName val="Historical_Data-WHQ4"/>
      <sheetName val="Financial-Resource_Summary4"/>
      <sheetName val="MPM_Count_Pivot4"/>
      <sheetName val="MPM_Count_Pivot_History4"/>
      <sheetName val="MO_Count_Pivot4"/>
      <sheetName val="MO_Count_Pivot_History4"/>
      <sheetName val="MO_Considered_Pivot4"/>
      <sheetName val="Platform_Summary4"/>
      <sheetName val="VLP_%_of_Column_Platform4"/>
      <sheetName val="VLP_%_of_Row_Platform4"/>
      <sheetName val="Focus_Summary4"/>
      <sheetName val="VLP_%_of_Column_Focus4"/>
      <sheetName val="VLP_%_of_Row_Focus4"/>
      <sheetName val="Construct_Summary4"/>
      <sheetName val="VLP_%_of_Column_Construct4"/>
      <sheetName val="VLP_%_of_Row_Construct4"/>
      <sheetName val="Considered_Summary4"/>
      <sheetName val="VLP_%_of_Column_Considered4"/>
      <sheetName val="VLP_%_of_Row_Considered4"/>
      <sheetName val="Sheet1"/>
    </sheetNames>
    <sheetDataSet>
      <sheetData sheetId="0">
        <row r="194">
          <cell r="A194" t="str">
            <v>BRONZE</v>
          </cell>
        </row>
        <row r="195">
          <cell r="A195" t="str">
            <v>SILVER</v>
          </cell>
        </row>
        <row r="196">
          <cell r="A196" t="str">
            <v>GOLD</v>
          </cell>
        </row>
        <row r="197">
          <cell r="A197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KT Forecast Details"/>
      <sheetName val="Historical Data-TOTAL"/>
      <sheetName val="Historical Data-WHQ"/>
      <sheetName val="Financial-Resource Summary"/>
      <sheetName val="MPM Count Pivot"/>
      <sheetName val="MPM Count Pivot History"/>
      <sheetName val="MO Count Pivot"/>
      <sheetName val="MO Count Pivot History"/>
      <sheetName val="MO Considered Pivot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nsidered Summary"/>
      <sheetName val="VLP % of Column Considered"/>
      <sheetName val="VLP % of Row Considered"/>
      <sheetName val="Line_Planning_Data"/>
      <sheetName val="KT_Forecast_Details"/>
      <sheetName val="Historical_Data-TOTAL"/>
      <sheetName val="Historical_Data-WHQ"/>
      <sheetName val="Financial-Resource_Summary"/>
      <sheetName val="MPM_Count_Pivot"/>
      <sheetName val="MPM_Count_Pivot_History"/>
      <sheetName val="MO_Count_Pivot"/>
      <sheetName val="MO_Count_Pivot_History"/>
      <sheetName val="MO_Considered_Pivot"/>
      <sheetName val="Platform_Summary"/>
      <sheetName val="VLP_%_of_Column_Platform"/>
      <sheetName val="VLP_%_of_Row_Platform"/>
      <sheetName val="Focus_Summary"/>
      <sheetName val="VLP_%_of_Column_Focus"/>
      <sheetName val="VLP_%_of_Row_Focus"/>
      <sheetName val="Construct_Summary"/>
      <sheetName val="VLP_%_of_Column_Construct"/>
      <sheetName val="VLP_%_of_Row_Construct"/>
      <sheetName val="Considered_Summary"/>
      <sheetName val="VLP_%_of_Column_Considered"/>
      <sheetName val="VLP_%_of_Row_Considered"/>
      <sheetName val="Line_Planning_Data1"/>
      <sheetName val="KT_Forecast_Details1"/>
      <sheetName val="Historical_Data-TOTAL1"/>
      <sheetName val="Historical_Data-WHQ1"/>
      <sheetName val="Financial-Resource_Summary1"/>
      <sheetName val="MPM_Count_Pivot1"/>
      <sheetName val="MPM_Count_Pivot_History1"/>
      <sheetName val="MO_Count_Pivot1"/>
      <sheetName val="MO_Count_Pivot_History1"/>
      <sheetName val="MO_Considered_Pivot1"/>
      <sheetName val="Platform_Summary1"/>
      <sheetName val="VLP_%_of_Column_Platform1"/>
      <sheetName val="VLP_%_of_Row_Platform1"/>
      <sheetName val="Focus_Summary1"/>
      <sheetName val="VLP_%_of_Column_Focus1"/>
      <sheetName val="VLP_%_of_Row_Focus1"/>
      <sheetName val="Construct_Summary1"/>
      <sheetName val="VLP_%_of_Column_Construct1"/>
      <sheetName val="VLP_%_of_Row_Construct1"/>
      <sheetName val="Considered_Summary1"/>
      <sheetName val="VLP_%_of_Column_Considered1"/>
      <sheetName val="VLP_%_of_Row_Considered1"/>
      <sheetName val="LAST_YEARS_CS1"/>
      <sheetName val="Drop_Down_Values1"/>
      <sheetName val="GFP_Type2"/>
      <sheetName val="Line_Planning_Data2"/>
      <sheetName val="KT_Forecast_Details2"/>
      <sheetName val="Historical_Data-TOTAL2"/>
      <sheetName val="Historical_Data-WHQ2"/>
      <sheetName val="Financial-Resource_Summary2"/>
      <sheetName val="MPM_Count_Pivot2"/>
      <sheetName val="MPM_Count_Pivot_History2"/>
      <sheetName val="MO_Count_Pivot2"/>
      <sheetName val="MO_Count_Pivot_History2"/>
      <sheetName val="MO_Considered_Pivot2"/>
      <sheetName val="Platform_Summary2"/>
      <sheetName val="VLP_%_of_Column_Platform2"/>
      <sheetName val="VLP_%_of_Row_Platform2"/>
      <sheetName val="Focus_Summary2"/>
      <sheetName val="VLP_%_of_Column_Focus2"/>
      <sheetName val="VLP_%_of_Row_Focus2"/>
      <sheetName val="Construct_Summary2"/>
      <sheetName val="VLP_%_of_Column_Construct2"/>
      <sheetName val="VLP_%_of_Row_Construct2"/>
      <sheetName val="Considered_Summary2"/>
      <sheetName val="VLP_%_of_Column_Considered2"/>
      <sheetName val="VLP_%_of_Row_Considered2"/>
      <sheetName val="Line_Planning_Data3"/>
      <sheetName val="KT_Forecast_Details3"/>
      <sheetName val="Historical_Data-TOTAL3"/>
      <sheetName val="Historical_Data-WHQ3"/>
      <sheetName val="Financial-Resource_Summary3"/>
      <sheetName val="MPM_Count_Pivot3"/>
      <sheetName val="MPM_Count_Pivot_History3"/>
      <sheetName val="MO_Count_Pivot3"/>
      <sheetName val="MO_Count_Pivot_History3"/>
      <sheetName val="MO_Considered_Pivot3"/>
      <sheetName val="Platform_Summary3"/>
      <sheetName val="VLP_%_of_Column_Platform3"/>
      <sheetName val="VLP_%_of_Row_Platform3"/>
      <sheetName val="Focus_Summary3"/>
      <sheetName val="VLP_%_of_Column_Focus3"/>
      <sheetName val="VLP_%_of_Row_Focus3"/>
      <sheetName val="Construct_Summary3"/>
      <sheetName val="VLP_%_of_Column_Construct3"/>
      <sheetName val="VLP_%_of_Row_Construct3"/>
      <sheetName val="Considered_Summary3"/>
      <sheetName val="VLP_%_of_Column_Considered3"/>
      <sheetName val="VLP_%_of_Row_Considered3"/>
      <sheetName val="Line_Planning_Data4"/>
      <sheetName val="KT_Forecast_Details4"/>
      <sheetName val="Historical_Data-TOTAL4"/>
      <sheetName val="Historical_Data-WHQ4"/>
      <sheetName val="Financial-Resource_Summary4"/>
      <sheetName val="MPM_Count_Pivot4"/>
      <sheetName val="MPM_Count_Pivot_History4"/>
      <sheetName val="MO_Count_Pivot4"/>
      <sheetName val="MO_Count_Pivot_History4"/>
      <sheetName val="MO_Considered_Pivot4"/>
      <sheetName val="Platform_Summary4"/>
      <sheetName val="VLP_%_of_Column_Platform4"/>
      <sheetName val="VLP_%_of_Row_Platform4"/>
      <sheetName val="Focus_Summary4"/>
      <sheetName val="VLP_%_of_Column_Focus4"/>
      <sheetName val="VLP_%_of_Row_Focus4"/>
      <sheetName val="Construct_Summary4"/>
      <sheetName val="VLP_%_of_Column_Construct4"/>
      <sheetName val="VLP_%_of_Row_Construct4"/>
      <sheetName val="Considered_Summary4"/>
      <sheetName val="VLP_%_of_Column_Considered4"/>
      <sheetName val="VLP_%_of_Row_Considered4"/>
    </sheetNames>
    <sheetDataSet>
      <sheetData sheetId="0">
        <row r="194">
          <cell r="A194" t="str">
            <v>BRONZE</v>
          </cell>
        </row>
        <row r="195">
          <cell r="A195" t="str">
            <v>SILVER</v>
          </cell>
        </row>
        <row r="196">
          <cell r="A196" t="str">
            <v>GOLD</v>
          </cell>
        </row>
        <row r="197">
          <cell r="A197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1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>
        <row r="8">
          <cell r="A8" t="str">
            <v>BOYS GS</v>
          </cell>
        </row>
        <row r="9">
          <cell r="A9" t="str">
            <v>BOYS PS</v>
          </cell>
        </row>
        <row r="16">
          <cell r="A16" t="str">
            <v>1-NA</v>
          </cell>
        </row>
        <row r="17">
          <cell r="A17" t="str">
            <v>AIR SHOX</v>
          </cell>
        </row>
        <row r="18">
          <cell r="A18" t="str">
            <v>AUTOCLAVE</v>
          </cell>
        </row>
        <row r="19">
          <cell r="A19" t="str">
            <v>CUPSOLE</v>
          </cell>
        </row>
        <row r="20">
          <cell r="A20" t="str">
            <v>D SERIES</v>
          </cell>
        </row>
        <row r="21">
          <cell r="A21" t="str">
            <v>ENCAP</v>
          </cell>
        </row>
        <row r="22">
          <cell r="A22" t="str">
            <v>FREE</v>
          </cell>
        </row>
        <row r="23">
          <cell r="A23" t="str">
            <v>IMPAX</v>
          </cell>
        </row>
        <row r="24">
          <cell r="A24" t="str">
            <v>LUNAR</v>
          </cell>
        </row>
        <row r="25">
          <cell r="A25" t="str">
            <v>MAX 180</v>
          </cell>
        </row>
        <row r="26">
          <cell r="A26" t="str">
            <v>MAX 360</v>
          </cell>
        </row>
        <row r="27">
          <cell r="A27" t="str">
            <v>MAX AIR</v>
          </cell>
        </row>
        <row r="28">
          <cell r="A28" t="str">
            <v>PLATED</v>
          </cell>
        </row>
        <row r="29">
          <cell r="A29" t="str">
            <v>RAMP AIR</v>
          </cell>
        </row>
        <row r="30">
          <cell r="A30" t="str">
            <v>REAX</v>
          </cell>
        </row>
        <row r="31">
          <cell r="A31" t="str">
            <v>SHOX</v>
          </cell>
        </row>
        <row r="32">
          <cell r="A32" t="str">
            <v>SLATBED</v>
          </cell>
        </row>
        <row r="33">
          <cell r="A33" t="str">
            <v>VISIBLE AIR</v>
          </cell>
        </row>
        <row r="34">
          <cell r="A34" t="str">
            <v>ZOOM</v>
          </cell>
        </row>
        <row r="37">
          <cell r="A37" t="str">
            <v>A+  (NEW TECHNOLOGY-DIFFICULT)</v>
          </cell>
        </row>
        <row r="38">
          <cell r="A38" t="str">
            <v>A   (NEW TECHNOLOGY)</v>
          </cell>
        </row>
        <row r="39">
          <cell r="A39" t="str">
            <v>A-  (SHARED MODEL OF A+ OR A)</v>
          </cell>
        </row>
        <row r="40">
          <cell r="A40" t="str">
            <v>B+  (NEW SHOE-DIFFICULT)</v>
          </cell>
        </row>
        <row r="41">
          <cell r="A41" t="str">
            <v>B   (NEW SHOE)</v>
          </cell>
        </row>
        <row r="42">
          <cell r="A42" t="str">
            <v>B-  (SHARED MODEL OF B+ OR B)</v>
          </cell>
        </row>
        <row r="43">
          <cell r="A43" t="str">
            <v>C+  (NEW UPPER / TOOLING-DIFFICULT)</v>
          </cell>
        </row>
        <row r="44">
          <cell r="A44" t="str">
            <v>C   (NEW UPPER / TOOLING)</v>
          </cell>
        </row>
        <row r="45">
          <cell r="A45" t="str">
            <v>C-  (SHARED MODEL OF C+ OR C)</v>
          </cell>
        </row>
        <row r="46">
          <cell r="A46" t="str">
            <v>D+  (NEW UPPER-DIFFICULT)</v>
          </cell>
        </row>
        <row r="47">
          <cell r="A47" t="str">
            <v>D   (NEW UPPER)</v>
          </cell>
        </row>
        <row r="48">
          <cell r="A48" t="str">
            <v>D-  (SHARED MODEL OF D+ OR D)</v>
          </cell>
        </row>
        <row r="49">
          <cell r="A49" t="str">
            <v>F+  (NEW MATERIAL W/PATTERN ADJUSTMENT)</v>
          </cell>
        </row>
        <row r="50">
          <cell r="A50" t="str">
            <v>F   (NEW MATERIAL AND/OR DESIGN GRAPHICS)</v>
          </cell>
        </row>
        <row r="51">
          <cell r="A51" t="str">
            <v>F-  (NEW COLOR)</v>
          </cell>
        </row>
        <row r="52">
          <cell r="A52" t="str">
            <v>K+  (ADULT INSPIRED KIDS-NEW UPPER, MS, AND OS)</v>
          </cell>
        </row>
        <row r="53">
          <cell r="A53" t="str">
            <v>K   (ADULT INSPIRED KIDS-NEW UPPER OR MS OR OS)</v>
          </cell>
        </row>
        <row r="54">
          <cell r="A54" t="str">
            <v>K-  (SHARED MODEL OF K+ OR K)</v>
          </cell>
        </row>
        <row r="55">
          <cell r="A55" t="str">
            <v>NA  (TRUE CARRYOVER)</v>
          </cell>
        </row>
        <row r="58">
          <cell r="A58" t="str">
            <v>LOW TOP</v>
          </cell>
        </row>
        <row r="59">
          <cell r="A59" t="str">
            <v>3/4 HIGH</v>
          </cell>
        </row>
        <row r="60">
          <cell r="A60" t="str">
            <v>HIGH TOP</v>
          </cell>
        </row>
        <row r="63">
          <cell r="A63" t="str">
            <v>VALUE</v>
          </cell>
        </row>
        <row r="64">
          <cell r="A64" t="str">
            <v>GOOD</v>
          </cell>
        </row>
        <row r="65">
          <cell r="A65" t="str">
            <v>BETTER</v>
          </cell>
        </row>
        <row r="66">
          <cell r="A66" t="str">
            <v>BEST</v>
          </cell>
        </row>
        <row r="67">
          <cell r="A67" t="str">
            <v>PINNACLE</v>
          </cell>
        </row>
        <row r="70">
          <cell r="A70" t="str">
            <v>BASKETBALL</v>
          </cell>
        </row>
        <row r="71">
          <cell r="A71" t="str">
            <v>COURT</v>
          </cell>
        </row>
        <row r="72">
          <cell r="A72" t="str">
            <v>METRO</v>
          </cell>
        </row>
        <row r="73">
          <cell r="A73" t="str">
            <v>MILESTONES</v>
          </cell>
        </row>
        <row r="74">
          <cell r="A74" t="str">
            <v>RUNNING</v>
          </cell>
        </row>
        <row r="75">
          <cell r="A75" t="str">
            <v>SPORT INSPIRED</v>
          </cell>
        </row>
        <row r="76">
          <cell r="A76" t="str">
            <v>TENNIS</v>
          </cell>
        </row>
        <row r="77">
          <cell r="A77" t="str">
            <v>TRAINING</v>
          </cell>
        </row>
        <row r="78">
          <cell r="A78" t="str">
            <v>URBAN</v>
          </cell>
        </row>
        <row r="170">
          <cell r="A170" t="str">
            <v>DS</v>
          </cell>
        </row>
        <row r="171">
          <cell r="A171" t="str">
            <v>FJ</v>
          </cell>
        </row>
        <row r="172">
          <cell r="A172" t="str">
            <v>FS</v>
          </cell>
        </row>
        <row r="173">
          <cell r="A173" t="str">
            <v>FT</v>
          </cell>
        </row>
        <row r="174">
          <cell r="A174" t="str">
            <v>IA</v>
          </cell>
        </row>
        <row r="175">
          <cell r="A175" t="str">
            <v>IM</v>
          </cell>
        </row>
        <row r="176">
          <cell r="A176" t="str">
            <v>IR</v>
          </cell>
        </row>
        <row r="177">
          <cell r="A177" t="str">
            <v>MD</v>
          </cell>
        </row>
        <row r="178">
          <cell r="A178" t="str">
            <v>MX</v>
          </cell>
        </row>
        <row r="179">
          <cell r="A179" t="str">
            <v>PC</v>
          </cell>
        </row>
        <row r="180">
          <cell r="A180" t="str">
            <v>SF</v>
          </cell>
        </row>
        <row r="181">
          <cell r="A181" t="str">
            <v>SZ</v>
          </cell>
        </row>
        <row r="182">
          <cell r="A182" t="str">
            <v>T2</v>
          </cell>
        </row>
        <row r="183">
          <cell r="A183" t="str">
            <v>VH</v>
          </cell>
        </row>
        <row r="184">
          <cell r="A184" t="str">
            <v>VL</v>
          </cell>
        </row>
        <row r="185">
          <cell r="A185" t="str">
            <v>VZ</v>
          </cell>
        </row>
        <row r="186">
          <cell r="A186" t="str">
            <v>XC</v>
          </cell>
        </row>
        <row r="187">
          <cell r="A187" t="str">
            <v>XE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1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>
        <row r="8">
          <cell r="A8" t="str">
            <v>BOYS GS</v>
          </cell>
        </row>
        <row r="9">
          <cell r="A9" t="str">
            <v>BOYS PS</v>
          </cell>
        </row>
        <row r="16">
          <cell r="A16" t="str">
            <v>1-NA</v>
          </cell>
        </row>
        <row r="17">
          <cell r="A17" t="str">
            <v>AIR SHOX</v>
          </cell>
        </row>
        <row r="18">
          <cell r="A18" t="str">
            <v>AUTOCLAVE</v>
          </cell>
        </row>
        <row r="19">
          <cell r="A19" t="str">
            <v>CUPSOLE</v>
          </cell>
        </row>
        <row r="20">
          <cell r="A20" t="str">
            <v>D SERIES</v>
          </cell>
        </row>
        <row r="21">
          <cell r="A21" t="str">
            <v>ENCAP</v>
          </cell>
        </row>
        <row r="22">
          <cell r="A22" t="str">
            <v>FREE</v>
          </cell>
        </row>
        <row r="23">
          <cell r="A23" t="str">
            <v>IMPAX</v>
          </cell>
        </row>
        <row r="24">
          <cell r="A24" t="str">
            <v>LUNAR</v>
          </cell>
        </row>
        <row r="25">
          <cell r="A25" t="str">
            <v>MAX 180</v>
          </cell>
        </row>
        <row r="26">
          <cell r="A26" t="str">
            <v>MAX 360</v>
          </cell>
        </row>
        <row r="27">
          <cell r="A27" t="str">
            <v>MAX AIR</v>
          </cell>
        </row>
        <row r="28">
          <cell r="A28" t="str">
            <v>PLATED</v>
          </cell>
        </row>
        <row r="29">
          <cell r="A29" t="str">
            <v>RAMP AIR</v>
          </cell>
        </row>
        <row r="30">
          <cell r="A30" t="str">
            <v>REAX</v>
          </cell>
        </row>
        <row r="31">
          <cell r="A31" t="str">
            <v>SHOX</v>
          </cell>
        </row>
        <row r="32">
          <cell r="A32" t="str">
            <v>SLATBED</v>
          </cell>
        </row>
        <row r="33">
          <cell r="A33" t="str">
            <v>VISIBLE AIR</v>
          </cell>
        </row>
        <row r="34">
          <cell r="A34" t="str">
            <v>ZOOM</v>
          </cell>
        </row>
        <row r="37">
          <cell r="A37" t="str">
            <v>A+  (NEW TECHNOLOGY-DIFFICULT)</v>
          </cell>
        </row>
        <row r="38">
          <cell r="A38" t="str">
            <v>A   (NEW TECHNOLOGY)</v>
          </cell>
        </row>
        <row r="39">
          <cell r="A39" t="str">
            <v>A-  (SHARED MODEL OF A+ OR A)</v>
          </cell>
        </row>
        <row r="40">
          <cell r="A40" t="str">
            <v>B+  (NEW SHOE-DIFFICULT)</v>
          </cell>
        </row>
        <row r="41">
          <cell r="A41" t="str">
            <v>B   (NEW SHOE)</v>
          </cell>
        </row>
        <row r="42">
          <cell r="A42" t="str">
            <v>B-  (SHARED MODEL OF B+ OR B)</v>
          </cell>
        </row>
        <row r="43">
          <cell r="A43" t="str">
            <v>C+  (NEW UPPER / TOOLING-DIFFICULT)</v>
          </cell>
        </row>
        <row r="44">
          <cell r="A44" t="str">
            <v>C   (NEW UPPER / TOOLING)</v>
          </cell>
        </row>
        <row r="45">
          <cell r="A45" t="str">
            <v>C-  (SHARED MODEL OF C+ OR C)</v>
          </cell>
        </row>
        <row r="46">
          <cell r="A46" t="str">
            <v>D+  (NEW UPPER-DIFFICULT)</v>
          </cell>
        </row>
        <row r="47">
          <cell r="A47" t="str">
            <v>D   (NEW UPPER)</v>
          </cell>
        </row>
        <row r="48">
          <cell r="A48" t="str">
            <v>D-  (SHARED MODEL OF D+ OR D)</v>
          </cell>
        </row>
        <row r="49">
          <cell r="A49" t="str">
            <v>F+  (NEW MATERIAL W/PATTERN ADJUSTMENT)</v>
          </cell>
        </row>
        <row r="50">
          <cell r="A50" t="str">
            <v>F   (NEW MATERIAL AND/OR DESIGN GRAPHICS)</v>
          </cell>
        </row>
        <row r="51">
          <cell r="A51" t="str">
            <v>F-  (NEW COLOR)</v>
          </cell>
        </row>
        <row r="52">
          <cell r="A52" t="str">
            <v>K+  (ADULT INSPIRED KIDS-NEW UPPER, MS, AND OS)</v>
          </cell>
        </row>
        <row r="53">
          <cell r="A53" t="str">
            <v>K   (ADULT INSPIRED KIDS-NEW UPPER OR MS OR OS)</v>
          </cell>
        </row>
        <row r="54">
          <cell r="A54" t="str">
            <v>K-  (SHARED MODEL OF K+ OR K)</v>
          </cell>
        </row>
        <row r="55">
          <cell r="A55" t="str">
            <v>NA  (TRUE CARRYOVER)</v>
          </cell>
        </row>
        <row r="58">
          <cell r="A58" t="str">
            <v>LOW TOP</v>
          </cell>
        </row>
        <row r="59">
          <cell r="A59" t="str">
            <v>3/4 HIGH</v>
          </cell>
        </row>
        <row r="60">
          <cell r="A60" t="str">
            <v>HIGH TOP</v>
          </cell>
        </row>
        <row r="63">
          <cell r="A63" t="str">
            <v>VALUE</v>
          </cell>
        </row>
        <row r="64">
          <cell r="A64" t="str">
            <v>GOOD</v>
          </cell>
        </row>
        <row r="65">
          <cell r="A65" t="str">
            <v>BETTER</v>
          </cell>
        </row>
        <row r="66">
          <cell r="A66" t="str">
            <v>BEST</v>
          </cell>
        </row>
        <row r="67">
          <cell r="A67" t="str">
            <v>PINNACLE</v>
          </cell>
        </row>
        <row r="70">
          <cell r="A70" t="str">
            <v>BASKETBALL</v>
          </cell>
        </row>
        <row r="71">
          <cell r="A71" t="str">
            <v>COURT</v>
          </cell>
        </row>
        <row r="72">
          <cell r="A72" t="str">
            <v>METRO</v>
          </cell>
        </row>
        <row r="73">
          <cell r="A73" t="str">
            <v>MILESTONES</v>
          </cell>
        </row>
        <row r="74">
          <cell r="A74" t="str">
            <v>RUNNING</v>
          </cell>
        </row>
        <row r="75">
          <cell r="A75" t="str">
            <v>SPORT INSPIRED</v>
          </cell>
        </row>
        <row r="76">
          <cell r="A76" t="str">
            <v>TENNIS</v>
          </cell>
        </row>
        <row r="77">
          <cell r="A77" t="str">
            <v>TRAINING</v>
          </cell>
        </row>
        <row r="78">
          <cell r="A78" t="str">
            <v>URBAN</v>
          </cell>
        </row>
        <row r="170">
          <cell r="A170" t="str">
            <v>DS</v>
          </cell>
        </row>
        <row r="171">
          <cell r="A171" t="str">
            <v>FJ</v>
          </cell>
        </row>
        <row r="172">
          <cell r="A172" t="str">
            <v>FS</v>
          </cell>
        </row>
        <row r="173">
          <cell r="A173" t="str">
            <v>FT</v>
          </cell>
        </row>
        <row r="174">
          <cell r="A174" t="str">
            <v>IA</v>
          </cell>
        </row>
        <row r="175">
          <cell r="A175" t="str">
            <v>IM</v>
          </cell>
        </row>
        <row r="176">
          <cell r="A176" t="str">
            <v>IR</v>
          </cell>
        </row>
        <row r="177">
          <cell r="A177" t="str">
            <v>MD</v>
          </cell>
        </row>
        <row r="178">
          <cell r="A178" t="str">
            <v>MX</v>
          </cell>
        </row>
        <row r="179">
          <cell r="A179" t="str">
            <v>PC</v>
          </cell>
        </row>
        <row r="180">
          <cell r="A180" t="str">
            <v>SF</v>
          </cell>
        </row>
        <row r="181">
          <cell r="A181" t="str">
            <v>SZ</v>
          </cell>
        </row>
        <row r="182">
          <cell r="A182" t="str">
            <v>T2</v>
          </cell>
        </row>
        <row r="183">
          <cell r="A183" t="str">
            <v>VH</v>
          </cell>
        </row>
        <row r="184">
          <cell r="A184" t="str">
            <v>VL</v>
          </cell>
        </row>
        <row r="185">
          <cell r="A185" t="str">
            <v>VZ</v>
          </cell>
        </row>
        <row r="186">
          <cell r="A186" t="str">
            <v>XC</v>
          </cell>
        </row>
        <row r="187">
          <cell r="A187" t="str">
            <v>XE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actory PPH Database"/>
      <sheetName val="List"/>
      <sheetName val="Sheet1"/>
      <sheetName val="Indo Recap"/>
      <sheetName val="Sheet3"/>
      <sheetName val="Sheet2"/>
    </sheetNames>
    <sheetDataSet>
      <sheetData sheetId="0" refreshError="1"/>
      <sheetData sheetId="1" refreshError="1"/>
      <sheetData sheetId="2">
        <row r="3">
          <cell r="A3" t="str">
            <v>VN</v>
          </cell>
          <cell r="B3" t="str">
            <v>Vietnam</v>
          </cell>
          <cell r="E3" t="str">
            <v>Full Run</v>
          </cell>
        </row>
        <row r="4">
          <cell r="B4" t="str">
            <v>Cambodia</v>
          </cell>
          <cell r="E4" t="str">
            <v>Ramp Up</v>
          </cell>
        </row>
        <row r="5">
          <cell r="B5" t="str">
            <v>China</v>
          </cell>
          <cell r="E5" t="str">
            <v>All</v>
          </cell>
        </row>
        <row r="6">
          <cell r="B6" t="str">
            <v>Indonesia</v>
          </cell>
          <cell r="E6">
            <v>0</v>
          </cell>
        </row>
        <row r="7">
          <cell r="B7">
            <v>0</v>
          </cell>
          <cell r="E7">
            <v>0</v>
          </cell>
        </row>
        <row r="8">
          <cell r="B8">
            <v>0</v>
          </cell>
          <cell r="E8">
            <v>0</v>
          </cell>
        </row>
        <row r="9">
          <cell r="B9">
            <v>0</v>
          </cell>
          <cell r="E9">
            <v>0</v>
          </cell>
        </row>
        <row r="10">
          <cell r="B10">
            <v>0</v>
          </cell>
          <cell r="E10">
            <v>0</v>
          </cell>
        </row>
        <row r="11">
          <cell r="B11">
            <v>0</v>
          </cell>
          <cell r="E11">
            <v>0</v>
          </cell>
        </row>
        <row r="12">
          <cell r="B12">
            <v>0</v>
          </cell>
          <cell r="E12">
            <v>0</v>
          </cell>
        </row>
        <row r="13">
          <cell r="B13">
            <v>0</v>
          </cell>
          <cell r="E13">
            <v>0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0</v>
          </cell>
        </row>
        <row r="16">
          <cell r="B16">
            <v>0</v>
          </cell>
          <cell r="E16">
            <v>0</v>
          </cell>
        </row>
        <row r="17">
          <cell r="B17">
            <v>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0</v>
          </cell>
          <cell r="E19">
            <v>0</v>
          </cell>
        </row>
        <row r="20">
          <cell r="B20">
            <v>0</v>
          </cell>
          <cell r="E20">
            <v>0</v>
          </cell>
        </row>
        <row r="21">
          <cell r="B21">
            <v>0</v>
          </cell>
          <cell r="E21">
            <v>0</v>
          </cell>
        </row>
        <row r="22">
          <cell r="B22">
            <v>0</v>
          </cell>
          <cell r="E22">
            <v>0</v>
          </cell>
        </row>
        <row r="23">
          <cell r="B23">
            <v>0</v>
          </cell>
          <cell r="E23">
            <v>0</v>
          </cell>
        </row>
        <row r="24">
          <cell r="B24">
            <v>0</v>
          </cell>
          <cell r="E24">
            <v>0</v>
          </cell>
        </row>
        <row r="25">
          <cell r="B25">
            <v>0</v>
          </cell>
          <cell r="E25">
            <v>0</v>
          </cell>
        </row>
        <row r="26">
          <cell r="B26">
            <v>0</v>
          </cell>
          <cell r="E26">
            <v>0</v>
          </cell>
        </row>
        <row r="27">
          <cell r="B27">
            <v>0</v>
          </cell>
          <cell r="E27">
            <v>0</v>
          </cell>
        </row>
        <row r="28">
          <cell r="B28">
            <v>0</v>
          </cell>
          <cell r="E28">
            <v>0</v>
          </cell>
        </row>
        <row r="29">
          <cell r="B29">
            <v>0</v>
          </cell>
          <cell r="E29">
            <v>0</v>
          </cell>
        </row>
        <row r="30">
          <cell r="B30">
            <v>0</v>
          </cell>
          <cell r="E30">
            <v>0</v>
          </cell>
        </row>
        <row r="31">
          <cell r="B31">
            <v>0</v>
          </cell>
          <cell r="E31">
            <v>0</v>
          </cell>
        </row>
        <row r="32">
          <cell r="B32">
            <v>0</v>
          </cell>
          <cell r="E32">
            <v>0</v>
          </cell>
        </row>
        <row r="33">
          <cell r="B33">
            <v>0</v>
          </cell>
          <cell r="E33">
            <v>0</v>
          </cell>
        </row>
        <row r="34">
          <cell r="B34">
            <v>0</v>
          </cell>
          <cell r="E34">
            <v>0</v>
          </cell>
        </row>
        <row r="35">
          <cell r="B35">
            <v>0</v>
          </cell>
          <cell r="E35">
            <v>0</v>
          </cell>
        </row>
        <row r="36">
          <cell r="B36">
            <v>0</v>
          </cell>
          <cell r="E36">
            <v>0</v>
          </cell>
        </row>
        <row r="37">
          <cell r="B37">
            <v>0</v>
          </cell>
          <cell r="E37">
            <v>0</v>
          </cell>
        </row>
        <row r="38">
          <cell r="B38">
            <v>0</v>
          </cell>
          <cell r="E38">
            <v>0</v>
          </cell>
        </row>
        <row r="39">
          <cell r="B39">
            <v>0</v>
          </cell>
          <cell r="E39">
            <v>0</v>
          </cell>
        </row>
        <row r="40">
          <cell r="B40">
            <v>0</v>
          </cell>
          <cell r="E40">
            <v>0</v>
          </cell>
        </row>
        <row r="41">
          <cell r="B41">
            <v>0</v>
          </cell>
          <cell r="E41">
            <v>0</v>
          </cell>
        </row>
        <row r="42">
          <cell r="B42">
            <v>0</v>
          </cell>
          <cell r="E42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actory PPH Database"/>
      <sheetName val="List"/>
      <sheetName val="Sheet1"/>
      <sheetName val="Indo Recap"/>
      <sheetName val="Sheet3"/>
      <sheetName val="Sheet2"/>
    </sheetNames>
    <sheetDataSet>
      <sheetData sheetId="0"/>
      <sheetData sheetId="1"/>
      <sheetData sheetId="2">
        <row r="3">
          <cell r="A3" t="str">
            <v>VN</v>
          </cell>
          <cell r="B3" t="str">
            <v>Vietnam</v>
          </cell>
          <cell r="E3" t="str">
            <v>Full Run</v>
          </cell>
        </row>
        <row r="4">
          <cell r="B4" t="str">
            <v>Cambodia</v>
          </cell>
          <cell r="E4" t="str">
            <v>Ramp Up</v>
          </cell>
        </row>
        <row r="5">
          <cell r="B5" t="str">
            <v>China</v>
          </cell>
          <cell r="E5" t="str">
            <v>All</v>
          </cell>
        </row>
        <row r="6">
          <cell r="B6" t="str">
            <v>Indonesia</v>
          </cell>
          <cell r="E6">
            <v>0</v>
          </cell>
        </row>
        <row r="7">
          <cell r="B7">
            <v>0</v>
          </cell>
          <cell r="E7">
            <v>0</v>
          </cell>
        </row>
        <row r="8">
          <cell r="B8">
            <v>0</v>
          </cell>
          <cell r="E8">
            <v>0</v>
          </cell>
        </row>
        <row r="9">
          <cell r="B9">
            <v>0</v>
          </cell>
          <cell r="E9">
            <v>0</v>
          </cell>
        </row>
        <row r="10">
          <cell r="B10">
            <v>0</v>
          </cell>
          <cell r="E10">
            <v>0</v>
          </cell>
        </row>
        <row r="11">
          <cell r="B11">
            <v>0</v>
          </cell>
          <cell r="E11">
            <v>0</v>
          </cell>
        </row>
        <row r="12">
          <cell r="B12">
            <v>0</v>
          </cell>
          <cell r="E12">
            <v>0</v>
          </cell>
        </row>
        <row r="13">
          <cell r="B13">
            <v>0</v>
          </cell>
          <cell r="E13">
            <v>0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0</v>
          </cell>
        </row>
        <row r="16">
          <cell r="B16">
            <v>0</v>
          </cell>
          <cell r="E16">
            <v>0</v>
          </cell>
        </row>
        <row r="17">
          <cell r="B17">
            <v>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0</v>
          </cell>
          <cell r="E19">
            <v>0</v>
          </cell>
        </row>
        <row r="20">
          <cell r="B20">
            <v>0</v>
          </cell>
          <cell r="E20">
            <v>0</v>
          </cell>
        </row>
        <row r="21">
          <cell r="B21">
            <v>0</v>
          </cell>
          <cell r="E21">
            <v>0</v>
          </cell>
        </row>
        <row r="22">
          <cell r="B22">
            <v>0</v>
          </cell>
          <cell r="E22">
            <v>0</v>
          </cell>
        </row>
        <row r="23">
          <cell r="B23">
            <v>0</v>
          </cell>
          <cell r="E23">
            <v>0</v>
          </cell>
        </row>
        <row r="24">
          <cell r="B24">
            <v>0</v>
          </cell>
          <cell r="E24">
            <v>0</v>
          </cell>
        </row>
        <row r="25">
          <cell r="B25">
            <v>0</v>
          </cell>
          <cell r="E25">
            <v>0</v>
          </cell>
        </row>
        <row r="26">
          <cell r="B26">
            <v>0</v>
          </cell>
          <cell r="E26">
            <v>0</v>
          </cell>
        </row>
        <row r="27">
          <cell r="B27">
            <v>0</v>
          </cell>
          <cell r="E27">
            <v>0</v>
          </cell>
        </row>
        <row r="28">
          <cell r="B28">
            <v>0</v>
          </cell>
          <cell r="E28">
            <v>0</v>
          </cell>
        </row>
        <row r="29">
          <cell r="B29">
            <v>0</v>
          </cell>
          <cell r="E29">
            <v>0</v>
          </cell>
        </row>
        <row r="30">
          <cell r="B30">
            <v>0</v>
          </cell>
          <cell r="E30">
            <v>0</v>
          </cell>
        </row>
        <row r="31">
          <cell r="B31">
            <v>0</v>
          </cell>
          <cell r="E31">
            <v>0</v>
          </cell>
        </row>
        <row r="32">
          <cell r="B32">
            <v>0</v>
          </cell>
          <cell r="E32">
            <v>0</v>
          </cell>
        </row>
        <row r="33">
          <cell r="B33">
            <v>0</v>
          </cell>
          <cell r="E33">
            <v>0</v>
          </cell>
        </row>
        <row r="34">
          <cell r="B34">
            <v>0</v>
          </cell>
          <cell r="E34">
            <v>0</v>
          </cell>
        </row>
        <row r="35">
          <cell r="B35">
            <v>0</v>
          </cell>
          <cell r="E35">
            <v>0</v>
          </cell>
        </row>
        <row r="36">
          <cell r="B36">
            <v>0</v>
          </cell>
          <cell r="E36">
            <v>0</v>
          </cell>
        </row>
        <row r="37">
          <cell r="B37">
            <v>0</v>
          </cell>
          <cell r="E37">
            <v>0</v>
          </cell>
        </row>
        <row r="38">
          <cell r="B38">
            <v>0</v>
          </cell>
          <cell r="E38">
            <v>0</v>
          </cell>
        </row>
        <row r="39">
          <cell r="B39">
            <v>0</v>
          </cell>
          <cell r="E39">
            <v>0</v>
          </cell>
        </row>
        <row r="40">
          <cell r="B40">
            <v>0</v>
          </cell>
          <cell r="E40">
            <v>0</v>
          </cell>
        </row>
        <row r="41">
          <cell r="B41">
            <v>0</v>
          </cell>
          <cell r="E41">
            <v>0</v>
          </cell>
        </row>
        <row r="42">
          <cell r="B42">
            <v>0</v>
          </cell>
          <cell r="E42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Ose-Jan.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ver "/>
      <sheetName val="Index"/>
      <sheetName val="Cutting"/>
      <sheetName val="Cutting (2)"/>
      <sheetName val="Cutting (3)"/>
      <sheetName val="Molding Piece Schedule"/>
      <sheetName val="Logo Specification"/>
      <sheetName val="Upper Injected Component Pr"/>
      <sheetName val="Upper Molded Component Proc."/>
      <sheetName val="Upper Molded Component Proc (2)"/>
      <sheetName val="Upper HF Welding Proc. Spec"/>
      <sheetName val="Upper HF Welding Proc. Spec (2)"/>
      <sheetName val="Strap Specification"/>
      <sheetName val="Reinforcement Placement"/>
      <sheetName val="Reinforcement Placement (2)"/>
      <sheetName val="Skiving Instruction"/>
      <sheetName val="Marking Location"/>
      <sheetName val="Marking Location (2)"/>
      <sheetName val="Computer Stitching Schedule (2)"/>
      <sheetName val="Stitching Overview Sketch"/>
      <sheetName val="Stitching Instruction(1)"/>
      <sheetName val="Stitching Instruction(2)"/>
      <sheetName val="Stitching Instruction (3)"/>
      <sheetName val="Stitching Instruction (4)"/>
      <sheetName val="Stitching Instruction (5)"/>
      <sheetName val="Stitching Instruction (6)"/>
      <sheetName val="Stitching Instruction (7)"/>
      <sheetName val="CMP Midsole Spec."/>
      <sheetName val="PU Midsole Spec."/>
      <sheetName val="Sole injected component Spec. "/>
      <sheetName val="Sole Injected Component Pro(2)"/>
      <sheetName val="Outsole Color Schedule"/>
      <sheetName val="Outsole Preform Specification"/>
      <sheetName val="Outsole Pressing Process"/>
      <sheetName val="Sockliner Specification"/>
      <sheetName val="1st Stockfit "/>
      <sheetName val="2nd Stockfit"/>
      <sheetName val="1st Assembly"/>
      <sheetName val="2nd Assembly "/>
      <sheetName val="Stock Fitting Process"/>
      <sheetName val="Assembling Process (1)"/>
      <sheetName val="Assembling Process(2)"/>
      <sheetName val="Production Checklist"/>
      <sheetName val="Upper Measurement Spec."/>
      <sheetName val="Material SpecificationsWO "/>
      <sheetName val="Material Specifications ME"/>
      <sheetName val="Sheet1"/>
      <sheetName val="Cover"/>
      <sheetName val="Logo Specification (2)"/>
      <sheetName val="Upper HF Welding Proc. Spec (3)"/>
      <sheetName val="Sockliner Sublimation Process"/>
      <sheetName val="Upper Injected Component Proc."/>
      <sheetName val="Stitching Instruction"/>
      <sheetName val="Stitching Instruction (2)"/>
      <sheetName val="Phylon Midsole Spec."/>
      <sheetName val="PHYLON CSS CONFIRMATION "/>
      <sheetName val="PU CSS SCHEDULES (3)"/>
      <sheetName val="PU CSS CONFIRMATION "/>
      <sheetName val="OS Molded Component Proc. "/>
      <sheetName val="Sole Injected Spec "/>
      <sheetName val="Stockfit  "/>
      <sheetName val="Stockfit (2)"/>
      <sheetName val="Assembly "/>
      <sheetName val="Stock Fitting Process  "/>
      <sheetName val="Assembling Process"/>
      <sheetName val="관리표지 "/>
      <sheetName val="QSM목표 "/>
      <sheetName val="관리항목"/>
      <sheetName val="1.소일정"/>
      <sheetName val="2.Check-list"/>
      <sheetName val="3.시화 점검표"/>
      <sheetName val="인원기계분석 "/>
      <sheetName val="재단분석 "/>
      <sheetName val="공정도"/>
      <sheetName val="재봉공정분석"/>
      <sheetName val="시간관측용지-재봉"/>
      <sheetName val="재봉LOB0327"/>
      <sheetName val="5,재봉Lay-out 0327  (2)"/>
      <sheetName val="시간관측용지-준비"/>
      <sheetName val="준비1차LOB"/>
      <sheetName val="준비 표준Layout"/>
      <sheetName val="준비표준LOB "/>
      <sheetName val="시간관측용지-제조"/>
      <sheetName val="5,제조Lay-out "/>
      <sheetName val="제조표준한글LOB  (2)"/>
      <sheetName val="제조표준 중문LOB "/>
      <sheetName val="14.초기생산추이도13"/>
      <sheetName val="재봉공정분석 0402"/>
      <sheetName val="Cutting Dies "/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  <sheetName val="Sh%et2"/>
      <sheetName val="MTP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2"/>
      <sheetName val="T3"/>
      <sheetName val="T4"/>
      <sheetName val="T5"/>
      <sheetName val="THop"/>
      <sheetName val="THKD"/>
      <sheetName val="00000000"/>
      <sheetName val="10000000"/>
      <sheetName val="20000000"/>
      <sheetName val="30000000"/>
      <sheetName val="40000000"/>
      <sheetName val="50000000"/>
      <sheetName val="60000000"/>
      <sheetName val="Dinh muc du toan"/>
      <sheetName val="Config"/>
      <sheetName val="AutoClose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Sheet7"/>
      <sheetName val="Sheet8"/>
      <sheetName val="Sheet9"/>
      <sheetName val="TH An ca"/>
      <sheetName val="XN SL An ca"/>
      <sheetName val="Dang ky an ca"/>
      <sheetName val="Dang ky an ca T2"/>
      <sheetName val="XL4Test5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_x0000__x0000__x0000__x0000__x0000__x0000__x0000__x0000_"/>
      <sheetName val="Bonding test "/>
      <sheetName val="Bonding test  (2)"/>
      <sheetName val="Finished shoe "/>
      <sheetName val="Finished shoe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Air Bag &amp; Prefit Bonding PFC"/>
      <sheetName val="Stockfit Bonding"/>
      <sheetName val="Assembly Bonding PFC"/>
      <sheetName val="Back Part Molding Spec."/>
      <sheetName val="Back Count Process Spec"/>
      <sheetName val="Assembling Process"/>
      <sheetName val="Sockliner"/>
      <sheetName val="Production Checklist"/>
      <sheetName val="Upper Measurement Spec"/>
      <sheetName val="heso"/>
      <sheetName val="Sheet1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Air_Bag_&amp;_Prefit_Bonding_PFC"/>
      <sheetName val="Stockfit_Bonding"/>
      <sheetName val="Assembly_Bonding_PFC"/>
      <sheetName val="Back_Part_Molding_Spec_"/>
      <sheetName val="Back_Count_Process_Spec"/>
      <sheetName val="Assembling_Process"/>
      <sheetName val="Production_Checklist"/>
      <sheetName val="Upper_Measurement_Spec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Air_Bag_&amp;_Prefit_Bonding_PFC1"/>
      <sheetName val="Stockfit_Bonding1"/>
      <sheetName val="Assembly_Bonding_PFC1"/>
      <sheetName val="Back_Part_Molding_Spec_1"/>
      <sheetName val="Back_Count_Process_Spec1"/>
      <sheetName val="Assembling_Process1"/>
      <sheetName val="Production_Checklist1"/>
      <sheetName val="Upper_Measurement_Spec1"/>
      <sheetName val="302315-161 2"/>
      <sheetName val="#REF!"/>
      <sheetName val="Cutting Dies 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 (2)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#REF"/>
      <sheetName val="Outsole Degreaࡳing Process"/>
      <sheetName val="K2"/>
      <sheetName val="Raw Data Sheet"/>
      <sheetName val="내수1.8GL"/>
      <sheetName val="비교원RD-S"/>
      <sheetName val="obs1"/>
      <sheetName val="IBASE"/>
      <sheetName val="Sum"/>
      <sheetName val="Sheet1 (2)"/>
      <sheetName val="A.TERRA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Air_Bag_&amp;_Prefit_Bonding_PFC2"/>
      <sheetName val="Stockfit_Bonding2"/>
      <sheetName val="Assembly_Bonding_PFC2"/>
      <sheetName val="Back_Part_Molding_Spec_2"/>
      <sheetName val="Back_Count_Process_Spec2"/>
      <sheetName val="Assembling_Process2"/>
      <sheetName val="Production_Checklist2"/>
      <sheetName val="Upper_Measurement_Spec2"/>
      <sheetName val="302315-161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Air Bag &amp; Prefit Bonding PFC"/>
      <sheetName val="Stockfit Bonding"/>
      <sheetName val="Assembly Bonding PFC"/>
      <sheetName val="Back Part Molding Spec."/>
      <sheetName val="Back Count Process Spec"/>
      <sheetName val="Assembling Process"/>
      <sheetName val="Sockliner"/>
      <sheetName val="Production Checklist"/>
      <sheetName val="Upper Measurement Spec"/>
      <sheetName val="heso"/>
      <sheetName val="Sheet1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Air_Bag_&amp;_Prefit_Bonding_PFC"/>
      <sheetName val="Stockfit_Bonding"/>
      <sheetName val="Assembly_Bonding_PFC"/>
      <sheetName val="Back_Part_Molding_Spec_"/>
      <sheetName val="Back_Count_Process_Spec"/>
      <sheetName val="Assembling_Process"/>
      <sheetName val="Production_Checklist"/>
      <sheetName val="Upper_Measurement_Spec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Air_Bag_&amp;_Prefit_Bonding_PFC1"/>
      <sheetName val="Stockfit_Bonding1"/>
      <sheetName val="Assembly_Bonding_PFC1"/>
      <sheetName val="Back_Part_Molding_Spec_1"/>
      <sheetName val="Back_Count_Process_Spec1"/>
      <sheetName val="Assembling_Process1"/>
      <sheetName val="Production_Checklist1"/>
      <sheetName val="Upper_Measurement_Spec1"/>
      <sheetName val="302315-161 2"/>
      <sheetName val="#REF!"/>
      <sheetName val="Cutting Dies 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 (2)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#REF"/>
      <sheetName val="Outsole Degreaࡳing Process"/>
      <sheetName val="K2"/>
      <sheetName val="Raw Data Sheet"/>
      <sheetName val="내수1.8GL"/>
      <sheetName val="비교원RD-S"/>
      <sheetName val="obs1"/>
      <sheetName val="IBASE"/>
      <sheetName val="Sum"/>
      <sheetName val="Sheet1 (2)"/>
      <sheetName val="A.TERRA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Air_Bag_&amp;_Prefit_Bonding_PFC2"/>
      <sheetName val="Stockfit_Bonding2"/>
      <sheetName val="Assembly_Bonding_PFC2"/>
      <sheetName val="Back_Part_Molding_Spec_2"/>
      <sheetName val="Back_Count_Process_Spec2"/>
      <sheetName val="Assembling_Process2"/>
      <sheetName val="Production_Checklist2"/>
      <sheetName val="Upper_Measurement_Spec2"/>
      <sheetName val="302315-161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DGIA"/>
      <sheetName val="TT"/>
      <sheetName val="Tables"/>
      <sheetName val="heso"/>
      <sheetName val="피유.프레스"/>
      <sheetName val="Sum"/>
      <sheetName val="DropDown"/>
      <sheetName val="Sheet1"/>
      <sheetName val="DropDownlists"/>
    </sheetNames>
    <definedNames>
      <definedName name="dhghfghfghfhsf"/>
      <definedName name="fghfghsghsfghsfghsfgh"/>
      <definedName name="midsole"/>
      <definedName name="옵션"/>
      <definedName name="원재료"/>
      <definedName name="은성"/>
      <definedName name="ㅈㅈㅈㅈㅈㅈ"/>
      <definedName name="참조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L CORRECT (2)"/>
      <sheetName val="CT for  (2)"/>
      <sheetName val="weight 1"/>
      <sheetName val="weight2"/>
      <sheetName val="weight 3"/>
      <sheetName val="weight 4"/>
      <sheetName val="weight5"/>
      <sheetName val="weight6"/>
      <sheetName val="weigth7"/>
      <sheetName val="ASSAILLT.GRAPHITE (2)"/>
      <sheetName val="Sheet1"/>
      <sheetName val="Mold Efficiency Form"/>
      <sheetName val="BMN405"/>
      <sheetName val="PU (SPRAY AIR BAG)"/>
      <sheetName val="Shox NZ"/>
      <sheetName val=" Wedge "/>
      <sheetName val="Copy of plan 05-13 by sea"/>
      <sheetName val="DGIA"/>
      <sheetName val="TT"/>
      <sheetName val="Tables"/>
      <sheetName val="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第一周"/>
      <sheetName val="第二周"/>
      <sheetName val="第三周"/>
      <sheetName val="第四周"/>
      <sheetName val="9.11 "/>
      <sheetName val="BMN405"/>
      <sheetName val="Sheet2"/>
      <sheetName val="Sheet1 (2)"/>
    </sheetNames>
    <definedNames>
      <definedName name="DSAFGH" refersTo="#REF!" sheetId="4"/>
      <definedName name="SFGH" refersTo="#REF!" sheetId="4"/>
      <definedName name="SGCBB" refersTo="#REF!" sheetId="4"/>
      <definedName name="UIGHFUI" refersTo="#REF!" sheetId="4"/>
      <definedName name="XZCVX" refersTo="#REF!" sheetId="4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5.???????"/>
      <sheetName val="Cutting Dies "/>
      <sheetName val="Raw Data Sheet"/>
      <sheetName val="overall_total os"/>
      <sheetName val="SHOX REMID II"/>
      <sheetName val="BOLD SISTER-STRONG SISTER -TOR6"/>
      <sheetName val="SHOX NAVINA , SHOX REVEAL"/>
      <sheetName val="5._______"/>
      <sheetName val="3.I-Prefit Stitching"/>
      <sheetName val="IP ( Spray )"/>
      <sheetName val="Injection Phylon Process"/>
      <sheetName val="Sum"/>
      <sheetName val="Marking Location(1)"/>
      <sheetName val="Reinforcement Placement 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5_수정데이터통합"/>
      <sheetName val="Raw_Data_Sheet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MESIN"/>
      <sheetName val="5_수정데이터통합1"/>
      <sheetName val="Raw_Data_Sheet1"/>
      <sheetName val="Material"/>
      <sheetName val="BANGSDDK"/>
      <sheetName val="CAN DOI CHITIET"/>
      <sheetName val="_削薄處指示說明_(4)7"/>
      <sheetName val="_x0000__x0000__x005"/>
      <sheetName val="ANLCTY01-02.XLS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ANLCTY01-02_XLS"/>
      <sheetName val="Spray_Turbulence_162"/>
      <sheetName val="(Motion)_Stitching2"/>
      <sheetName val="Stitching_Instruction_(7)1"/>
      <sheetName val="Assembly_Line_Layo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Sheet1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heet1"/>
      <sheetName val="Material name"/>
      <sheetName val="#REF"/>
      <sheetName val="Mold Efficiency Form"/>
      <sheetName val="Tables"/>
      <sheetName val="Cutting Dies 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(1)"/>
      <sheetName val="Cutting (2)"/>
      <sheetName val="Molding Piece Schedule"/>
      <sheetName val="Cutting Dies "/>
      <sheetName val="BTRSS"/>
      <sheetName val="Cutting_(2)"/>
      <sheetName val="Molding_Piece_Schedule"/>
      <sheetName val="Cutting_Dies_"/>
      <sheetName val="Cutting_(2)1"/>
      <sheetName val="Molding_Piece_Schedule1"/>
      <sheetName val="Cutting_Dies_1"/>
      <sheetName val="overt4 한글발형"/>
      <sheetName val="MX assmb 1"/>
      <sheetName val="Cutting_(2)2"/>
      <sheetName val="Molding_Piece_Schedule2"/>
      <sheetName val="Cutting_Dies_2"/>
      <sheetName val="Perhitungan Jamin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Fty-Category"/>
      <sheetName val="Look Up"/>
      <sheetName val="Sheet1"/>
      <sheetName val="Fty list"/>
      <sheetName val="drawdownlist"/>
      <sheetName val="Sheet2"/>
      <sheetName val="k2"/>
      <sheetName val="FtyLO Development KPI_SS10CR2_F"/>
    </sheetNames>
    <sheetDataSet>
      <sheetData sheetId="0"/>
      <sheetData sheetId="1"/>
      <sheetData sheetId="2">
        <row r="2">
          <cell r="D2" t="str">
            <v>Pls Select</v>
          </cell>
          <cell r="E2" t="str">
            <v>Pls Select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J3">
            <v>0</v>
          </cell>
        </row>
        <row r="4">
          <cell r="D4" t="str">
            <v>FW</v>
          </cell>
          <cell r="E4">
            <v>2010</v>
          </cell>
          <cell r="J4">
            <v>0</v>
          </cell>
        </row>
        <row r="5">
          <cell r="E5">
            <v>2011</v>
          </cell>
          <cell r="J5">
            <v>0</v>
          </cell>
        </row>
        <row r="6">
          <cell r="E6">
            <v>2012</v>
          </cell>
          <cell r="J6">
            <v>0</v>
          </cell>
        </row>
        <row r="7">
          <cell r="E7">
            <v>2013</v>
          </cell>
          <cell r="J7">
            <v>0</v>
          </cell>
        </row>
        <row r="8">
          <cell r="E8">
            <v>2014</v>
          </cell>
          <cell r="J8">
            <v>0</v>
          </cell>
        </row>
        <row r="9">
          <cell r="E9">
            <v>2015</v>
          </cell>
          <cell r="J9">
            <v>0</v>
          </cell>
        </row>
        <row r="10">
          <cell r="E10">
            <v>2016</v>
          </cell>
          <cell r="J10">
            <v>0</v>
          </cell>
        </row>
        <row r="11">
          <cell r="E11">
            <v>2017</v>
          </cell>
          <cell r="J11">
            <v>0</v>
          </cell>
        </row>
        <row r="12">
          <cell r="E12">
            <v>2018</v>
          </cell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Plan Data"/>
      <sheetName val="Key Territory Details"/>
      <sheetName val="Geography Details"/>
      <sheetName val="History Data"/>
      <sheetName val="Drop Down Values"/>
      <sheetName val="Summary"/>
      <sheetName val="Tables"/>
      <sheetName val="Line_Plan_Data"/>
      <sheetName val="Key_Territory_Details"/>
      <sheetName val="Geography_Details"/>
      <sheetName val="History_Data"/>
      <sheetName val="Drop_Down_Values"/>
      <sheetName val="RESULT"/>
      <sheetName val="Lineplandata"/>
      <sheetName val="Line_Plan_Data1"/>
      <sheetName val="Key_Territory_Details1"/>
      <sheetName val="Geography_Details1"/>
      <sheetName val="History_Data1"/>
      <sheetName val="Drop_Down_Values1"/>
      <sheetName val="DropDown"/>
    </sheetNames>
    <sheetDataSet>
      <sheetData sheetId="0"/>
      <sheetData sheetId="1"/>
      <sheetData sheetId="2"/>
      <sheetData sheetId="3"/>
      <sheetData sheetId="4">
        <row r="2">
          <cell r="A2" t="str">
            <v>HO11</v>
          </cell>
          <cell r="B2" t="str">
            <v>ACTION SPORTS</v>
          </cell>
          <cell r="C2" t="str">
            <v>ACTION SPORTS</v>
          </cell>
          <cell r="D2" t="str">
            <v>ACTION SPORTS</v>
          </cell>
          <cell r="E2" t="str">
            <v>MENS</v>
          </cell>
          <cell r="F2" t="str">
            <v>ACG</v>
          </cell>
          <cell r="G2" t="str">
            <v>BRONZE</v>
          </cell>
          <cell r="H2" t="str">
            <v>1-NA</v>
          </cell>
          <cell r="I2" t="str">
            <v>A+</v>
          </cell>
          <cell r="K2" t="str">
            <v>VALUE</v>
          </cell>
          <cell r="L2" t="str">
            <v>LOW TOP</v>
          </cell>
          <cell r="M2" t="str">
            <v>FJ</v>
          </cell>
          <cell r="N2" t="str">
            <v>DS</v>
          </cell>
          <cell r="O2" t="str">
            <v>FEMALE</v>
          </cell>
          <cell r="P2" t="str">
            <v>ADULT</v>
          </cell>
          <cell r="R2" t="str">
            <v>FLYWIRE</v>
          </cell>
        </row>
        <row r="3">
          <cell r="B3" t="str">
            <v>ATHLETIC TRAINING</v>
          </cell>
          <cell r="C3" t="str">
            <v>CORE PERFORMANCE</v>
          </cell>
          <cell r="D3" t="str">
            <v>ATHLETIC TRAINING</v>
          </cell>
          <cell r="E3" t="str">
            <v>WMNS</v>
          </cell>
          <cell r="F3" t="str">
            <v>ADVANCED PROJECTS</v>
          </cell>
          <cell r="G3" t="str">
            <v>SILVER</v>
          </cell>
          <cell r="H3" t="str">
            <v>AIR SHOX</v>
          </cell>
          <cell r="I3" t="str">
            <v>A</v>
          </cell>
          <cell r="K3" t="str">
            <v>GOOD</v>
          </cell>
          <cell r="L3" t="str">
            <v>3/4 HIGH</v>
          </cell>
          <cell r="M3" t="str">
            <v>FS</v>
          </cell>
          <cell r="N3" t="str">
            <v>FJ</v>
          </cell>
          <cell r="O3" t="str">
            <v>MALE</v>
          </cell>
          <cell r="P3" t="str">
            <v>GRADE SCHOOL</v>
          </cell>
          <cell r="R3" t="str">
            <v>FUSE</v>
          </cell>
        </row>
        <row r="4">
          <cell r="B4" t="str">
            <v>BASKETBALL</v>
          </cell>
          <cell r="C4" t="str">
            <v>GOLF</v>
          </cell>
          <cell r="D4" t="str">
            <v>BASKETBALL</v>
          </cell>
          <cell r="E4" t="str">
            <v>UNISEX</v>
          </cell>
          <cell r="F4" t="str">
            <v>ATHLETICS</v>
          </cell>
          <cell r="G4" t="str">
            <v>GOLD</v>
          </cell>
          <cell r="H4" t="str">
            <v>AUTOCLAVE</v>
          </cell>
          <cell r="I4" t="str">
            <v>A-</v>
          </cell>
          <cell r="K4" t="str">
            <v>BETTER</v>
          </cell>
          <cell r="L4" t="str">
            <v>HIGH TOP</v>
          </cell>
          <cell r="M4" t="str">
            <v>IA</v>
          </cell>
          <cell r="N4" t="str">
            <v>FS</v>
          </cell>
          <cell r="O4" t="str">
            <v>NOT APPLICABLE</v>
          </cell>
          <cell r="P4" t="str">
            <v>PRE SCHOOL</v>
          </cell>
          <cell r="R4" t="str">
            <v>NA</v>
          </cell>
        </row>
        <row r="5">
          <cell r="B5" t="str">
            <v>FOOTBALL/SOCCER</v>
          </cell>
          <cell r="C5" t="str">
            <v>JORDAN</v>
          </cell>
          <cell r="D5" t="str">
            <v>CLEATED</v>
          </cell>
          <cell r="E5" t="str">
            <v>BOYS GS</v>
          </cell>
          <cell r="F5" t="str">
            <v>BAS</v>
          </cell>
          <cell r="G5" t="str">
            <v>NA</v>
          </cell>
          <cell r="H5" t="str">
            <v>CUPSOLE</v>
          </cell>
          <cell r="I5" t="str">
            <v>B+</v>
          </cell>
          <cell r="K5" t="str">
            <v>BEST</v>
          </cell>
          <cell r="L5">
            <v>0</v>
          </cell>
          <cell r="M5" t="str">
            <v>IM</v>
          </cell>
          <cell r="N5" t="str">
            <v>FT</v>
          </cell>
          <cell r="O5" t="str">
            <v>UNISEX</v>
          </cell>
          <cell r="P5" t="str">
            <v>TODDLER</v>
          </cell>
        </row>
        <row r="6">
          <cell r="B6" t="str">
            <v>GOLF</v>
          </cell>
          <cell r="C6" t="str">
            <v>OTHER</v>
          </cell>
          <cell r="D6" t="str">
            <v>GOLF</v>
          </cell>
          <cell r="E6" t="str">
            <v>BOYS PS</v>
          </cell>
          <cell r="F6" t="str">
            <v>BASEBALL/SOFTBALL</v>
          </cell>
          <cell r="G6">
            <v>0</v>
          </cell>
          <cell r="H6" t="str">
            <v>D SERIES</v>
          </cell>
          <cell r="I6" t="str">
            <v>B</v>
          </cell>
          <cell r="K6" t="str">
            <v>PINNACLE</v>
          </cell>
          <cell r="L6">
            <v>0</v>
          </cell>
          <cell r="M6" t="str">
            <v>IR</v>
          </cell>
          <cell r="N6" t="str">
            <v>IA</v>
          </cell>
        </row>
        <row r="7">
          <cell r="B7" t="str">
            <v>JORDAN</v>
          </cell>
          <cell r="C7" t="str">
            <v>SPECIAL PROJECTS</v>
          </cell>
          <cell r="D7" t="str">
            <v>ICON</v>
          </cell>
          <cell r="E7" t="str">
            <v>BOYS TD</v>
          </cell>
          <cell r="F7" t="str">
            <v>BASKETBALL</v>
          </cell>
          <cell r="G7">
            <v>0</v>
          </cell>
          <cell r="H7" t="str">
            <v>ENCAP</v>
          </cell>
          <cell r="I7" t="str">
            <v>B-</v>
          </cell>
          <cell r="K7">
            <v>0</v>
          </cell>
          <cell r="L7">
            <v>0</v>
          </cell>
          <cell r="M7" t="str">
            <v>IW</v>
          </cell>
          <cell r="N7" t="str">
            <v>IM</v>
          </cell>
        </row>
        <row r="8">
          <cell r="B8" t="str">
            <v>RUNNING</v>
          </cell>
          <cell r="C8" t="str">
            <v>SPORT PERFORMANCE</v>
          </cell>
          <cell r="D8" t="str">
            <v>INDIE</v>
          </cell>
          <cell r="E8" t="str">
            <v>GIRLS GS</v>
          </cell>
          <cell r="F8" t="str">
            <v>CHEERLEADING</v>
          </cell>
          <cell r="G8">
            <v>0</v>
          </cell>
          <cell r="H8" t="str">
            <v>FREE</v>
          </cell>
          <cell r="I8" t="str">
            <v>C+</v>
          </cell>
          <cell r="K8">
            <v>0</v>
          </cell>
          <cell r="L8">
            <v>0</v>
          </cell>
          <cell r="M8" t="str">
            <v>IY</v>
          </cell>
          <cell r="N8" t="str">
            <v>IR</v>
          </cell>
        </row>
        <row r="9">
          <cell r="B9" t="str">
            <v>SPORTSWEAR</v>
          </cell>
          <cell r="C9" t="str">
            <v>SPORTSWEAR</v>
          </cell>
          <cell r="D9" t="str">
            <v>INDOOR COURT</v>
          </cell>
          <cell r="E9" t="str">
            <v>GIRLS PS</v>
          </cell>
          <cell r="F9" t="str">
            <v>COURT</v>
          </cell>
          <cell r="G9">
            <v>0</v>
          </cell>
          <cell r="H9" t="str">
            <v>IMPAX</v>
          </cell>
          <cell r="I9" t="str">
            <v>C</v>
          </cell>
          <cell r="K9">
            <v>0</v>
          </cell>
          <cell r="L9">
            <v>0</v>
          </cell>
          <cell r="M9" t="str">
            <v>JC</v>
          </cell>
          <cell r="N9" t="str">
            <v>MD</v>
          </cell>
        </row>
        <row r="10">
          <cell r="B10" t="str">
            <v>TENNIS</v>
          </cell>
          <cell r="C10" t="str">
            <v>YOUNG ATHLETES</v>
          </cell>
          <cell r="D10" t="str">
            <v>JORDAN LIFESTYLE</v>
          </cell>
          <cell r="E10" t="str">
            <v>GIRLS TD</v>
          </cell>
          <cell r="F10" t="str">
            <v>CYCLING</v>
          </cell>
          <cell r="G10">
            <v>0</v>
          </cell>
          <cell r="H10" t="str">
            <v>LUNAR</v>
          </cell>
          <cell r="I10" t="str">
            <v>C-</v>
          </cell>
          <cell r="K10">
            <v>0</v>
          </cell>
          <cell r="L10">
            <v>0</v>
          </cell>
          <cell r="M10" t="str">
            <v>LG</v>
          </cell>
          <cell r="N10" t="str">
            <v>MX</v>
          </cell>
        </row>
        <row r="11">
          <cell r="B11" t="str">
            <v>WOMEN'S TRAINING</v>
          </cell>
          <cell r="C11">
            <v>0</v>
          </cell>
          <cell r="D11" t="str">
            <v>JORDAN SPORT</v>
          </cell>
          <cell r="E11" t="str">
            <v>UNISEX GS</v>
          </cell>
          <cell r="F11" t="str">
            <v>DANCE</v>
          </cell>
          <cell r="G11">
            <v>0</v>
          </cell>
          <cell r="H11" t="str">
            <v>MAX 180</v>
          </cell>
          <cell r="I11" t="str">
            <v>D+</v>
          </cell>
          <cell r="K11">
            <v>0</v>
          </cell>
          <cell r="L11">
            <v>0</v>
          </cell>
          <cell r="M11" t="str">
            <v>LN</v>
          </cell>
          <cell r="N11" t="str">
            <v>PC</v>
          </cell>
        </row>
        <row r="12">
          <cell r="B12" t="str">
            <v>YOUNG ATHLETES</v>
          </cell>
          <cell r="C12">
            <v>0</v>
          </cell>
          <cell r="D12" t="str">
            <v>KIDS PERFORMANCE</v>
          </cell>
          <cell r="E12" t="str">
            <v>UNISEX PS</v>
          </cell>
          <cell r="F12" t="str">
            <v>FIELD MULTIPURPOSE</v>
          </cell>
          <cell r="G12">
            <v>0</v>
          </cell>
          <cell r="H12" t="str">
            <v>MAX 360</v>
          </cell>
          <cell r="I12" t="str">
            <v>D</v>
          </cell>
          <cell r="K12">
            <v>0</v>
          </cell>
          <cell r="L12">
            <v>0</v>
          </cell>
          <cell r="M12" t="str">
            <v>LU</v>
          </cell>
          <cell r="N12" t="str">
            <v>SF</v>
          </cell>
        </row>
        <row r="13">
          <cell r="D13" t="str">
            <v>KIDS SPORTSWEAR</v>
          </cell>
          <cell r="E13" t="str">
            <v>UNISEX TD</v>
          </cell>
          <cell r="F13" t="str">
            <v>FOOTBALL</v>
          </cell>
          <cell r="G13">
            <v>0</v>
          </cell>
          <cell r="H13" t="str">
            <v>MAX AIR</v>
          </cell>
          <cell r="I13" t="str">
            <v>D-</v>
          </cell>
          <cell r="K13">
            <v>0</v>
          </cell>
          <cell r="L13">
            <v>0</v>
          </cell>
          <cell r="M13" t="str">
            <v>MD</v>
          </cell>
          <cell r="N13" t="str">
            <v>SZ</v>
          </cell>
        </row>
        <row r="14">
          <cell r="D14" t="str">
            <v>METRO</v>
          </cell>
          <cell r="E14" t="str">
            <v>YOUTH</v>
          </cell>
          <cell r="F14" t="str">
            <v>GOLF</v>
          </cell>
          <cell r="G14">
            <v>0</v>
          </cell>
          <cell r="H14" t="str">
            <v>PLATED</v>
          </cell>
          <cell r="I14" t="str">
            <v>F+</v>
          </cell>
          <cell r="K14">
            <v>0</v>
          </cell>
          <cell r="L14">
            <v>0</v>
          </cell>
          <cell r="M14" t="str">
            <v>MX</v>
          </cell>
          <cell r="N14" t="str">
            <v>T2</v>
          </cell>
        </row>
        <row r="15">
          <cell r="D15" t="str">
            <v>OLYMPIC SPORTS</v>
          </cell>
          <cell r="E15" t="str">
            <v>KIDS</v>
          </cell>
          <cell r="F15" t="str">
            <v>INCUB8</v>
          </cell>
          <cell r="G15">
            <v>0</v>
          </cell>
          <cell r="H15" t="str">
            <v>RAMP AIR</v>
          </cell>
          <cell r="I15" t="str">
            <v>F</v>
          </cell>
          <cell r="K15">
            <v>0</v>
          </cell>
          <cell r="L15">
            <v>0</v>
          </cell>
          <cell r="M15" t="str">
            <v>PC</v>
          </cell>
          <cell r="N15" t="str">
            <v>VH</v>
          </cell>
        </row>
        <row r="16">
          <cell r="D16" t="str">
            <v>OTHER</v>
          </cell>
          <cell r="E16">
            <v>0</v>
          </cell>
          <cell r="F16" t="str">
            <v>INDIE</v>
          </cell>
          <cell r="G16">
            <v>0</v>
          </cell>
          <cell r="H16" t="str">
            <v>REAX</v>
          </cell>
          <cell r="I16" t="str">
            <v>F-</v>
          </cell>
          <cell r="K16">
            <v>0</v>
          </cell>
          <cell r="L16">
            <v>0</v>
          </cell>
          <cell r="M16" t="str">
            <v>QD</v>
          </cell>
          <cell r="N16" t="str">
            <v>VJ</v>
          </cell>
        </row>
        <row r="17">
          <cell r="D17" t="str">
            <v>RUNNING</v>
          </cell>
          <cell r="E17">
            <v>0</v>
          </cell>
          <cell r="F17" t="str">
            <v>INDOOR</v>
          </cell>
          <cell r="G17">
            <v>0</v>
          </cell>
          <cell r="H17" t="str">
            <v>SHOX</v>
          </cell>
          <cell r="I17" t="str">
            <v>K+</v>
          </cell>
          <cell r="K17">
            <v>0</v>
          </cell>
          <cell r="L17">
            <v>0</v>
          </cell>
          <cell r="M17" t="str">
            <v>QT</v>
          </cell>
          <cell r="N17" t="str">
            <v>VL</v>
          </cell>
        </row>
        <row r="18">
          <cell r="D18" t="str">
            <v>SOCCER</v>
          </cell>
          <cell r="E18">
            <v>0</v>
          </cell>
          <cell r="F18" t="str">
            <v>INDOOR COURT</v>
          </cell>
          <cell r="G18">
            <v>0</v>
          </cell>
          <cell r="H18" t="str">
            <v>SLATBED</v>
          </cell>
          <cell r="I18" t="str">
            <v>K</v>
          </cell>
          <cell r="K18">
            <v>0</v>
          </cell>
          <cell r="L18">
            <v>0</v>
          </cell>
          <cell r="M18" t="str">
            <v>SF</v>
          </cell>
          <cell r="N18" t="str">
            <v>VT</v>
          </cell>
        </row>
        <row r="19">
          <cell r="D19" t="str">
            <v>SOLAR</v>
          </cell>
          <cell r="E19">
            <v>0</v>
          </cell>
          <cell r="F19" t="str">
            <v>LAND</v>
          </cell>
          <cell r="G19">
            <v>0</v>
          </cell>
          <cell r="H19" t="str">
            <v>VISIBLE AIR</v>
          </cell>
          <cell r="I19" t="str">
            <v>K-</v>
          </cell>
          <cell r="K19">
            <v>0</v>
          </cell>
          <cell r="L19">
            <v>0</v>
          </cell>
          <cell r="M19" t="str">
            <v>SZ</v>
          </cell>
          <cell r="N19" t="str">
            <v>VZ</v>
          </cell>
        </row>
        <row r="20">
          <cell r="D20" t="str">
            <v>SPORT INSPIRED</v>
          </cell>
          <cell r="E20">
            <v>0</v>
          </cell>
          <cell r="F20" t="str">
            <v>LIFESTYLE</v>
          </cell>
          <cell r="G20">
            <v>0</v>
          </cell>
          <cell r="H20" t="str">
            <v>ZOOM</v>
          </cell>
          <cell r="I20" t="str">
            <v>NA</v>
          </cell>
          <cell r="K20">
            <v>0</v>
          </cell>
          <cell r="L20">
            <v>0</v>
          </cell>
          <cell r="M20" t="str">
            <v>VB</v>
          </cell>
          <cell r="N20" t="str">
            <v>XC</v>
          </cell>
          <cell r="Q20" t="str">
            <v>NOT APPLICABLE</v>
          </cell>
        </row>
        <row r="21">
          <cell r="D21" t="str">
            <v>TENNIS</v>
          </cell>
          <cell r="E21">
            <v>0</v>
          </cell>
          <cell r="F21" t="str">
            <v>METRO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 t="str">
            <v>VF</v>
          </cell>
          <cell r="N21" t="str">
            <v>XE</v>
          </cell>
        </row>
        <row r="22">
          <cell r="D22" t="str">
            <v>TRAINING</v>
          </cell>
          <cell r="E22">
            <v>0</v>
          </cell>
          <cell r="F22" t="str">
            <v>MILESTONES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 t="str">
            <v>VH</v>
          </cell>
        </row>
        <row r="23">
          <cell r="D23" t="str">
            <v>URBAN</v>
          </cell>
          <cell r="E23">
            <v>0</v>
          </cell>
          <cell r="F23" t="str">
            <v>NKE6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 t="str">
            <v>VJ</v>
          </cell>
        </row>
        <row r="24">
          <cell r="D24" t="str">
            <v>WALKING</v>
          </cell>
          <cell r="E24">
            <v>0</v>
          </cell>
          <cell r="F24" t="str">
            <v>NYX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 t="str">
            <v>VL</v>
          </cell>
        </row>
        <row r="25">
          <cell r="F25" t="str">
            <v>ON-FIELD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 t="str">
            <v>VO</v>
          </cell>
        </row>
        <row r="26">
          <cell r="F26" t="str">
            <v>OTHER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 t="str">
            <v>VP</v>
          </cell>
        </row>
        <row r="27">
          <cell r="F27" t="str">
            <v>OUTDOOR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 t="str">
            <v>VT</v>
          </cell>
        </row>
        <row r="28">
          <cell r="F28" t="str">
            <v>PULSE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 t="str">
            <v>VW</v>
          </cell>
        </row>
        <row r="29">
          <cell r="F29" t="str">
            <v>RACING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 t="str">
            <v>VX</v>
          </cell>
        </row>
        <row r="30">
          <cell r="F30" t="str">
            <v>RUNNING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 t="str">
            <v>VY</v>
          </cell>
        </row>
        <row r="31">
          <cell r="F31" t="str">
            <v>SKATEBOARDING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 t="str">
            <v>VZ</v>
          </cell>
        </row>
        <row r="32">
          <cell r="F32" t="str">
            <v>SMALL SIDED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 t="str">
            <v>XB</v>
          </cell>
        </row>
        <row r="33">
          <cell r="F33" t="str">
            <v>SNOWBOARDING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 t="str">
            <v>XC</v>
          </cell>
        </row>
        <row r="34">
          <cell r="F34" t="str">
            <v>SOCCER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 t="str">
            <v>XE</v>
          </cell>
        </row>
        <row r="35">
          <cell r="F35" t="str">
            <v>SOLAR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 t="str">
            <v>XI</v>
          </cell>
        </row>
        <row r="36">
          <cell r="F36" t="str">
            <v>SOLAR SPORT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 t="str">
            <v>XP</v>
          </cell>
        </row>
        <row r="37">
          <cell r="F37" t="str">
            <v>SOLAR SPORTSWEAR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 t="str">
            <v>XS</v>
          </cell>
        </row>
        <row r="38">
          <cell r="F38" t="str">
            <v>SPORT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 t="str">
            <v>XY</v>
          </cell>
        </row>
        <row r="39">
          <cell r="F39" t="str">
            <v>SPORT INSPIRED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 t="str">
            <v>Y3</v>
          </cell>
        </row>
        <row r="40">
          <cell r="F40" t="str">
            <v>TEAM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 t="str">
            <v>YS</v>
          </cell>
        </row>
        <row r="41">
          <cell r="F41" t="str">
            <v>TECH ACTIVE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 t="str">
            <v>YX</v>
          </cell>
        </row>
        <row r="42">
          <cell r="F42" t="str">
            <v>TECH CORE</v>
          </cell>
        </row>
        <row r="43">
          <cell r="F43" t="str">
            <v>TECH SPORT</v>
          </cell>
        </row>
        <row r="44">
          <cell r="F44" t="str">
            <v>TENNIS</v>
          </cell>
        </row>
        <row r="45">
          <cell r="F45" t="str">
            <v>TRACK</v>
          </cell>
        </row>
        <row r="46">
          <cell r="F46" t="str">
            <v>TRAINING</v>
          </cell>
        </row>
        <row r="47">
          <cell r="F47" t="str">
            <v>TREND</v>
          </cell>
        </row>
        <row r="48">
          <cell r="F48" t="str">
            <v>TRUNNER</v>
          </cell>
        </row>
        <row r="49">
          <cell r="F49" t="str">
            <v>TURF</v>
          </cell>
        </row>
        <row r="50">
          <cell r="F50" t="str">
            <v>URBAN</v>
          </cell>
        </row>
        <row r="51">
          <cell r="F51" t="str">
            <v>URBANO</v>
          </cell>
        </row>
        <row r="52">
          <cell r="F52" t="str">
            <v>VOLLEYBALL</v>
          </cell>
        </row>
        <row r="53">
          <cell r="F53" t="str">
            <v>WALKING</v>
          </cell>
        </row>
        <row r="54">
          <cell r="F54" t="str">
            <v>WATER</v>
          </cell>
        </row>
        <row r="55">
          <cell r="F55" t="str">
            <v>WINTER</v>
          </cell>
        </row>
        <row r="56">
          <cell r="F56" t="str">
            <v>WRESTLING</v>
          </cell>
        </row>
        <row r="57">
          <cell r="F57" t="str">
            <v>YOGA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plandata"/>
      <sheetName val="PvD"/>
      <sheetName val="PvD by Cat"/>
      <sheetName val="PvD by Fty"/>
      <sheetName val="Profiles"/>
      <sheetName val="PLUGS"/>
      <sheetName val="SU12 Capacity"/>
      <sheetName val="Scenarios"/>
      <sheetName val="SU12 Prebuilds "/>
      <sheetName val="SU12 Prebuilds by Fty"/>
      <sheetName val="Prebuilds by cat(%)"/>
      <sheetName val="All cat &amp; fty"/>
      <sheetName val="LEGEND"/>
      <sheetName val="Instructions to update ss"/>
      <sheetName val="numbers"/>
      <sheetName val="Key Territory Details"/>
      <sheetName val="Drop Down Values"/>
      <sheetName val="Tables"/>
      <sheetName val="PvD_by_Cat"/>
      <sheetName val="PvD_by_Fty"/>
      <sheetName val="SU12_Capacity"/>
      <sheetName val="SU12_Prebuilds_"/>
      <sheetName val="SU12_Prebuilds_by_Fty"/>
      <sheetName val="Prebuilds_by_cat(%)"/>
      <sheetName val="All_cat_&amp;_fty"/>
      <sheetName val="Instructions_to_update_ss"/>
      <sheetName val="GFP Type"/>
      <sheetName val="LAST YEARS CS"/>
      <sheetName val="입금"/>
      <sheetName val="Cutting D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wear"/>
      <sheetName val="DropDown"/>
      <sheetName val="Lineplandata"/>
      <sheetName val="LAST YEARS CS"/>
      <sheetName val="Tables"/>
      <sheetName val="LAST_YEARS_CS1"/>
      <sheetName val="Drop_Down_Values1"/>
      <sheetName val="GFP_Type2"/>
      <sheetName val="LAST_YEARS_CS"/>
      <sheetName val="Key Territory Details"/>
      <sheetName val="Drop Down Values"/>
    </sheetNames>
    <sheetDataSet>
      <sheetData sheetId="0"/>
      <sheetData sheetId="1">
        <row r="2">
          <cell r="A2" t="str">
            <v>A+</v>
          </cell>
          <cell r="B2" t="str">
            <v>NEW PROCESS/TECHNOLOGY (DIFFICULT)</v>
          </cell>
        </row>
        <row r="3">
          <cell r="A3" t="str">
            <v>A</v>
          </cell>
          <cell r="B3" t="str">
            <v>NEW PROCESS/TECHNOLOGY</v>
          </cell>
        </row>
        <row r="4">
          <cell r="A4" t="str">
            <v>A-</v>
          </cell>
          <cell r="B4" t="str">
            <v>SHARED MODEL OF A+ OR A</v>
          </cell>
        </row>
        <row r="5">
          <cell r="A5" t="str">
            <v>B+</v>
          </cell>
          <cell r="B5" t="str">
            <v>NEW UPPER, MS AND OS (DIFFICULT)</v>
          </cell>
        </row>
        <row r="6">
          <cell r="A6" t="str">
            <v>B</v>
          </cell>
          <cell r="B6" t="str">
            <v>NEW UPPER, MS AND OS</v>
          </cell>
        </row>
        <row r="7">
          <cell r="A7" t="str">
            <v>B-</v>
          </cell>
          <cell r="B7" t="str">
            <v>SHARED MODEL OF B+ OR B</v>
          </cell>
        </row>
        <row r="8">
          <cell r="A8" t="str">
            <v>C+</v>
          </cell>
          <cell r="B8" t="str">
            <v>MIX OF NEW AND EXISTING MOLDS (&amp; MODIFIED) (DIFFICULT)</v>
          </cell>
        </row>
        <row r="9">
          <cell r="A9" t="str">
            <v>C</v>
          </cell>
          <cell r="B9" t="str">
            <v>MIX OF NEW AND EXISTING MOLDS (&amp; MODIFIED)</v>
          </cell>
        </row>
        <row r="10">
          <cell r="A10" t="str">
            <v>C-</v>
          </cell>
          <cell r="B10" t="str">
            <v>SHARED MODEL OF C+ OR C</v>
          </cell>
        </row>
        <row r="11">
          <cell r="A11" t="str">
            <v>D+</v>
          </cell>
          <cell r="B11" t="str">
            <v>NEW UPPER (DIFFICULT)</v>
          </cell>
        </row>
        <row r="12">
          <cell r="A12" t="str">
            <v>D</v>
          </cell>
          <cell r="B12" t="str">
            <v>NEW UPPER</v>
          </cell>
        </row>
        <row r="13">
          <cell r="A13" t="str">
            <v>D-</v>
          </cell>
          <cell r="B13" t="str">
            <v>SHARED MODEL OF D+ OR D</v>
          </cell>
        </row>
        <row r="14">
          <cell r="A14" t="str">
            <v>F+</v>
          </cell>
          <cell r="B14" t="str">
            <v>NEW MATERIAL WITH PATTERN ADJUSTMENT</v>
          </cell>
        </row>
        <row r="15">
          <cell r="A15" t="str">
            <v>F</v>
          </cell>
          <cell r="B15" t="str">
            <v>NEW MATERIAL AND/OR DESIGN GRAPHICS</v>
          </cell>
        </row>
        <row r="16">
          <cell r="A16" t="str">
            <v>F-</v>
          </cell>
          <cell r="B16" t="str">
            <v>NEW COLOR</v>
          </cell>
        </row>
        <row r="17">
          <cell r="A17" t="str">
            <v>K+</v>
          </cell>
          <cell r="B17" t="str">
            <v>ADULT INSPIRED KIDS (NEW UPPER, MS AND OS)</v>
          </cell>
        </row>
        <row r="18">
          <cell r="A18" t="str">
            <v>K</v>
          </cell>
          <cell r="B18" t="str">
            <v>ADULT INSPIRED KIDS (NEW UPPER OR MS OR OS)</v>
          </cell>
        </row>
        <row r="19">
          <cell r="A19" t="str">
            <v>K-</v>
          </cell>
          <cell r="B19" t="str">
            <v>SHARED MODEL OF K+ OR K</v>
          </cell>
        </row>
        <row r="20">
          <cell r="A20" t="str">
            <v>NA</v>
          </cell>
          <cell r="B20" t="str">
            <v>NOT APPLICABLE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 KIQ314_M1-C1(861057-141-00)"/>
      <sheetName val="Cover"/>
      <sheetName val="Index "/>
      <sheetName val="Material Lamination Process"/>
      <sheetName val="Cutting"/>
      <sheetName val="Perf Schedule"/>
      <sheetName val="Molding Piece Schedule"/>
      <sheetName val="Logo Specification"/>
      <sheetName val="Reinforcement Placement"/>
      <sheetName val="Skiving Instruction"/>
      <sheetName val="Bufing Instruction "/>
      <sheetName val="Marking Location"/>
      <sheetName val="Best Pratise Schedule"/>
      <sheetName val="Stitching Overview Sketch"/>
      <sheetName val="Stitching Instruction"/>
      <sheetName val="Computer Stitching Schedule"/>
      <sheetName val="Midsole Color Schedules.."/>
      <sheetName val="Midsole Logo Schedules.. "/>
      <sheetName val="Outsole Color Schedule"/>
      <sheetName val="Outsole Preform Spec"/>
      <sheetName val="Outssole Pressing Process "/>
      <sheetName val="Outsole Trimming Process"/>
      <sheetName val="Outsole Degreasing Process"/>
      <sheetName val="STOCK FIT BPFC-1st"/>
      <sheetName val="STOCK FIT BPFC-2nd"/>
      <sheetName val="Stock Fit Process"/>
      <sheetName val="ASSEMBLY BPFC"/>
      <sheetName val="Assembling Process   "/>
      <sheetName val="Back Part Molding Spec  "/>
      <sheetName val="Sockliner Specification"/>
      <sheetName val="Marking&amp;Primer of StrobelSock"/>
      <sheetName val="Upper Measurement Spec"/>
      <sheetName val="Production Checklist "/>
      <sheetName val="#REF"/>
      <sheetName val="PS"/>
      <sheetName val="Sheet1"/>
      <sheetName val="BTRSS"/>
      <sheetName val="Sheet2"/>
      <sheetName val="WB Primer Shoe"/>
      <sheetName val="Sum"/>
      <sheetName val="Perforztion "/>
      <sheetName val="assmb 2"/>
      <sheetName val="assmb 1"/>
      <sheetName val="XL4Poppy"/>
      <sheetName val="PS_KIQ314_M1-C1(861057-141-00)"/>
      <sheetName val="Index_"/>
      <sheetName val="Material_Lamination_Process"/>
      <sheetName val="Perf_Schedule"/>
      <sheetName val="Molding_Piece_Schedule"/>
      <sheetName val="Logo_Specification"/>
      <sheetName val="Reinforcement_Placement"/>
      <sheetName val="Skiving_Instruction"/>
      <sheetName val="Bufing_Instruction_"/>
      <sheetName val="Marking_Location"/>
      <sheetName val="Best_Pratise_Schedule"/>
      <sheetName val="Stitching_Overview_Sketch"/>
      <sheetName val="Stitching_Instruction"/>
      <sheetName val="Computer_Stitching_Schedule"/>
      <sheetName val="Midsole_Color_Schedules__"/>
      <sheetName val="Midsole_Logo_Schedules___"/>
      <sheetName val="Outsole_Color_Schedule"/>
      <sheetName val="Outsole_Preform_Spec"/>
      <sheetName val="Outssole_Pressing_Process_"/>
      <sheetName val="Outsole_Trimming_Process"/>
      <sheetName val="Outsole_Degreasing_Process"/>
      <sheetName val="STOCK_FIT_BPFC-1st"/>
      <sheetName val="STOCK_FIT_BPFC-2nd"/>
      <sheetName val="Stock_Fit_Process"/>
      <sheetName val="ASSEMBLY_BPFC"/>
      <sheetName val="Assembling_Process___"/>
      <sheetName val="Back_Part_Molding_Spec__"/>
      <sheetName val="Sockliner_Specification"/>
      <sheetName val="Marking&amp;Primer_of_StrobelSock"/>
      <sheetName val="Upper_Measurement_Spec"/>
      <sheetName val="Production_Checklist_"/>
      <sheetName val="Perforztion_"/>
      <sheetName val="assmb_2"/>
      <sheetName val="assmb_1"/>
      <sheetName val="PS_KIQ314_M1-C1(861057-141-00)1"/>
      <sheetName val="Index_1"/>
      <sheetName val="Material_Lamination_Process1"/>
      <sheetName val="Perf_Schedule1"/>
      <sheetName val="Molding_Piece_Schedule1"/>
      <sheetName val="Logo_Specification1"/>
      <sheetName val="Reinforcement_Placement1"/>
      <sheetName val="Skiving_Instruction1"/>
      <sheetName val="Bufing_Instruction_1"/>
      <sheetName val="Marking_Location1"/>
      <sheetName val="Best_Pratise_Schedule1"/>
      <sheetName val="Stitching_Overview_Sketch1"/>
      <sheetName val="Stitching_Instruction1"/>
      <sheetName val="Computer_Stitching_Schedule1"/>
      <sheetName val="Midsole_Color_Schedules__1"/>
      <sheetName val="Midsole_Logo_Schedules___1"/>
      <sheetName val="Outsole_Color_Schedule1"/>
      <sheetName val="Outsole_Preform_Spec1"/>
      <sheetName val="Outssole_Pressing_Process_1"/>
      <sheetName val="Outsole_Trimming_Process1"/>
      <sheetName val="Outsole_Degreasing_Process1"/>
      <sheetName val="STOCK_FIT_BPFC-1st1"/>
      <sheetName val="STOCK_FIT_BPFC-2nd1"/>
      <sheetName val="Stock_Fit_Process1"/>
      <sheetName val="ASSEMBLY_BPFC1"/>
      <sheetName val="Assembling_Process___1"/>
      <sheetName val="Back_Part_Molding_Spec__1"/>
      <sheetName val="Sockliner_Specification1"/>
      <sheetName val="Marking&amp;Primer_of_StrobelSock1"/>
      <sheetName val="Upper_Measurement_Spec1"/>
      <sheetName val="Production_Checklist_1"/>
      <sheetName val="Perforztion_1"/>
      <sheetName val="assmb_21"/>
      <sheetName val="assmb_11"/>
      <sheetName val="WB_Primer_Shoe"/>
      <sheetName val="heso"/>
      <sheetName val="#REF!"/>
      <sheetName val="PS_KIQ314_M1-C1(861057-141-00)2"/>
      <sheetName val="Index_2"/>
      <sheetName val="Material_Lamination_Process2"/>
      <sheetName val="Perf_Schedule2"/>
      <sheetName val="Molding_Piece_Schedule2"/>
      <sheetName val="Logo_Specification2"/>
      <sheetName val="Reinforcement_Placement2"/>
      <sheetName val="Skiving_Instruction2"/>
      <sheetName val="Bufing_Instruction_2"/>
      <sheetName val="Marking_Location2"/>
      <sheetName val="Best_Pratise_Schedule2"/>
      <sheetName val="Stitching_Overview_Sketch2"/>
      <sheetName val="Stitching_Instruction2"/>
      <sheetName val="Computer_Stitching_Schedule2"/>
      <sheetName val="Midsole_Color_Schedules__2"/>
      <sheetName val="Midsole_Logo_Schedules___2"/>
      <sheetName val="Outsole_Color_Schedule2"/>
      <sheetName val="Outsole_Preform_Spec2"/>
      <sheetName val="Outssole_Pressing_Process_2"/>
      <sheetName val="Outsole_Trimming_Process2"/>
      <sheetName val="Outsole_Degreasing_Process2"/>
      <sheetName val="STOCK_FIT_BPFC-1st2"/>
      <sheetName val="STOCK_FIT_BPFC-2nd2"/>
      <sheetName val="Stock_Fit_Process2"/>
      <sheetName val="ASSEMBLY_BPFC2"/>
      <sheetName val="Assembling_Process___2"/>
      <sheetName val="Back_Part_Molding_Spec__2"/>
      <sheetName val="Sockliner_Specification2"/>
      <sheetName val="Marking&amp;Primer_of_StrobelSock2"/>
      <sheetName val="Upper_Measurement_Spec2"/>
      <sheetName val="Production_Checklist_2"/>
      <sheetName val="Perforztion_2"/>
      <sheetName val="assmb_22"/>
      <sheetName val="assmb_12"/>
      <sheetName val="WB_Primer_Shoe1"/>
      <sheetName val="K2"/>
      <sheetName val="output per jam"/>
      <sheetName val="data Productivity"/>
      <sheetName val="MLT "/>
      <sheetName val="daily BEP"/>
      <sheetName val="PS.xls"/>
      <sheetName val="Look_up"/>
      <sheetName val="LBP ACE 16.4"/>
      <sheetName val="output_per_jam1"/>
      <sheetName val="data_Productivity1"/>
      <sheetName val="MLT_1"/>
      <sheetName val="daily_BEP1"/>
      <sheetName val="PS_xls1"/>
      <sheetName val="LBP_ACE_16_41"/>
      <sheetName val="output_per_jam"/>
      <sheetName val="data_Productivity"/>
      <sheetName val="MLT_"/>
      <sheetName val="daily_BEP"/>
      <sheetName val="PS_xls"/>
      <sheetName val="LBP_ACE_16_4"/>
      <sheetName val="PS_KIQ314_M1-C1(861057-141-00)3"/>
      <sheetName val="Index_3"/>
      <sheetName val="Material_Lamination_Process3"/>
      <sheetName val="Perf_Schedule3"/>
      <sheetName val="Molding_Piece_Schedule3"/>
      <sheetName val="Logo_Specification3"/>
      <sheetName val="Reinforcement_Placement3"/>
      <sheetName val="Skiving_Instruction3"/>
      <sheetName val="Bufing_Instruction_3"/>
      <sheetName val="Marking_Location3"/>
      <sheetName val="Best_Pratise_Schedule3"/>
      <sheetName val="Stitching_Overview_Sketch3"/>
      <sheetName val="Stitching_Instruction3"/>
      <sheetName val="Computer_Stitching_Schedule3"/>
      <sheetName val="Midsole_Color_Schedules__3"/>
      <sheetName val="Midsole_Logo_Schedules___3"/>
      <sheetName val="Outsole_Color_Schedule3"/>
      <sheetName val="Outsole_Preform_Spec3"/>
      <sheetName val="Outssole_Pressing_Process_3"/>
      <sheetName val="Outsole_Trimming_Process3"/>
      <sheetName val="Outsole_Degreasing_Process3"/>
      <sheetName val="STOCK_FIT_BPFC-1st3"/>
      <sheetName val="STOCK_FIT_BPFC-2nd3"/>
      <sheetName val="Stock_Fit_Process3"/>
      <sheetName val="ASSEMBLY_BPFC3"/>
      <sheetName val="Assembling_Process___3"/>
      <sheetName val="Back_Part_Molding_Spec__3"/>
      <sheetName val="Sockliner_Specification3"/>
      <sheetName val="Marking&amp;Primer_of_StrobelSock3"/>
      <sheetName val="Upper_Measurement_Spec3"/>
      <sheetName val="Production_Checklist_3"/>
      <sheetName val="output_per_jam3"/>
      <sheetName val="data_Productivity3"/>
      <sheetName val="MLT_3"/>
      <sheetName val="daily_BEP3"/>
      <sheetName val="PS_xls3"/>
      <sheetName val="LBP_ACE_16_43"/>
      <sheetName val="output_per_jam2"/>
      <sheetName val="data_Productivity2"/>
      <sheetName val="MLT_2"/>
      <sheetName val="daily_BEP2"/>
      <sheetName val="PS_xls2"/>
      <sheetName val="LBP_ACE_16_42"/>
      <sheetName val="PS_KIQ314_M1-C1(861057-141-00)4"/>
      <sheetName val="Index_4"/>
      <sheetName val="Material_Lamination_Process4"/>
      <sheetName val="Perf_Schedule4"/>
      <sheetName val="Molding_Piece_Schedule4"/>
      <sheetName val="Logo_Specification4"/>
      <sheetName val="Reinforcement_Placement4"/>
      <sheetName val="Skiving_Instruction4"/>
      <sheetName val="Bufing_Instruction_4"/>
      <sheetName val="Marking_Location4"/>
      <sheetName val="Best_Pratise_Schedule4"/>
      <sheetName val="Stitching_Overview_Sketch4"/>
      <sheetName val="Stitching_Instruction4"/>
      <sheetName val="Computer_Stitching_Schedule4"/>
      <sheetName val="Midsole_Color_Schedules__4"/>
      <sheetName val="Midsole_Logo_Schedules___4"/>
      <sheetName val="Outsole_Color_Schedule4"/>
      <sheetName val="Outsole_Preform_Spec4"/>
      <sheetName val="Outssole_Pressing_Process_4"/>
      <sheetName val="Outsole_Trimming_Process4"/>
      <sheetName val="Outsole_Degreasing_Process4"/>
      <sheetName val="STOCK_FIT_BPFC-1st4"/>
      <sheetName val="STOCK_FIT_BPFC-2nd4"/>
      <sheetName val="Stock_Fit_Process4"/>
      <sheetName val="ASSEMBLY_BPFC4"/>
      <sheetName val="Assembling_Process___4"/>
      <sheetName val="Back_Part_Molding_Spec__4"/>
      <sheetName val="Sockliner_Specification4"/>
      <sheetName val="Marking&amp;Primer_of_StrobelSock4"/>
      <sheetName val="Upper_Measurement_Spec4"/>
      <sheetName val="Production_Checklist_4"/>
      <sheetName val="output_per_jam4"/>
      <sheetName val="data_Productivity4"/>
      <sheetName val="MLT_4"/>
      <sheetName val="daily_BEP4"/>
      <sheetName val="PS_xls4"/>
      <sheetName val="LBP_ACE_16_44"/>
      <sheetName val="PS_KIQ314_M1-C1(861057-141-00)5"/>
      <sheetName val="Index_5"/>
      <sheetName val="Material_Lamination_Process5"/>
      <sheetName val="Perf_Schedule5"/>
      <sheetName val="Molding_Piece_Schedule5"/>
      <sheetName val="Logo_Specification5"/>
      <sheetName val="Reinforcement_Placement5"/>
      <sheetName val="Skiving_Instruction5"/>
      <sheetName val="Bufing_Instruction_5"/>
      <sheetName val="Marking_Location5"/>
      <sheetName val="Best_Pratise_Schedule5"/>
      <sheetName val="Stitching_Overview_Sketch5"/>
      <sheetName val="Stitching_Instruction5"/>
      <sheetName val="Computer_Stitching_Schedule5"/>
      <sheetName val="Midsole_Color_Schedules__5"/>
      <sheetName val="Midsole_Logo_Schedules___5"/>
      <sheetName val="Outsole_Color_Schedule5"/>
      <sheetName val="Outsole_Preform_Spec5"/>
      <sheetName val="Outssole_Pressing_Process_5"/>
      <sheetName val="Outsole_Trimming_Process5"/>
      <sheetName val="Outsole_Degreasing_Process5"/>
      <sheetName val="STOCK_FIT_BPFC-1st5"/>
      <sheetName val="STOCK_FIT_BPFC-2nd5"/>
      <sheetName val="Stock_Fit_Process5"/>
      <sheetName val="ASSEMBLY_BPFC5"/>
      <sheetName val="Assembling_Process___5"/>
      <sheetName val="Back_Part_Molding_Spec__5"/>
      <sheetName val="Sockliner_Specification5"/>
      <sheetName val="Marking&amp;Primer_of_StrobelSock5"/>
      <sheetName val="Upper_Measurement_Spec5"/>
      <sheetName val="Production_Checklist_5"/>
      <sheetName val="output_per_jam5"/>
      <sheetName val="data_Productivity5"/>
      <sheetName val="MLT_5"/>
      <sheetName val="daily_BEP5"/>
      <sheetName val="PS_xls5"/>
      <sheetName val="LBP_ACE_16_45"/>
      <sheetName val="PS_KIQ314_M1-C1(861057-141-00)7"/>
      <sheetName val="Index_7"/>
      <sheetName val="Material_Lamination_Process7"/>
      <sheetName val="Perf_Schedule7"/>
      <sheetName val="Molding_Piece_Schedule7"/>
      <sheetName val="Logo_Specification7"/>
      <sheetName val="Reinforcement_Placement7"/>
      <sheetName val="Skiving_Instruction7"/>
      <sheetName val="Bufing_Instruction_7"/>
      <sheetName val="Marking_Location7"/>
      <sheetName val="Best_Pratise_Schedule7"/>
      <sheetName val="Stitching_Overview_Sketch7"/>
      <sheetName val="Stitching_Instruction7"/>
      <sheetName val="Computer_Stitching_Schedule7"/>
      <sheetName val="Midsole_Color_Schedules__7"/>
      <sheetName val="Midsole_Logo_Schedules___7"/>
      <sheetName val="Outsole_Color_Schedule7"/>
      <sheetName val="Outsole_Preform_Spec7"/>
      <sheetName val="Outssole_Pressing_Process_7"/>
      <sheetName val="Outsole_Trimming_Process7"/>
      <sheetName val="Outsole_Degreasing_Process7"/>
      <sheetName val="STOCK_FIT_BPFC-1st7"/>
      <sheetName val="STOCK_FIT_BPFC-2nd7"/>
      <sheetName val="Stock_Fit_Process7"/>
      <sheetName val="ASSEMBLY_BPFC7"/>
      <sheetName val="Assembling_Process___7"/>
      <sheetName val="Back_Part_Molding_Spec__7"/>
      <sheetName val="Sockliner_Specification7"/>
      <sheetName val="Marking&amp;Primer_of_StrobelSock7"/>
      <sheetName val="Upper_Measurement_Spec7"/>
      <sheetName val="Production_Checklist_7"/>
      <sheetName val="output_per_jam7"/>
      <sheetName val="data_Productivity7"/>
      <sheetName val="MLT_7"/>
      <sheetName val="daily_BEP7"/>
      <sheetName val="PS_xls7"/>
      <sheetName val="LBP_ACE_16_47"/>
      <sheetName val="PS_KIQ314_M1-C1(861057-141-00)6"/>
      <sheetName val="Index_6"/>
      <sheetName val="Material_Lamination_Process6"/>
      <sheetName val="Perf_Schedule6"/>
      <sheetName val="Molding_Piece_Schedule6"/>
      <sheetName val="Logo_Specification6"/>
      <sheetName val="Reinforcement_Placement6"/>
      <sheetName val="Skiving_Instruction6"/>
      <sheetName val="Bufing_Instruction_6"/>
      <sheetName val="Marking_Location6"/>
      <sheetName val="Best_Pratise_Schedule6"/>
      <sheetName val="Stitching_Overview_Sketch6"/>
      <sheetName val="Stitching_Instruction6"/>
      <sheetName val="Computer_Stitching_Schedule6"/>
      <sheetName val="Midsole_Color_Schedules__6"/>
      <sheetName val="Midsole_Logo_Schedules___6"/>
      <sheetName val="Outsole_Color_Schedule6"/>
      <sheetName val="Outsole_Preform_Spec6"/>
      <sheetName val="Outssole_Pressing_Process_6"/>
      <sheetName val="Outsole_Trimming_Process6"/>
      <sheetName val="Outsole_Degreasing_Process6"/>
      <sheetName val="STOCK_FIT_BPFC-1st6"/>
      <sheetName val="STOCK_FIT_BPFC-2nd6"/>
      <sheetName val="Stock_Fit_Process6"/>
      <sheetName val="ASSEMBLY_BPFC6"/>
      <sheetName val="Assembling_Process___6"/>
      <sheetName val="Back_Part_Molding_Spec__6"/>
      <sheetName val="Sockliner_Specification6"/>
      <sheetName val="Marking&amp;Primer_of_StrobelSock6"/>
      <sheetName val="Upper_Measurement_Spec6"/>
      <sheetName val="Production_Checklist_6"/>
      <sheetName val="output_per_jam6"/>
      <sheetName val="data_Productivity6"/>
      <sheetName val="MLT_6"/>
      <sheetName val="daily_BEP6"/>
      <sheetName val="PS_xls6"/>
      <sheetName val="LBP_ACE_16_46"/>
      <sheetName val="PS_KIQ314_M1-C1(861057-141-00)8"/>
      <sheetName val="Index_8"/>
      <sheetName val="Material_Lamination_Process8"/>
      <sheetName val="Perf_Schedule8"/>
      <sheetName val="Molding_Piece_Schedule8"/>
      <sheetName val="Logo_Specification8"/>
      <sheetName val="Reinforcement_Placement8"/>
      <sheetName val="Skiving_Instruction8"/>
      <sheetName val="Bufing_Instruction_8"/>
      <sheetName val="Marking_Location8"/>
      <sheetName val="Best_Pratise_Schedule8"/>
      <sheetName val="Stitching_Overview_Sketch8"/>
      <sheetName val="Stitching_Instruction8"/>
      <sheetName val="Computer_Stitching_Schedule8"/>
      <sheetName val="Midsole_Color_Schedules__8"/>
      <sheetName val="Midsole_Logo_Schedules___8"/>
      <sheetName val="Outsole_Color_Schedule8"/>
      <sheetName val="Outsole_Preform_Spec8"/>
      <sheetName val="Outssole_Pressing_Process_8"/>
      <sheetName val="Outsole_Trimming_Process8"/>
      <sheetName val="Outsole_Degreasing_Process8"/>
      <sheetName val="STOCK_FIT_BPFC-1st8"/>
      <sheetName val="STOCK_FIT_BPFC-2nd8"/>
      <sheetName val="Stock_Fit_Process8"/>
      <sheetName val="ASSEMBLY_BPFC8"/>
      <sheetName val="Assembling_Process___8"/>
      <sheetName val="Back_Part_Molding_Spec__8"/>
      <sheetName val="Sockliner_Specification8"/>
      <sheetName val="Marking&amp;Primer_of_StrobelSock8"/>
      <sheetName val="Upper_Measurement_Spec8"/>
      <sheetName val="Production_Checklist_8"/>
      <sheetName val="output_per_jam8"/>
      <sheetName val="data_Productivity8"/>
      <sheetName val="MLT_8"/>
      <sheetName val="daily_BEP8"/>
      <sheetName val="PS_xls8"/>
      <sheetName val="LBP_ACE_16_48"/>
      <sheetName val="PS_KIQ314_M1-C1(861057-141-00)9"/>
      <sheetName val="Index_9"/>
      <sheetName val="Material_Lamination_Process9"/>
      <sheetName val="Perf_Schedule9"/>
      <sheetName val="Molding_Piece_Schedule9"/>
      <sheetName val="Logo_Specification9"/>
      <sheetName val="Reinforcement_Placement9"/>
      <sheetName val="Skiving_Instruction9"/>
      <sheetName val="Bufing_Instruction_9"/>
      <sheetName val="Marking_Location9"/>
      <sheetName val="Best_Pratise_Schedule9"/>
      <sheetName val="Stitching_Overview_Sketch9"/>
      <sheetName val="Stitching_Instruction9"/>
      <sheetName val="Computer_Stitching_Schedule9"/>
      <sheetName val="Midsole_Color_Schedules__9"/>
      <sheetName val="Midsole_Logo_Schedules___9"/>
      <sheetName val="Outsole_Color_Schedule9"/>
      <sheetName val="Outsole_Preform_Spec9"/>
      <sheetName val="Outssole_Pressing_Process_9"/>
      <sheetName val="Outsole_Trimming_Process9"/>
      <sheetName val="Outsole_Degreasing_Process9"/>
      <sheetName val="STOCK_FIT_BPFC-1st9"/>
      <sheetName val="STOCK_FIT_BPFC-2nd9"/>
      <sheetName val="Stock_Fit_Process9"/>
      <sheetName val="ASSEMBLY_BPFC9"/>
      <sheetName val="Assembling_Process___9"/>
      <sheetName val="Back_Part_Molding_Spec__9"/>
      <sheetName val="Sockliner_Specification9"/>
      <sheetName val="Marking&amp;Primer_of_StrobelSock9"/>
      <sheetName val="Upper_Measurement_Spec9"/>
      <sheetName val="Production_Checklist_9"/>
      <sheetName val="output_per_jam9"/>
      <sheetName val="data_Productivity9"/>
      <sheetName val="MLT_9"/>
      <sheetName val="daily_BEP9"/>
      <sheetName val="PS_xls9"/>
      <sheetName val="LBP_ACE_16_49"/>
      <sheetName val="PS_KIQ314_M1-C1(861057-141-0010"/>
      <sheetName val="Index_10"/>
      <sheetName val="Material_Lamination_Process10"/>
      <sheetName val="Perf_Schedule10"/>
      <sheetName val="Molding_Piece_Schedule10"/>
      <sheetName val="Logo_Specification10"/>
      <sheetName val="Reinforcement_Placement10"/>
      <sheetName val="Skiving_Instruction10"/>
      <sheetName val="Bufing_Instruction_10"/>
      <sheetName val="Marking_Location10"/>
      <sheetName val="Best_Pratise_Schedule10"/>
      <sheetName val="Stitching_Overview_Sketch10"/>
      <sheetName val="Stitching_Instruction10"/>
      <sheetName val="Computer_Stitching_Schedule10"/>
      <sheetName val="Midsole_Color_Schedules__10"/>
      <sheetName val="Midsole_Logo_Schedules___10"/>
      <sheetName val="Outsole_Color_Schedule10"/>
      <sheetName val="Outsole_Preform_Spec10"/>
      <sheetName val="Outssole_Pressing_Process_10"/>
      <sheetName val="Outsole_Trimming_Process10"/>
      <sheetName val="Outsole_Degreasing_Process10"/>
      <sheetName val="STOCK_FIT_BPFC-1st10"/>
      <sheetName val="STOCK_FIT_BPFC-2nd10"/>
      <sheetName val="Stock_Fit_Process10"/>
      <sheetName val="ASSEMBLY_BPFC10"/>
      <sheetName val="Assembling_Process___10"/>
      <sheetName val="Back_Part_Molding_Spec__10"/>
      <sheetName val="Sockliner_Specification10"/>
      <sheetName val="Marking&amp;Primer_of_StrobelSock10"/>
      <sheetName val="Upper_Measurement_Spec10"/>
      <sheetName val="Production_Checklist_10"/>
      <sheetName val="output_per_jam10"/>
      <sheetName val="data_Productivity10"/>
      <sheetName val="MLT_10"/>
      <sheetName val="daily_BEP10"/>
      <sheetName val="PS_xls10"/>
      <sheetName val="LBP_ACE_16_410"/>
      <sheetName val="PS_KIQ314_M1-C1(861057-141-0012"/>
      <sheetName val="Index_12"/>
      <sheetName val="Material_Lamination_Process12"/>
      <sheetName val="Perf_Schedule12"/>
      <sheetName val="Molding_Piece_Schedule12"/>
      <sheetName val="Logo_Specification12"/>
      <sheetName val="Reinforcement_Placement12"/>
      <sheetName val="Skiving_Instruction12"/>
      <sheetName val="Bufing_Instruction_12"/>
      <sheetName val="Marking_Location12"/>
      <sheetName val="Best_Pratise_Schedule12"/>
      <sheetName val="Stitching_Overview_Sketch12"/>
      <sheetName val="Stitching_Instruction12"/>
      <sheetName val="Computer_Stitching_Schedule12"/>
      <sheetName val="Midsole_Color_Schedules__12"/>
      <sheetName val="Midsole_Logo_Schedules___12"/>
      <sheetName val="Outsole_Color_Schedule12"/>
      <sheetName val="Outsole_Preform_Spec12"/>
      <sheetName val="Outssole_Pressing_Process_12"/>
      <sheetName val="Outsole_Trimming_Process12"/>
      <sheetName val="Outsole_Degreasing_Process12"/>
      <sheetName val="STOCK_FIT_BPFC-1st12"/>
      <sheetName val="STOCK_FIT_BPFC-2nd12"/>
      <sheetName val="Stock_Fit_Process12"/>
      <sheetName val="ASSEMBLY_BPFC12"/>
      <sheetName val="Assembling_Process___12"/>
      <sheetName val="Back_Part_Molding_Spec__12"/>
      <sheetName val="Sockliner_Specification12"/>
      <sheetName val="Marking&amp;Primer_of_StrobelSock12"/>
      <sheetName val="Upper_Measurement_Spec12"/>
      <sheetName val="Production_Checklist_12"/>
      <sheetName val="output_per_jam12"/>
      <sheetName val="data_Productivity12"/>
      <sheetName val="MLT_12"/>
      <sheetName val="daily_BEP12"/>
      <sheetName val="PS_xls12"/>
      <sheetName val="LBP_ACE_16_412"/>
      <sheetName val="PS_KIQ314_M1-C1(861057-141-0011"/>
      <sheetName val="Index_11"/>
      <sheetName val="Material_Lamination_Process11"/>
      <sheetName val="Perf_Schedule11"/>
      <sheetName val="Molding_Piece_Schedule11"/>
      <sheetName val="Logo_Specification11"/>
      <sheetName val="Reinforcement_Placement11"/>
      <sheetName val="Skiving_Instruction11"/>
      <sheetName val="Bufing_Instruction_11"/>
      <sheetName val="Marking_Location11"/>
      <sheetName val="Best_Pratise_Schedule11"/>
      <sheetName val="Stitching_Overview_Sketch11"/>
      <sheetName val="Stitching_Instruction11"/>
      <sheetName val="Computer_Stitching_Schedule11"/>
      <sheetName val="Midsole_Color_Schedules__11"/>
      <sheetName val="Midsole_Logo_Schedules___11"/>
      <sheetName val="Outsole_Color_Schedule11"/>
      <sheetName val="Outsole_Preform_Spec11"/>
      <sheetName val="Outssole_Pressing_Process_11"/>
      <sheetName val="Outsole_Trimming_Process11"/>
      <sheetName val="Outsole_Degreasing_Process11"/>
      <sheetName val="STOCK_FIT_BPFC-1st11"/>
      <sheetName val="STOCK_FIT_BPFC-2nd11"/>
      <sheetName val="Stock_Fit_Process11"/>
      <sheetName val="ASSEMBLY_BPFC11"/>
      <sheetName val="Assembling_Process___11"/>
      <sheetName val="Back_Part_Molding_Spec__11"/>
      <sheetName val="Sockliner_Specification11"/>
      <sheetName val="Marking&amp;Primer_of_StrobelSock11"/>
      <sheetName val="Upper_Measurement_Spec11"/>
      <sheetName val="Production_Checklist_11"/>
      <sheetName val="output_per_jam11"/>
      <sheetName val="data_Productivity11"/>
      <sheetName val="MLT_11"/>
      <sheetName val="daily_BEP11"/>
      <sheetName val="PS_xls11"/>
      <sheetName val="LBP_ACE_16_411"/>
      <sheetName val="PS_KIQ314_M1-C1(861057-141-0013"/>
      <sheetName val="Index_13"/>
      <sheetName val="Material_Lamination_Process13"/>
      <sheetName val="Perf_Schedule13"/>
      <sheetName val="Molding_Piece_Schedule13"/>
      <sheetName val="Logo_Specification13"/>
      <sheetName val="Reinforcement_Placement13"/>
      <sheetName val="Skiving_Instruction13"/>
      <sheetName val="Bufing_Instruction_13"/>
      <sheetName val="Marking_Location13"/>
      <sheetName val="Best_Pratise_Schedule13"/>
      <sheetName val="Stitching_Overview_Sketch13"/>
      <sheetName val="Stitching_Instruction13"/>
      <sheetName val="Computer_Stitching_Schedule13"/>
      <sheetName val="Midsole_Color_Schedules__13"/>
      <sheetName val="Midsole_Logo_Schedules___13"/>
      <sheetName val="Outsole_Color_Schedule13"/>
      <sheetName val="Outsole_Preform_Spec13"/>
      <sheetName val="Outssole_Pressing_Process_13"/>
      <sheetName val="Outsole_Trimming_Process13"/>
      <sheetName val="Outsole_Degreasing_Process13"/>
      <sheetName val="STOCK_FIT_BPFC-1st13"/>
      <sheetName val="STOCK_FIT_BPFC-2nd13"/>
      <sheetName val="Stock_Fit_Process13"/>
      <sheetName val="ASSEMBLY_BPFC13"/>
      <sheetName val="Assembling_Process___13"/>
      <sheetName val="Back_Part_Molding_Spec__13"/>
      <sheetName val="Sockliner_Specification13"/>
      <sheetName val="Marking&amp;Primer_of_StrobelSock13"/>
      <sheetName val="Upper_Measurement_Spec13"/>
      <sheetName val="Production_Checklist_13"/>
      <sheetName val="output_per_jam13"/>
      <sheetName val="data_Productivity13"/>
      <sheetName val="MLT_13"/>
      <sheetName val="daily_BEP13"/>
      <sheetName val="PS_xls13"/>
      <sheetName val="LBP_ACE_16_413"/>
      <sheetName val="PS_KIQ314_M1-C1(861057-141-0015"/>
      <sheetName val="Index_15"/>
      <sheetName val="Material_Lamination_Process15"/>
      <sheetName val="Perf_Schedule15"/>
      <sheetName val="Molding_Piece_Schedule15"/>
      <sheetName val="Logo_Specification15"/>
      <sheetName val="Reinforcement_Placement15"/>
      <sheetName val="Skiving_Instruction15"/>
      <sheetName val="Bufing_Instruction_15"/>
      <sheetName val="Marking_Location15"/>
      <sheetName val="Best_Pratise_Schedule15"/>
      <sheetName val="Stitching_Overview_Sketch15"/>
      <sheetName val="Stitching_Instruction15"/>
      <sheetName val="Computer_Stitching_Schedule15"/>
      <sheetName val="Midsole_Color_Schedules__15"/>
      <sheetName val="Midsole_Logo_Schedules___15"/>
      <sheetName val="Outsole_Color_Schedule15"/>
      <sheetName val="Outsole_Preform_Spec15"/>
      <sheetName val="Outssole_Pressing_Process_15"/>
      <sheetName val="Outsole_Trimming_Process15"/>
      <sheetName val="Outsole_Degreasing_Process15"/>
      <sheetName val="STOCK_FIT_BPFC-1st15"/>
      <sheetName val="STOCK_FIT_BPFC-2nd15"/>
      <sheetName val="Stock_Fit_Process15"/>
      <sheetName val="ASSEMBLY_BPFC15"/>
      <sheetName val="Assembling_Process___15"/>
      <sheetName val="Back_Part_Molding_Spec__15"/>
      <sheetName val="Sockliner_Specification15"/>
      <sheetName val="Marking&amp;Primer_of_StrobelSock15"/>
      <sheetName val="Upper_Measurement_Spec15"/>
      <sheetName val="Production_Checklist_15"/>
      <sheetName val="output_per_jam15"/>
      <sheetName val="data_Productivity15"/>
      <sheetName val="MLT_15"/>
      <sheetName val="daily_BEP15"/>
      <sheetName val="PS_xls15"/>
      <sheetName val="LBP_ACE_16_415"/>
      <sheetName val="PS_KIQ314_M1-C1(861057-141-0014"/>
      <sheetName val="Index_14"/>
      <sheetName val="Material_Lamination_Process14"/>
      <sheetName val="Perf_Schedule14"/>
      <sheetName val="Molding_Piece_Schedule14"/>
      <sheetName val="Logo_Specification14"/>
      <sheetName val="Reinforcement_Placement14"/>
      <sheetName val="Skiving_Instruction14"/>
      <sheetName val="Bufing_Instruction_14"/>
      <sheetName val="Marking_Location14"/>
      <sheetName val="Best_Pratise_Schedule14"/>
      <sheetName val="Stitching_Overview_Sketch14"/>
      <sheetName val="Stitching_Instruction14"/>
      <sheetName val="Computer_Stitching_Schedule14"/>
      <sheetName val="Midsole_Color_Schedules__14"/>
      <sheetName val="Midsole_Logo_Schedules___14"/>
      <sheetName val="Outsole_Color_Schedule14"/>
      <sheetName val="Outsole_Preform_Spec14"/>
      <sheetName val="Outssole_Pressing_Process_14"/>
      <sheetName val="Outsole_Trimming_Process14"/>
      <sheetName val="Outsole_Degreasing_Process14"/>
      <sheetName val="STOCK_FIT_BPFC-1st14"/>
      <sheetName val="STOCK_FIT_BPFC-2nd14"/>
      <sheetName val="Stock_Fit_Process14"/>
      <sheetName val="ASSEMBLY_BPFC14"/>
      <sheetName val="Assembling_Process___14"/>
      <sheetName val="Back_Part_Molding_Spec__14"/>
      <sheetName val="Sockliner_Specification14"/>
      <sheetName val="Marking&amp;Primer_of_StrobelSock14"/>
      <sheetName val="Upper_Measurement_Spec14"/>
      <sheetName val="Production_Checklist_14"/>
      <sheetName val="output_per_jam14"/>
      <sheetName val="data_Productivity14"/>
      <sheetName val="MLT_14"/>
      <sheetName val="daily_BEP14"/>
      <sheetName val="PS_xls14"/>
      <sheetName val="LBP_ACE_16_414"/>
      <sheetName val="PS_KIQ314_M1-C1(861057-141-0016"/>
      <sheetName val="Index_16"/>
      <sheetName val="Material_Lamination_Process16"/>
      <sheetName val="Perf_Schedule16"/>
      <sheetName val="Molding_Piece_Schedule16"/>
      <sheetName val="Logo_Specification16"/>
      <sheetName val="Reinforcement_Placement16"/>
      <sheetName val="Skiving_Instruction16"/>
      <sheetName val="Bufing_Instruction_16"/>
      <sheetName val="Marking_Location16"/>
      <sheetName val="Best_Pratise_Schedule16"/>
      <sheetName val="Stitching_Overview_Sketch16"/>
      <sheetName val="Stitching_Instruction16"/>
      <sheetName val="Computer_Stitching_Schedule16"/>
      <sheetName val="Midsole_Color_Schedules__16"/>
      <sheetName val="Midsole_Logo_Schedules___16"/>
      <sheetName val="Outsole_Color_Schedule16"/>
      <sheetName val="Outsole_Preform_Spec16"/>
      <sheetName val="Outssole_Pressing_Process_16"/>
      <sheetName val="Outsole_Trimming_Process16"/>
      <sheetName val="Outsole_Degreasing_Process16"/>
      <sheetName val="STOCK_FIT_BPFC-1st16"/>
      <sheetName val="STOCK_FIT_BPFC-2nd16"/>
      <sheetName val="Stock_Fit_Process16"/>
      <sheetName val="ASSEMBLY_BPFC16"/>
      <sheetName val="Assembling_Process___16"/>
      <sheetName val="Back_Part_Molding_Spec__16"/>
      <sheetName val="Sockliner_Specification16"/>
      <sheetName val="Marking&amp;Primer_of_StrobelSock16"/>
      <sheetName val="Upper_Measurement_Spec16"/>
      <sheetName val="Production_Checklist_16"/>
      <sheetName val="output_per_jam16"/>
      <sheetName val="data_Productivity16"/>
      <sheetName val="MLT_16"/>
      <sheetName val="daily_BEP16"/>
      <sheetName val="PS_xls16"/>
      <sheetName val="LBP_ACE_16_416"/>
      <sheetName val="PS_KIQ314_M1-C1(861057-141-0017"/>
      <sheetName val="Index_17"/>
      <sheetName val="Material_Lamination_Process17"/>
      <sheetName val="Perf_Schedule17"/>
      <sheetName val="Molding_Piece_Schedule17"/>
      <sheetName val="Logo_Specification17"/>
      <sheetName val="Reinforcement_Placement17"/>
      <sheetName val="Skiving_Instruction17"/>
      <sheetName val="Bufing_Instruction_17"/>
      <sheetName val="Marking_Location17"/>
      <sheetName val="Best_Pratise_Schedule17"/>
      <sheetName val="Stitching_Overview_Sketch17"/>
      <sheetName val="Stitching_Instruction17"/>
      <sheetName val="Computer_Stitching_Schedule17"/>
      <sheetName val="Midsole_Color_Schedules__17"/>
      <sheetName val="Midsole_Logo_Schedules___17"/>
      <sheetName val="Outsole_Color_Schedule17"/>
      <sheetName val="Outsole_Preform_Spec17"/>
      <sheetName val="Outssole_Pressing_Process_17"/>
      <sheetName val="Outsole_Trimming_Process17"/>
      <sheetName val="Outsole_Degreasing_Process17"/>
      <sheetName val="STOCK_FIT_BPFC-1st17"/>
      <sheetName val="STOCK_FIT_BPFC-2nd17"/>
      <sheetName val="Stock_Fit_Process17"/>
      <sheetName val="ASSEMBLY_BPFC17"/>
      <sheetName val="Assembling_Process___17"/>
      <sheetName val="Back_Part_Molding_Spec__17"/>
      <sheetName val="Sockliner_Specification17"/>
      <sheetName val="Marking&amp;Primer_of_StrobelSock17"/>
      <sheetName val="Upper_Measurement_Spec17"/>
      <sheetName val="Production_Checklist_17"/>
      <sheetName val="output_per_jam17"/>
      <sheetName val="data_Productivity17"/>
      <sheetName val="MLT_17"/>
      <sheetName val="daily_BEP17"/>
      <sheetName val="PS_xls17"/>
      <sheetName val="LBP_ACE_16_417"/>
      <sheetName val="PS_KIQ314_M1-C1(861057-141-0018"/>
      <sheetName val="Index_18"/>
      <sheetName val="Material_Lamination_Process18"/>
      <sheetName val="Perf_Schedule18"/>
      <sheetName val="Molding_Piece_Schedule18"/>
      <sheetName val="Logo_Specification18"/>
      <sheetName val="Reinforcement_Placement18"/>
      <sheetName val="Skiving_Instruction18"/>
      <sheetName val="Bufing_Instruction_18"/>
      <sheetName val="Marking_Location18"/>
      <sheetName val="Best_Pratise_Schedule18"/>
      <sheetName val="Stitching_Overview_Sketch18"/>
      <sheetName val="Stitching_Instruction18"/>
      <sheetName val="Computer_Stitching_Schedule18"/>
      <sheetName val="Midsole_Color_Schedules__18"/>
      <sheetName val="Midsole_Logo_Schedules___18"/>
      <sheetName val="Outsole_Color_Schedule18"/>
      <sheetName val="Outsole_Preform_Spec18"/>
      <sheetName val="Outssole_Pressing_Process_18"/>
      <sheetName val="Outsole_Trimming_Process18"/>
      <sheetName val="Outsole_Degreasing_Process18"/>
      <sheetName val="STOCK_FIT_BPFC-1st18"/>
      <sheetName val="STOCK_FIT_BPFC-2nd18"/>
      <sheetName val="Stock_Fit_Process18"/>
      <sheetName val="ASSEMBLY_BPFC18"/>
      <sheetName val="Assembling_Process___18"/>
      <sheetName val="Back_Part_Molding_Spec__18"/>
      <sheetName val="Sockliner_Specification18"/>
      <sheetName val="Marking&amp;Primer_of_StrobelSock18"/>
      <sheetName val="Upper_Measurement_Spec18"/>
      <sheetName val="Production_Checklist_18"/>
      <sheetName val="output_per_jam18"/>
      <sheetName val="data_Productivity18"/>
      <sheetName val="MLT_18"/>
      <sheetName val="daily_BEP18"/>
      <sheetName val="PS_xls18"/>
      <sheetName val="LBP_ACE_16_418"/>
      <sheetName val="PS_KIQ314_M1-C1(861057-141-0019"/>
      <sheetName val="Index_19"/>
      <sheetName val="Material_Lamination_Process19"/>
      <sheetName val="Perf_Schedule19"/>
      <sheetName val="Molding_Piece_Schedule19"/>
      <sheetName val="Logo_Specification19"/>
      <sheetName val="Reinforcement_Placement19"/>
      <sheetName val="Skiving_Instruction19"/>
      <sheetName val="Bufing_Instruction_19"/>
      <sheetName val="Marking_Location19"/>
      <sheetName val="Best_Pratise_Schedule19"/>
      <sheetName val="Stitching_Overview_Sketch19"/>
      <sheetName val="Stitching_Instruction19"/>
      <sheetName val="Computer_Stitching_Schedule19"/>
      <sheetName val="Midsole_Color_Schedules__19"/>
      <sheetName val="Midsole_Logo_Schedules___19"/>
      <sheetName val="Outsole_Color_Schedule19"/>
      <sheetName val="Outsole_Preform_Spec19"/>
      <sheetName val="Outssole_Pressing_Process_19"/>
      <sheetName val="Outsole_Trimming_Process19"/>
      <sheetName val="Outsole_Degreasing_Process19"/>
      <sheetName val="STOCK_FIT_BPFC-1st19"/>
      <sheetName val="STOCK_FIT_BPFC-2nd19"/>
      <sheetName val="Stock_Fit_Process19"/>
      <sheetName val="ASSEMBLY_BPFC19"/>
      <sheetName val="Assembling_Process___19"/>
      <sheetName val="Back_Part_Molding_Spec__19"/>
      <sheetName val="Sockliner_Specification19"/>
      <sheetName val="Marking&amp;Primer_of_StrobelSock19"/>
      <sheetName val="Upper_Measurement_Spec19"/>
      <sheetName val="Production_Checklist_19"/>
      <sheetName val="output_per_jam19"/>
      <sheetName val="data_Productivity19"/>
      <sheetName val="MLT_19"/>
      <sheetName val="daily_BEP19"/>
      <sheetName val="PS_xls19"/>
      <sheetName val="LBP_ACE_16_419"/>
      <sheetName val="PS_KIQ314_M1-C1(861057-141-0020"/>
      <sheetName val="Index_20"/>
      <sheetName val="Material_Lamination_Process20"/>
      <sheetName val="Perf_Schedule20"/>
      <sheetName val="Molding_Piece_Schedule20"/>
      <sheetName val="Logo_Specification20"/>
      <sheetName val="Reinforcement_Placement20"/>
      <sheetName val="Skiving_Instruction20"/>
      <sheetName val="Bufing_Instruction_20"/>
      <sheetName val="Marking_Location20"/>
      <sheetName val="Best_Pratise_Schedule20"/>
      <sheetName val="Stitching_Overview_Sketch20"/>
      <sheetName val="Stitching_Instruction20"/>
      <sheetName val="Computer_Stitching_Schedule20"/>
      <sheetName val="Midsole_Color_Schedules__20"/>
      <sheetName val="Midsole_Logo_Schedules___20"/>
      <sheetName val="Outsole_Color_Schedule20"/>
      <sheetName val="Outsole_Preform_Spec20"/>
      <sheetName val="Outssole_Pressing_Process_20"/>
      <sheetName val="Outsole_Trimming_Process20"/>
      <sheetName val="Outsole_Degreasing_Process20"/>
      <sheetName val="STOCK_FIT_BPFC-1st20"/>
      <sheetName val="STOCK_FIT_BPFC-2nd20"/>
      <sheetName val="Stock_Fit_Process20"/>
      <sheetName val="ASSEMBLY_BPFC20"/>
      <sheetName val="Assembling_Process___20"/>
      <sheetName val="Back_Part_Molding_Spec__20"/>
      <sheetName val="Sockliner_Specification20"/>
      <sheetName val="Marking&amp;Primer_of_StrobelSock20"/>
      <sheetName val="Upper_Measurement_Spec20"/>
      <sheetName val="Production_Checklist_20"/>
      <sheetName val="output_per_jam20"/>
      <sheetName val="data_Productivity20"/>
      <sheetName val="MLT_20"/>
      <sheetName val="daily_BEP20"/>
      <sheetName val="PS_xls20"/>
      <sheetName val="LBP_ACE_16_420"/>
      <sheetName val="PS_KIQ314_M1-C1(861057-141-0021"/>
      <sheetName val="Index_21"/>
      <sheetName val="Material_Lamination_Process21"/>
      <sheetName val="Perf_Schedule21"/>
      <sheetName val="Molding_Piece_Schedule21"/>
      <sheetName val="Logo_Specification21"/>
      <sheetName val="Reinforcement_Placement21"/>
      <sheetName val="Skiving_Instruction21"/>
      <sheetName val="Bufing_Instruction_21"/>
      <sheetName val="Marking_Location21"/>
      <sheetName val="Best_Pratise_Schedule21"/>
      <sheetName val="Stitching_Overview_Sketch21"/>
      <sheetName val="Stitching_Instruction21"/>
      <sheetName val="Computer_Stitching_Schedule21"/>
      <sheetName val="Midsole_Color_Schedules__21"/>
      <sheetName val="Midsole_Logo_Schedules___21"/>
      <sheetName val="Outsole_Color_Schedule21"/>
      <sheetName val="Outsole_Preform_Spec21"/>
      <sheetName val="Outssole_Pressing_Process_21"/>
      <sheetName val="Outsole_Trimming_Process21"/>
      <sheetName val="Outsole_Degreasing_Process21"/>
      <sheetName val="STOCK_FIT_BPFC-1st21"/>
      <sheetName val="STOCK_FIT_BPFC-2nd21"/>
      <sheetName val="Stock_Fit_Process21"/>
      <sheetName val="ASSEMBLY_BPFC21"/>
      <sheetName val="Assembling_Process___21"/>
      <sheetName val="Back_Part_Molding_Spec__21"/>
      <sheetName val="Sockliner_Specification21"/>
      <sheetName val="Marking&amp;Primer_of_StrobelSock21"/>
      <sheetName val="Upper_Measurement_Spec21"/>
      <sheetName val="Production_Checklist_21"/>
      <sheetName val="output_per_jam21"/>
      <sheetName val="data_Productivity21"/>
      <sheetName val="MLT_21"/>
      <sheetName val="daily_BEP21"/>
      <sheetName val="PS_xls21"/>
      <sheetName val="LBP_ACE_16_421"/>
      <sheetName val="PS_KIQ314_M1-C1(861057-141-0022"/>
      <sheetName val="Index_22"/>
      <sheetName val="Material_Lamination_Process22"/>
      <sheetName val="Perf_Schedule22"/>
      <sheetName val="Molding_Piece_Schedule22"/>
      <sheetName val="Logo_Specification22"/>
      <sheetName val="Reinforcement_Placement22"/>
      <sheetName val="Skiving_Instruction22"/>
      <sheetName val="Bufing_Instruction_22"/>
      <sheetName val="Marking_Location22"/>
      <sheetName val="Best_Pratise_Schedule22"/>
      <sheetName val="Stitching_Overview_Sketch22"/>
      <sheetName val="Stitching_Instruction22"/>
      <sheetName val="Computer_Stitching_Schedule22"/>
      <sheetName val="Midsole_Color_Schedules__22"/>
      <sheetName val="Midsole_Logo_Schedules___22"/>
      <sheetName val="Outsole_Color_Schedule22"/>
      <sheetName val="Outsole_Preform_Spec22"/>
      <sheetName val="Outssole_Pressing_Process_22"/>
      <sheetName val="Outsole_Trimming_Process22"/>
      <sheetName val="Outsole_Degreasing_Process22"/>
      <sheetName val="STOCK_FIT_BPFC-1st22"/>
      <sheetName val="STOCK_FIT_BPFC-2nd22"/>
      <sheetName val="Stock_Fit_Process22"/>
      <sheetName val="ASSEMBLY_BPFC22"/>
      <sheetName val="Assembling_Process___22"/>
      <sheetName val="Back_Part_Molding_Spec__22"/>
      <sheetName val="Sockliner_Specification22"/>
      <sheetName val="Marking&amp;Primer_of_StrobelSock22"/>
      <sheetName val="Upper_Measurement_Spec22"/>
      <sheetName val="Production_Checklist_22"/>
      <sheetName val="output_per_jam22"/>
      <sheetName val="data_Productivity22"/>
      <sheetName val="MLT_22"/>
      <sheetName val="daily_BEP22"/>
      <sheetName val="PS_xls22"/>
      <sheetName val="LBP_ACE_16_422"/>
      <sheetName val="PS_KIQ314_M1-C1(861057-141-0023"/>
      <sheetName val="Index_23"/>
      <sheetName val="Material_Lamination_Process23"/>
      <sheetName val="Perf_Schedule23"/>
      <sheetName val="Molding_Piece_Schedule23"/>
      <sheetName val="Logo_Specification23"/>
      <sheetName val="Reinforcement_Placement23"/>
      <sheetName val="Skiving_Instruction23"/>
      <sheetName val="Bufing_Instruction_23"/>
      <sheetName val="Marking_Location23"/>
      <sheetName val="Best_Pratise_Schedule23"/>
      <sheetName val="Stitching_Overview_Sketch23"/>
      <sheetName val="Stitching_Instruction23"/>
      <sheetName val="Computer_Stitching_Schedule23"/>
      <sheetName val="Midsole_Color_Schedules__23"/>
      <sheetName val="Midsole_Logo_Schedules___23"/>
      <sheetName val="Outsole_Color_Schedule23"/>
      <sheetName val="Outsole_Preform_Spec23"/>
      <sheetName val="Outssole_Pressing_Process_23"/>
      <sheetName val="Outsole_Trimming_Process23"/>
      <sheetName val="Outsole_Degreasing_Process23"/>
      <sheetName val="STOCK_FIT_BPFC-1st23"/>
      <sheetName val="STOCK_FIT_BPFC-2nd23"/>
      <sheetName val="Stock_Fit_Process23"/>
      <sheetName val="ASSEMBLY_BPFC23"/>
      <sheetName val="Assembling_Process___23"/>
      <sheetName val="Back_Part_Molding_Spec__23"/>
      <sheetName val="Sockliner_Specification23"/>
      <sheetName val="Marking&amp;Primer_of_StrobelSock23"/>
      <sheetName val="Upper_Measurement_Spec23"/>
      <sheetName val="Production_Checklist_23"/>
      <sheetName val="output_per_jam23"/>
      <sheetName val="data_Productivity23"/>
      <sheetName val="MLT_23"/>
      <sheetName val="daily_BEP23"/>
      <sheetName val="PS_xls23"/>
      <sheetName val="LBP_ACE_16_423"/>
      <sheetName val="PS_KIQ314_M1-C1(861057-141-0024"/>
      <sheetName val="Index_24"/>
      <sheetName val="Material_Lamination_Process24"/>
      <sheetName val="Perf_Schedule24"/>
      <sheetName val="Molding_Piece_Schedule24"/>
      <sheetName val="Logo_Specification24"/>
      <sheetName val="Reinforcement_Placement24"/>
      <sheetName val="Skiving_Instruction24"/>
      <sheetName val="Bufing_Instruction_24"/>
      <sheetName val="Marking_Location24"/>
      <sheetName val="Best_Pratise_Schedule24"/>
      <sheetName val="Stitching_Overview_Sketch24"/>
      <sheetName val="Stitching_Instruction24"/>
      <sheetName val="Computer_Stitching_Schedule24"/>
      <sheetName val="Midsole_Color_Schedules__24"/>
      <sheetName val="Midsole_Logo_Schedules___24"/>
      <sheetName val="Outsole_Color_Schedule24"/>
      <sheetName val="Outsole_Preform_Spec24"/>
      <sheetName val="Outssole_Pressing_Process_24"/>
      <sheetName val="Outsole_Trimming_Process24"/>
      <sheetName val="Outsole_Degreasing_Process24"/>
      <sheetName val="STOCK_FIT_BPFC-1st24"/>
      <sheetName val="STOCK_FIT_BPFC-2nd24"/>
      <sheetName val="Stock_Fit_Process24"/>
      <sheetName val="ASSEMBLY_BPFC24"/>
      <sheetName val="Assembling_Process___24"/>
      <sheetName val="Back_Part_Molding_Spec__24"/>
      <sheetName val="Sockliner_Specification24"/>
      <sheetName val="Marking&amp;Primer_of_StrobelSock24"/>
      <sheetName val="Upper_Measurement_Spec24"/>
      <sheetName val="Production_Checklist_24"/>
      <sheetName val="output_per_jam24"/>
      <sheetName val="data_Productivity24"/>
      <sheetName val="MLT_24"/>
      <sheetName val="daily_BEP24"/>
      <sheetName val="PS_xls24"/>
      <sheetName val="LBP_ACE_16_424"/>
      <sheetName val="PS_KIQ314_M1-C1(861057-141-0025"/>
      <sheetName val="Index_25"/>
      <sheetName val="Material_Lamination_Process25"/>
      <sheetName val="Perf_Schedule25"/>
      <sheetName val="Molding_Piece_Schedule25"/>
      <sheetName val="Logo_Specification25"/>
      <sheetName val="Reinforcement_Placement25"/>
      <sheetName val="Skiving_Instruction25"/>
      <sheetName val="Bufing_Instruction_25"/>
      <sheetName val="Marking_Location25"/>
      <sheetName val="Best_Pratise_Schedule25"/>
      <sheetName val="Stitching_Overview_Sketch25"/>
      <sheetName val="Stitching_Instruction25"/>
      <sheetName val="Computer_Stitching_Schedule25"/>
      <sheetName val="Midsole_Color_Schedules__25"/>
      <sheetName val="Midsole_Logo_Schedules___25"/>
      <sheetName val="Outsole_Color_Schedule25"/>
      <sheetName val="Outsole_Preform_Spec25"/>
      <sheetName val="Outssole_Pressing_Process_25"/>
      <sheetName val="Outsole_Trimming_Process25"/>
      <sheetName val="Outsole_Degreasing_Process25"/>
      <sheetName val="STOCK_FIT_BPFC-1st25"/>
      <sheetName val="STOCK_FIT_BPFC-2nd25"/>
      <sheetName val="Stock_Fit_Process25"/>
      <sheetName val="ASSEMBLY_BPFC25"/>
      <sheetName val="Assembling_Process___25"/>
      <sheetName val="Back_Part_Molding_Spec__25"/>
      <sheetName val="Sockliner_Specification25"/>
      <sheetName val="Marking&amp;Primer_of_StrobelSock25"/>
      <sheetName val="Upper_Measurement_Spec25"/>
      <sheetName val="Production_Checklist_25"/>
      <sheetName val="output_per_jam25"/>
      <sheetName val="data_Productivity25"/>
      <sheetName val="MLT_25"/>
      <sheetName val="daily_BEP25"/>
      <sheetName val="PS_xls25"/>
      <sheetName val="LBP_ACE_16_425"/>
      <sheetName val="PS_KIQ314_M1-C1(861057-141-0026"/>
      <sheetName val="Index_26"/>
      <sheetName val="Material_Lamination_Process26"/>
      <sheetName val="Perf_Schedule26"/>
      <sheetName val="Molding_Piece_Schedule26"/>
      <sheetName val="Logo_Specification26"/>
      <sheetName val="Reinforcement_Placement26"/>
      <sheetName val="Skiving_Instruction26"/>
      <sheetName val="Bufing_Instruction_26"/>
      <sheetName val="Marking_Location26"/>
      <sheetName val="Best_Pratise_Schedule26"/>
      <sheetName val="Stitching_Overview_Sketch26"/>
      <sheetName val="Stitching_Instruction26"/>
      <sheetName val="Computer_Stitching_Schedule26"/>
      <sheetName val="Midsole_Color_Schedules__26"/>
      <sheetName val="Midsole_Logo_Schedules___26"/>
      <sheetName val="Outsole_Color_Schedule26"/>
      <sheetName val="Outsole_Preform_Spec26"/>
      <sheetName val="Outssole_Pressing_Process_26"/>
      <sheetName val="Outsole_Trimming_Process26"/>
      <sheetName val="Outsole_Degreasing_Process26"/>
      <sheetName val="STOCK_FIT_BPFC-1st26"/>
      <sheetName val="STOCK_FIT_BPFC-2nd26"/>
      <sheetName val="Stock_Fit_Process26"/>
      <sheetName val="ASSEMBLY_BPFC26"/>
      <sheetName val="Assembling_Process___26"/>
      <sheetName val="Back_Part_Molding_Spec__26"/>
      <sheetName val="Sockliner_Specification26"/>
      <sheetName val="Marking&amp;Primer_of_StrobelSock26"/>
      <sheetName val="Upper_Measurement_Spec26"/>
      <sheetName val="Production_Checklist_26"/>
      <sheetName val="output_per_jam26"/>
      <sheetName val="data_Productivity26"/>
      <sheetName val="MLT_26"/>
      <sheetName val="daily_BEP26"/>
      <sheetName val="PS_xls26"/>
      <sheetName val="LBP_ACE_16_426"/>
      <sheetName val="PS_KIQ314_M1-C1(861057-141-0027"/>
      <sheetName val="Index_27"/>
      <sheetName val="Material_Lamination_Process27"/>
      <sheetName val="Perf_Schedule27"/>
      <sheetName val="Molding_Piece_Schedule27"/>
      <sheetName val="Logo_Specification27"/>
      <sheetName val="Reinforcement_Placement27"/>
      <sheetName val="Skiving_Instruction27"/>
      <sheetName val="Bufing_Instruction_27"/>
      <sheetName val="Marking_Location27"/>
      <sheetName val="Best_Pratise_Schedule27"/>
      <sheetName val="Stitching_Overview_Sketch27"/>
      <sheetName val="Stitching_Instruction27"/>
      <sheetName val="Computer_Stitching_Schedule27"/>
      <sheetName val="Midsole_Color_Schedules__27"/>
      <sheetName val="Midsole_Logo_Schedules___27"/>
      <sheetName val="Outsole_Color_Schedule27"/>
      <sheetName val="Outsole_Preform_Spec27"/>
      <sheetName val="Outssole_Pressing_Process_27"/>
      <sheetName val="Outsole_Trimming_Process27"/>
      <sheetName val="Outsole_Degreasing_Process27"/>
      <sheetName val="STOCK_FIT_BPFC-1st27"/>
      <sheetName val="STOCK_FIT_BPFC-2nd27"/>
      <sheetName val="Stock_Fit_Process27"/>
      <sheetName val="ASSEMBLY_BPFC27"/>
      <sheetName val="Assembling_Process___27"/>
      <sheetName val="Back_Part_Molding_Spec__27"/>
      <sheetName val="Sockliner_Specification27"/>
      <sheetName val="Marking&amp;Primer_of_StrobelSock27"/>
      <sheetName val="Upper_Measurement_Spec27"/>
      <sheetName val="Production_Checklist_27"/>
      <sheetName val="output_per_jam27"/>
      <sheetName val="data_Productivity27"/>
      <sheetName val="MLT_27"/>
      <sheetName val="daily_BEP27"/>
      <sheetName val="PS_xls27"/>
      <sheetName val="LBP_ACE_16_427"/>
    </sheetNames>
    <definedNames>
      <definedName name="PAGE_WIDTH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Sheet2"/>
      <sheetName val="#REF"/>
      <sheetName val="MATERIAL SPEC."/>
      <sheetName val="Mold Efficiency Form"/>
      <sheetName val="BIDDING-SUM"/>
      <sheetName val="Sum"/>
      <sheetName val="#REF!"/>
      <sheetName val="5.수정데이터통합"/>
      <sheetName val="IBASE"/>
      <sheetName val="DWPM"/>
      <sheetName val="BPFC SWEET CLASSIC"/>
      <sheetName val="MATERIAL%20SPEC..xls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Resume"/>
      <sheetName val="Raw Data Sheet"/>
      <sheetName val="fty fill in"/>
      <sheetName val="PROGRESS"/>
      <sheetName val="JUNI LOAD PLAN"/>
      <sheetName val="Finding"/>
      <sheetName val="Tables"/>
      <sheetName val="Sheet1"/>
      <sheetName val="제조공정도5"/>
      <sheetName val="Data"/>
      <sheetName val="CHI PHÍ MAY MÓC"/>
      <sheetName val="MTP"/>
      <sheetName val="8250"/>
      <sheetName val="0103"/>
      <sheetName val="Material_SpecificationsWO_"/>
      <sheetName val="Material_Specifications_ME"/>
      <sheetName val="MATERIAL_SPEC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Sheet2"/>
      <sheetName val="#REF"/>
      <sheetName val="MATERIAL SPEC."/>
      <sheetName val="Mold Efficiency Form"/>
      <sheetName val="BIDDING-SUM"/>
      <sheetName val="Sum"/>
      <sheetName val="#REF!"/>
      <sheetName val="5.수정데이터통합"/>
      <sheetName val="IBASE"/>
      <sheetName val="DWPM"/>
      <sheetName val="BPFC SWEET CLASSIC"/>
      <sheetName val="MATERIAL%20SPEC..xls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Resume"/>
      <sheetName val="Raw Data Sheet"/>
      <sheetName val="fty fill in"/>
      <sheetName val="PROGRESS"/>
      <sheetName val="JUNI LOAD PLAN"/>
      <sheetName val="Finding"/>
      <sheetName val="Tables"/>
      <sheetName val="Sheet1"/>
      <sheetName val="제조공정도5"/>
      <sheetName val="Data"/>
      <sheetName val="CHI PHÍ MAY MÓC"/>
      <sheetName val="MTP"/>
      <sheetName val="8250"/>
      <sheetName val="0103"/>
      <sheetName val="Material_SpecificationsWO_"/>
      <sheetName val="Material_Specifications_ME"/>
      <sheetName val="MATERIAL_SPEC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 KIM"/>
      <sheetName val="LOT NOT CHECK"/>
      <sheetName val="SCHEDULE "/>
      <sheetName val="RESULT "/>
      <sheetName val="RESULT nike"/>
      <sheetName val="MONTHLY"/>
      <sheetName val="NAME"/>
      <sheetName val="NAME (2)"/>
      <sheetName val="Sheet1"/>
      <sheetName val="HUONGMOI1"/>
      <sheetName val="DropDownlists"/>
      <sheetName val="Supplier Lis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A1">
            <v>1</v>
          </cell>
        </row>
        <row r="2">
          <cell r="AC2" t="str">
            <v>102090-141</v>
          </cell>
          <cell r="AD2" t="str">
            <v>A ALIGN (MS)</v>
          </cell>
          <cell r="AE2" t="str">
            <v>04-06-99</v>
          </cell>
        </row>
        <row r="3">
          <cell r="AC3" t="str">
            <v>102090-161</v>
          </cell>
          <cell r="AD3" t="str">
            <v>A ALIGN (MS)</v>
          </cell>
          <cell r="AE3" t="str">
            <v>04-06-99</v>
          </cell>
        </row>
        <row r="4">
          <cell r="AC4" t="str">
            <v>104211-221</v>
          </cell>
          <cell r="AD4" t="str">
            <v>A MX TWIND 4 NB (MS)</v>
          </cell>
          <cell r="AE4" t="str">
            <v>08-10-00</v>
          </cell>
          <cell r="AF4" t="str">
            <v>GRAVEL / BRICH</v>
          </cell>
        </row>
        <row r="5">
          <cell r="AC5" t="str">
            <v>302145-231</v>
          </cell>
          <cell r="AD5" t="str">
            <v>A PRESTO B (MS)</v>
          </cell>
        </row>
        <row r="6">
          <cell r="AC6" t="str">
            <v>302733-002</v>
          </cell>
          <cell r="AD6" t="str">
            <v>AIR PRESTO WOVEN B (MS)</v>
          </cell>
        </row>
        <row r="7">
          <cell r="AC7" t="str">
            <v>302733-003</v>
          </cell>
          <cell r="AD7" t="str">
            <v>AIR PRESTO WOVEN B (MS)</v>
          </cell>
        </row>
        <row r="8">
          <cell r="AC8" t="str">
            <v>302733-601</v>
          </cell>
          <cell r="AD8" t="str">
            <v>AIR PRESTO WOVEN B (MS)</v>
          </cell>
        </row>
        <row r="9">
          <cell r="AC9" t="str">
            <v>609045-041</v>
          </cell>
          <cell r="AD9" t="str">
            <v>A PRESTO B (MS)</v>
          </cell>
        </row>
        <row r="10">
          <cell r="AC10" t="str">
            <v>302212-401</v>
          </cell>
          <cell r="AD10" t="str">
            <v>A. Max' 95</v>
          </cell>
        </row>
        <row r="11">
          <cell r="AC11" t="str">
            <v>302214-171</v>
          </cell>
          <cell r="AD11" t="str">
            <v>A. Max' 95 Lowtop</v>
          </cell>
        </row>
        <row r="12">
          <cell r="AC12" t="str">
            <v>302295-451</v>
          </cell>
          <cell r="AD12" t="str">
            <v>AIR MAX DOLCE (MS)</v>
          </cell>
        </row>
        <row r="13">
          <cell r="AC13" t="str">
            <v>302315-161</v>
          </cell>
          <cell r="AD13" t="str">
            <v>A. Int' l TX 3</v>
          </cell>
        </row>
        <row r="14">
          <cell r="AC14" t="str">
            <v>302329-001</v>
          </cell>
          <cell r="AD14" t="str">
            <v>AIR MAX DOLCE (MS)</v>
          </cell>
        </row>
        <row r="15">
          <cell r="AC15" t="str">
            <v>302329-003</v>
          </cell>
          <cell r="AD15" t="str">
            <v>AIR MAX DOLCE (MS)</v>
          </cell>
        </row>
        <row r="16">
          <cell r="AC16" t="str">
            <v>302480-141</v>
          </cell>
          <cell r="AD16" t="str">
            <v>A MAX TAILWIND 7 (MS)</v>
          </cell>
        </row>
        <row r="17">
          <cell r="AC17" t="str">
            <v>302484-002</v>
          </cell>
          <cell r="AD17" t="str">
            <v>A MAX TAILWIND 7 (MS)</v>
          </cell>
        </row>
        <row r="18">
          <cell r="AC18" t="str">
            <v>302484-004</v>
          </cell>
          <cell r="AD18" t="str">
            <v>A MAX TAILWIND 7 (MS)</v>
          </cell>
        </row>
        <row r="19">
          <cell r="AC19" t="str">
            <v>302569-061</v>
          </cell>
          <cell r="AD19" t="str">
            <v>AIR MAX DOLCE (MS)</v>
          </cell>
        </row>
        <row r="20">
          <cell r="AC20" t="str">
            <v>302587-401</v>
          </cell>
          <cell r="AD20" t="str">
            <v>AIR MAX DOLCE (MS)</v>
          </cell>
        </row>
        <row r="21">
          <cell r="AC21" t="str">
            <v>302745-161</v>
          </cell>
          <cell r="AD21" t="str">
            <v>A. Int'l TX (Wide)</v>
          </cell>
        </row>
        <row r="22">
          <cell r="AC22" t="str">
            <v>609092-002</v>
          </cell>
          <cell r="AD22" t="str">
            <v>A MX TWIND 5+ (MS)</v>
          </cell>
          <cell r="AE22" t="str">
            <v>01-09-11</v>
          </cell>
          <cell r="AF22" t="str">
            <v>BLACK/MET SILVER</v>
          </cell>
        </row>
        <row r="23">
          <cell r="AC23" t="str">
            <v>302733-001</v>
          </cell>
          <cell r="AD23" t="str">
            <v>AIR PRESTO WOVEN B (MS)</v>
          </cell>
          <cell r="AE23" t="str">
            <v>01-09-11</v>
          </cell>
          <cell r="AF23" t="str">
            <v>BLK/BLK-SPORT RED</v>
          </cell>
        </row>
        <row r="24">
          <cell r="AC24" t="str">
            <v>302733-441</v>
          </cell>
          <cell r="AD24" t="str">
            <v>AIR PRESTO WOVEN B (MS)</v>
          </cell>
          <cell r="AE24" t="str">
            <v>01-09-11</v>
          </cell>
          <cell r="AF24" t="str">
            <v>VRS BLU/INTL BLU-MED GRY</v>
          </cell>
        </row>
        <row r="25">
          <cell r="AC25" t="str">
            <v>302733-341</v>
          </cell>
          <cell r="AD25" t="str">
            <v>AIR PRESTO WOVEN B (MS)</v>
          </cell>
          <cell r="AE25" t="str">
            <v>01-09-11</v>
          </cell>
        </row>
        <row r="26">
          <cell r="AC26" t="str">
            <v>304057-461</v>
          </cell>
          <cell r="AD26" t="str">
            <v>AIR MAX 4 SC (MS)</v>
          </cell>
        </row>
        <row r="27">
          <cell r="AC27" t="str">
            <v>303921-041</v>
          </cell>
          <cell r="AD27" t="str">
            <v>AIR BOHEMIAN 2 (WS)</v>
          </cell>
        </row>
        <row r="28">
          <cell r="AC28" t="str">
            <v>302480-411</v>
          </cell>
          <cell r="AD28" t="str">
            <v>A MAX TAILWIND 7 (MS)</v>
          </cell>
        </row>
        <row r="29">
          <cell r="AC29" t="str">
            <v>302506-043</v>
          </cell>
          <cell r="AD29" t="str">
            <v>AIR BOHEMIAN 2 (WS)</v>
          </cell>
        </row>
        <row r="30">
          <cell r="AC30" t="str">
            <v>302329-002</v>
          </cell>
          <cell r="AD30" t="str">
            <v>AIR MAX DOLCE (MS)</v>
          </cell>
        </row>
        <row r="31">
          <cell r="AC31" t="str">
            <v>302587-001</v>
          </cell>
          <cell r="AD31" t="str">
            <v>AIR BOHEMIAN 2 (WS)</v>
          </cell>
        </row>
        <row r="32">
          <cell r="AC32" t="str">
            <v>302733-443</v>
          </cell>
          <cell r="AD32" t="str">
            <v>AIR PRESTO WOVEN B (MS)</v>
          </cell>
          <cell r="AE32" t="str">
            <v>01-09-11</v>
          </cell>
        </row>
        <row r="33">
          <cell r="AC33" t="str">
            <v>302734-003</v>
          </cell>
          <cell r="AD33" t="str">
            <v>AIR PRESTO WOVEN B (WS)</v>
          </cell>
          <cell r="AE33" t="str">
            <v>01-09-11</v>
          </cell>
          <cell r="AF33" t="str">
            <v>MED GRY/LT GRAPH-LT CHLL-WHT</v>
          </cell>
        </row>
        <row r="34">
          <cell r="AC34" t="str">
            <v>302734-121</v>
          </cell>
          <cell r="AD34" t="str">
            <v>AIR PRESTO WOVEN B (WS)</v>
          </cell>
          <cell r="AE34" t="str">
            <v>01-09-11</v>
          </cell>
        </row>
        <row r="35">
          <cell r="AC35" t="str">
            <v>302734-441</v>
          </cell>
          <cell r="AD35" t="str">
            <v>AIR PRESTO WOVEN B (WS)</v>
          </cell>
          <cell r="AE35" t="str">
            <v>01-09-11</v>
          </cell>
        </row>
        <row r="36">
          <cell r="AC36" t="str">
            <v>302734-443</v>
          </cell>
          <cell r="AD36" t="str">
            <v>AIR PRESTO WOVEN B (WS)</v>
          </cell>
          <cell r="AE36" t="str">
            <v>01-09-11</v>
          </cell>
        </row>
        <row r="37">
          <cell r="AC37" t="str">
            <v>302734-531</v>
          </cell>
          <cell r="AD37" t="str">
            <v>AIR PRESTO WOVEN B (WS)</v>
          </cell>
          <cell r="AE37" t="str">
            <v>01-09-11</v>
          </cell>
        </row>
        <row r="38">
          <cell r="AC38" t="str">
            <v>302734-760</v>
          </cell>
          <cell r="AD38" t="str">
            <v>AIR PRESTO WOVEN B (WS)</v>
          </cell>
          <cell r="AE38" t="str">
            <v>01-09-11</v>
          </cell>
        </row>
        <row r="39">
          <cell r="AC39" t="str">
            <v>302734-761</v>
          </cell>
          <cell r="AD39" t="str">
            <v>AIR PRESTO WOVEN B (WS)</v>
          </cell>
          <cell r="AE39" t="str">
            <v>01-09-11</v>
          </cell>
        </row>
        <row r="40">
          <cell r="AC40" t="str">
            <v>605193-041</v>
          </cell>
          <cell r="AD40" t="str">
            <v>A PRESTO FAZE (WS)</v>
          </cell>
          <cell r="AE40" t="str">
            <v>01-08-10</v>
          </cell>
        </row>
        <row r="41">
          <cell r="AC41" t="str">
            <v>605078-041</v>
          </cell>
          <cell r="AD41" t="str">
            <v>A MAX SC (WS)</v>
          </cell>
          <cell r="AE41" t="str">
            <v>01-08-10</v>
          </cell>
        </row>
        <row r="42">
          <cell r="AC42" t="str">
            <v>302315-001</v>
          </cell>
          <cell r="AD42" t="str">
            <v>A INTL TRIAX 3 (MS)</v>
          </cell>
          <cell r="AE42" t="str">
            <v>01-011-01</v>
          </cell>
          <cell r="AF42" t="str">
            <v>LT GRPH/MET SLVR-BLK-NTRL GRY</v>
          </cell>
        </row>
        <row r="43">
          <cell r="AC43" t="str">
            <v>604205-003</v>
          </cell>
          <cell r="AD43" t="str">
            <v>A MX TWIND 5 (MS)</v>
          </cell>
          <cell r="AE43" t="str">
            <v>01-10-12</v>
          </cell>
        </row>
        <row r="44">
          <cell r="AC44" t="str">
            <v>302743-003</v>
          </cell>
          <cell r="AD44" t="str">
            <v>A PRESTO (WS)</v>
          </cell>
          <cell r="AE44" t="str">
            <v>01-09-11</v>
          </cell>
          <cell r="AF44" t="str">
            <v>BLACK/BLACK-WHITE</v>
          </cell>
        </row>
        <row r="45">
          <cell r="AC45" t="str">
            <v>302743-031</v>
          </cell>
          <cell r="AD45" t="str">
            <v>A PRESTO (WS)</v>
          </cell>
          <cell r="AE45" t="str">
            <v>01-09-11</v>
          </cell>
          <cell r="AF45" t="str">
            <v>BLACK/BLACK-WHITE</v>
          </cell>
        </row>
        <row r="46">
          <cell r="AC46" t="str">
            <v>302743-721</v>
          </cell>
          <cell r="AD46" t="str">
            <v>A PRESTO (WS)</v>
          </cell>
          <cell r="AE46" t="str">
            <v>01-09-11</v>
          </cell>
          <cell r="AF46" t="str">
            <v>BLACK/BLACK-WHITE</v>
          </cell>
        </row>
        <row r="47">
          <cell r="AC47" t="str">
            <v>302743-401</v>
          </cell>
          <cell r="AD47" t="str">
            <v>A PRESTO (WS)</v>
          </cell>
          <cell r="AE47" t="str">
            <v>01-09-11</v>
          </cell>
          <cell r="AF47" t="str">
            <v>BLACK/BLACK-WHITE</v>
          </cell>
        </row>
        <row r="48">
          <cell r="AC48" t="str">
            <v>102188-001</v>
          </cell>
          <cell r="AD48" t="str">
            <v>A INTL MAX + NB (MS)</v>
          </cell>
          <cell r="AE48" t="str">
            <v>01-01-03</v>
          </cell>
          <cell r="AF48" t="str">
            <v>CARBON / CARBON-NTRL GRY</v>
          </cell>
        </row>
        <row r="49">
          <cell r="AC49" t="str">
            <v>302840-321</v>
          </cell>
          <cell r="AD49" t="str">
            <v>AIR PRESTO WOVEN B (MS)</v>
          </cell>
          <cell r="AE49" t="str">
            <v>01-09-11</v>
          </cell>
          <cell r="AF49" t="str">
            <v>FADED OLIVE/WALNUT-VEGAS GOLD</v>
          </cell>
        </row>
        <row r="50">
          <cell r="AC50" t="str">
            <v>302840-341</v>
          </cell>
          <cell r="AD50" t="str">
            <v>AIR PRESTO WOVEN B (MS)</v>
          </cell>
          <cell r="AE50" t="str">
            <v>01-09-11</v>
          </cell>
          <cell r="AF50" t="str">
            <v>TENT/CITY NAVY</v>
          </cell>
        </row>
        <row r="51">
          <cell r="AC51" t="str">
            <v>302840-631</v>
          </cell>
          <cell r="AD51" t="str">
            <v>AIR PRESTO WOVEN B (MS)</v>
          </cell>
          <cell r="AE51" t="str">
            <v>01-09-11</v>
          </cell>
        </row>
        <row r="52">
          <cell r="AC52" t="str">
            <v>302840-281</v>
          </cell>
          <cell r="AD52" t="str">
            <v>AIR PRESTO WOVEN B (MS)</v>
          </cell>
          <cell r="AE52" t="str">
            <v>01-09-11</v>
          </cell>
        </row>
        <row r="53">
          <cell r="AC53" t="str">
            <v>605119-101</v>
          </cell>
          <cell r="AD53" t="str">
            <v>A CLASSIC BW LEA (WS)</v>
          </cell>
          <cell r="AE53" t="str">
            <v>01-08-10</v>
          </cell>
          <cell r="AF53" t="str">
            <v>NATURAL/MTSLVR-LTGRPHT-MD GREY</v>
          </cell>
        </row>
        <row r="54">
          <cell r="AC54" t="str">
            <v>102189-061</v>
          </cell>
          <cell r="AD54" t="str">
            <v>A MX TWIND 5 (MS)</v>
          </cell>
          <cell r="AE54" t="str">
            <v>01-02-04</v>
          </cell>
          <cell r="AF54" t="str">
            <v>WHSPR / SAMBA-TOP RUN GREY</v>
          </cell>
        </row>
        <row r="55">
          <cell r="AC55" t="str">
            <v>104231-007</v>
          </cell>
          <cell r="AD55" t="str">
            <v>A PRESTO (MS)</v>
          </cell>
          <cell r="AE55" t="str">
            <v>01-09-11</v>
          </cell>
          <cell r="AF55" t="str">
            <v>BLACK/NEUTRAL GREY</v>
          </cell>
        </row>
        <row r="56">
          <cell r="AC56" t="str">
            <v>604069-081</v>
          </cell>
          <cell r="AD56" t="str">
            <v>AIR MAX 4 SC (MS)</v>
          </cell>
          <cell r="AE56" t="str">
            <v>01-09-11</v>
          </cell>
          <cell r="AF56" t="str">
            <v>BLACK/SAFETY ORANGE-WHITE</v>
          </cell>
        </row>
        <row r="57">
          <cell r="AC57" t="str">
            <v>603147-401</v>
          </cell>
          <cell r="AD57" t="str">
            <v>A TURBULENCE 3 (MS)</v>
          </cell>
          <cell r="AE57" t="str">
            <v>01-02-04</v>
          </cell>
          <cell r="AF57" t="str">
            <v>BLUECHAMBRAY / MSILV-MED-DENIM</v>
          </cell>
        </row>
        <row r="58">
          <cell r="AC58" t="str">
            <v>102195-003</v>
          </cell>
          <cell r="AD58" t="str">
            <v>A TURBULENCE 3 (MS)</v>
          </cell>
          <cell r="AE58" t="str">
            <v>01-05-07</v>
          </cell>
          <cell r="AF58" t="str">
            <v>NTRL GRY / MET SLVR-CHL R-WHT</v>
          </cell>
        </row>
        <row r="59">
          <cell r="AC59" t="str">
            <v>604226-002</v>
          </cell>
          <cell r="AD59" t="str">
            <v>A PRESTO (MS)</v>
          </cell>
          <cell r="AE59" t="str">
            <v>01-06-08</v>
          </cell>
          <cell r="AF59" t="str">
            <v>NEUT.GREY/LT.GRAPHITE-M.SILVER</v>
          </cell>
        </row>
        <row r="60">
          <cell r="AC60" t="str">
            <v>104231-413</v>
          </cell>
          <cell r="AD60" t="str">
            <v>A PRESTO (MS)</v>
          </cell>
          <cell r="AE60" t="str">
            <v>01-06-08</v>
          </cell>
          <cell r="AF60" t="str">
            <v>ISLAND BLUE/WHITE/BLACK</v>
          </cell>
        </row>
        <row r="61">
          <cell r="AC61" t="str">
            <v>105268-001</v>
          </cell>
          <cell r="AD61" t="str">
            <v>A PRESTO (WS)</v>
          </cell>
          <cell r="AE61" t="str">
            <v>01-09-11</v>
          </cell>
          <cell r="AF61" t="str">
            <v>BLK/NTRL GRY-COPA</v>
          </cell>
        </row>
        <row r="62">
          <cell r="AC62" t="str">
            <v>105268-002</v>
          </cell>
          <cell r="AD62" t="str">
            <v>A PRESTO (WS)</v>
          </cell>
          <cell r="AE62" t="str">
            <v>01-09-11</v>
          </cell>
          <cell r="AF62" t="str">
            <v>MD GRY/NTRL GRY-VIOLA</v>
          </cell>
        </row>
        <row r="63">
          <cell r="AC63" t="str">
            <v>602180-002</v>
          </cell>
          <cell r="AD63" t="str">
            <v>A WAFU (MS)</v>
          </cell>
          <cell r="AE63" t="str">
            <v>01-05-07</v>
          </cell>
          <cell r="AF63" t="str">
            <v>MSILVER / DK CHAR-LT GRAPH-VRED</v>
          </cell>
        </row>
        <row r="64">
          <cell r="AC64" t="str">
            <v>104297-441</v>
          </cell>
          <cell r="AD64" t="str">
            <v>A INTL TRIAX 3 (MS)</v>
          </cell>
          <cell r="AE64" t="str">
            <v>01-05-07</v>
          </cell>
        </row>
        <row r="65">
          <cell r="AC65" t="str">
            <v>604087-002</v>
          </cell>
          <cell r="AD65" t="str">
            <v>A MX 95 LEA (MS)</v>
          </cell>
          <cell r="AE65" t="str">
            <v>01-06-08</v>
          </cell>
          <cell r="AF65" t="str">
            <v>BLACK / METALLIC SILVER</v>
          </cell>
        </row>
        <row r="66">
          <cell r="AC66" t="str">
            <v>604161-003</v>
          </cell>
          <cell r="AD66" t="str">
            <v>A CLASSIC BW (MS)</v>
          </cell>
          <cell r="AE66" t="str">
            <v>01-07-09</v>
          </cell>
          <cell r="AF66" t="str">
            <v>ANTHRACITE/ANTHRACITE-MT SLVR</v>
          </cell>
        </row>
        <row r="67">
          <cell r="AC67" t="str">
            <v>104104-191</v>
          </cell>
          <cell r="AD67" t="str">
            <v>A CLASSIC BW LEA (MS)</v>
          </cell>
          <cell r="AE67" t="str">
            <v>01-09-11</v>
          </cell>
          <cell r="AF67" t="str">
            <v>WHT/SPIN -OBSIDIAN</v>
          </cell>
        </row>
        <row r="68">
          <cell r="AC68" t="str">
            <v>604140-072</v>
          </cell>
          <cell r="AD68" t="str">
            <v>A MX TWIND 4 (MS)</v>
          </cell>
          <cell r="AE68" t="str">
            <v>01-05-07</v>
          </cell>
          <cell r="AF68" t="str">
            <v>MET SILVER / MET GOLD-OBSIDIAN</v>
          </cell>
        </row>
        <row r="69">
          <cell r="AC69" t="str">
            <v>604218-071</v>
          </cell>
          <cell r="AD69" t="str">
            <v>A CITY TOUR MAX (MS)</v>
          </cell>
          <cell r="AE69" t="str">
            <v>01-05-07</v>
          </cell>
          <cell r="AF69" t="str">
            <v>BLK / METALLIC GOLD-WHITE</v>
          </cell>
        </row>
        <row r="70">
          <cell r="AC70" t="str">
            <v>604226-005</v>
          </cell>
          <cell r="AD70" t="str">
            <v>A PRESTO (MS)</v>
          </cell>
          <cell r="AE70" t="str">
            <v>01-08-10</v>
          </cell>
          <cell r="AF70" t="str">
            <v>BLACK/NEUTRAL GREY-WHITE</v>
          </cell>
        </row>
        <row r="71">
          <cell r="AC71" t="str">
            <v>604226-402</v>
          </cell>
          <cell r="AD71" t="str">
            <v>A PRESTO (MS)</v>
          </cell>
          <cell r="AE71" t="str">
            <v>01-06-08</v>
          </cell>
          <cell r="AF71" t="str">
            <v>OBSIDIAN/NEUT.GREY-M.SILVER</v>
          </cell>
        </row>
        <row r="72">
          <cell r="AC72" t="str">
            <v>604226-403</v>
          </cell>
          <cell r="AD72" t="str">
            <v>A PRESTO (MS)</v>
          </cell>
          <cell r="AE72" t="str">
            <v>01-08-10</v>
          </cell>
          <cell r="AF72" t="str">
            <v>OBSIDIAN/MET SILVER</v>
          </cell>
        </row>
        <row r="73">
          <cell r="AC73" t="str">
            <v>605091-005</v>
          </cell>
          <cell r="AD73" t="str">
            <v>A CLASSIC BW NB (WS)</v>
          </cell>
          <cell r="AE73" t="str">
            <v>01-09-11</v>
          </cell>
          <cell r="AF73" t="str">
            <v>MAGNET/MEDCHARCOAL-NEUTGREY</v>
          </cell>
        </row>
        <row r="74">
          <cell r="AC74" t="str">
            <v>605091-101</v>
          </cell>
          <cell r="AD74" t="str">
            <v>A CLASSIC BW NB (WS)</v>
          </cell>
          <cell r="AE74" t="str">
            <v>01-08-10</v>
          </cell>
          <cell r="AF74" t="str">
            <v>NATURAL/MTSLVR-LTGRPHT-MD GREY</v>
          </cell>
        </row>
        <row r="75">
          <cell r="AC75" t="str">
            <v>604226-471</v>
          </cell>
          <cell r="AD75" t="str">
            <v>A PRESTO (MS)</v>
          </cell>
          <cell r="AE75" t="str">
            <v>01-05-07</v>
          </cell>
          <cell r="AF75" t="str">
            <v>OBSIDIAN / MET GOLD-WHITE</v>
          </cell>
        </row>
        <row r="76">
          <cell r="AC76" t="str">
            <v>604234-041</v>
          </cell>
          <cell r="AD76" t="str">
            <v>A MX 97 (MS)</v>
          </cell>
          <cell r="AE76" t="str">
            <v>01-09-11</v>
          </cell>
          <cell r="AF76" t="str">
            <v>COOLGREY/BLUESLATE-METSILVER</v>
          </cell>
        </row>
        <row r="77">
          <cell r="AC77" t="str">
            <v>604234-401</v>
          </cell>
          <cell r="AD77" t="str">
            <v>A MX 97 (MS)</v>
          </cell>
          <cell r="AE77" t="str">
            <v>01-07-09</v>
          </cell>
          <cell r="AF77" t="str">
            <v>BLUE SLATE/ MET SILVER -WHITE</v>
          </cell>
        </row>
        <row r="78">
          <cell r="AC78" t="str">
            <v>605029-161</v>
          </cell>
          <cell r="AD78" t="str">
            <v>A CLASSIC BW (WS)</v>
          </cell>
          <cell r="AE78" t="str">
            <v>01-05-07</v>
          </cell>
          <cell r="AF78" t="str">
            <v>WHITE / PINK</v>
          </cell>
        </row>
        <row r="79">
          <cell r="AC79" t="str">
            <v>605119-001</v>
          </cell>
          <cell r="AD79" t="str">
            <v>A CLASSIC BW (WS)</v>
          </cell>
          <cell r="AE79" t="str">
            <v>01-05-07</v>
          </cell>
          <cell r="AF79" t="str">
            <v>BLK / BLK-WHT</v>
          </cell>
        </row>
        <row r="80">
          <cell r="AC80" t="str">
            <v>605119-145</v>
          </cell>
          <cell r="AD80" t="str">
            <v>A CLASSIC BW LEA (WS)</v>
          </cell>
          <cell r="AE80" t="str">
            <v>01-06-08</v>
          </cell>
          <cell r="AF80" t="str">
            <v>WHITE/OBSIDIAN-METSIL-WATERWAY</v>
          </cell>
        </row>
        <row r="81">
          <cell r="AC81" t="str">
            <v>605156-401</v>
          </cell>
          <cell r="AD81" t="str">
            <v>A MX 95 (WS)</v>
          </cell>
          <cell r="AE81" t="str">
            <v>01-05-07</v>
          </cell>
          <cell r="AF81" t="str">
            <v>CHAMBRAY / GRYST-ANTARCT-WINDC</v>
          </cell>
        </row>
        <row r="82">
          <cell r="AC82" t="str">
            <v>609102-011</v>
          </cell>
          <cell r="AD82" t="str">
            <v>A INTL TRIAX 3 (MS)</v>
          </cell>
          <cell r="AE82" t="str">
            <v>01-05-07</v>
          </cell>
          <cell r="AF82" t="str">
            <v>MED CHARCOAL / WHITE</v>
          </cell>
        </row>
        <row r="83">
          <cell r="AC83" t="str">
            <v>655032-071</v>
          </cell>
          <cell r="AD83" t="str">
            <v>A MX TWIND 4+ BG</v>
          </cell>
          <cell r="AE83" t="str">
            <v>01-05-07</v>
          </cell>
          <cell r="AF83" t="str">
            <v>MET SILVER / MET GOLD-OBSIDIAN</v>
          </cell>
        </row>
        <row r="84">
          <cell r="AC84" t="str">
            <v>855101-015</v>
          </cell>
          <cell r="AD84" t="str">
            <v>A MAX (GS)</v>
          </cell>
          <cell r="AE84" t="str">
            <v>01-05-07</v>
          </cell>
          <cell r="AF84" t="str">
            <v>MET SILVER / WHITE-FLASH</v>
          </cell>
        </row>
        <row r="85">
          <cell r="AC85" t="str">
            <v>855101-002</v>
          </cell>
          <cell r="AD85" t="str">
            <v>A MAX (GS)</v>
          </cell>
          <cell r="AE85" t="str">
            <v>01-09-11</v>
          </cell>
          <cell r="AF85" t="str">
            <v>SFT GRY/MET SLVR-TM RYL-ZN GRY</v>
          </cell>
        </row>
        <row r="86">
          <cell r="AC86" t="str">
            <v>855101-001</v>
          </cell>
          <cell r="AD86" t="str">
            <v>A MAX (GS)</v>
          </cell>
          <cell r="AE86" t="str">
            <v>01-06-08</v>
          </cell>
          <cell r="AF86" t="str">
            <v>BLACK/BLK-MET SILVER-NTRL GRY</v>
          </cell>
        </row>
        <row r="87">
          <cell r="AC87" t="str">
            <v>862054-015</v>
          </cell>
          <cell r="AD87" t="str">
            <v>A MAX (PS)</v>
          </cell>
          <cell r="AE87" t="str">
            <v>01-05-07</v>
          </cell>
          <cell r="AF87" t="str">
            <v>MET SILVER / WHITE-FLASH</v>
          </cell>
        </row>
        <row r="88">
          <cell r="AC88" t="str">
            <v>862054-002</v>
          </cell>
          <cell r="AD88" t="str">
            <v>A MAX (PS)</v>
          </cell>
          <cell r="AE88" t="str">
            <v>01-08-10</v>
          </cell>
          <cell r="AF88" t="str">
            <v>SFT GRY/MET SLVR-TM RYL-ZN GRY</v>
          </cell>
        </row>
        <row r="89">
          <cell r="AC89" t="str">
            <v>862054-001</v>
          </cell>
          <cell r="AD89" t="str">
            <v>A MAX (PS)</v>
          </cell>
          <cell r="AE89" t="str">
            <v>01-06-08</v>
          </cell>
          <cell r="AF89" t="str">
            <v>BLK/BLK-MET SILVER-NTRL GRY</v>
          </cell>
        </row>
        <row r="90">
          <cell r="AC90" t="str">
            <v>302506-041</v>
          </cell>
          <cell r="AD90" t="str">
            <v>AIR BOHEMIAN 2 (WS)</v>
          </cell>
          <cell r="AE90" t="str">
            <v>01-08-10</v>
          </cell>
          <cell r="AF90" t="str">
            <v>MET SILVER/CAROLINA BLUE-OBS</v>
          </cell>
        </row>
        <row r="91">
          <cell r="AC91" t="str">
            <v>302506-042</v>
          </cell>
          <cell r="AD91" t="str">
            <v>AIR BOHEMIAN 2 (WS)</v>
          </cell>
          <cell r="AE91" t="str">
            <v>01-08-10</v>
          </cell>
          <cell r="AF91" t="str">
            <v>M SILVER/OBSIDIAN-EMPIRE</v>
          </cell>
        </row>
        <row r="92">
          <cell r="AC92" t="str">
            <v>302506-001</v>
          </cell>
          <cell r="AD92" t="str">
            <v>AIR BOHEMIAN 2 (WS)</v>
          </cell>
          <cell r="AE92" t="str">
            <v>01-08-10</v>
          </cell>
          <cell r="AF92" t="str">
            <v>M SILVER/M SILVER-SAMBA</v>
          </cell>
        </row>
        <row r="93">
          <cell r="AC93" t="str">
            <v>302506-661</v>
          </cell>
          <cell r="AD93" t="str">
            <v>AIR BOHEMIAN 2 (WS)</v>
          </cell>
          <cell r="AE93" t="str">
            <v>01-08-10</v>
          </cell>
          <cell r="AF93" t="str">
            <v>SAMBA/WHITE-MET SILVER</v>
          </cell>
        </row>
        <row r="94">
          <cell r="AC94" t="str">
            <v>302506-401</v>
          </cell>
          <cell r="AD94" t="str">
            <v>AIR BOHEMIAN 2 (WS)</v>
          </cell>
          <cell r="AE94" t="str">
            <v>01-08-10</v>
          </cell>
          <cell r="AF94" t="str">
            <v>MN NAVY/MET SILV-HVN BLUE</v>
          </cell>
        </row>
        <row r="95">
          <cell r="AC95" t="str">
            <v>302506-011</v>
          </cell>
          <cell r="AD95" t="str">
            <v>AIR BOHEMIAN 2 (WS)</v>
          </cell>
          <cell r="AE95" t="str">
            <v>01-08-10</v>
          </cell>
          <cell r="AF95" t="str">
            <v>MET SILVER/WHITE-BLACK</v>
          </cell>
        </row>
        <row r="96">
          <cell r="AC96" t="str">
            <v>302506-012</v>
          </cell>
          <cell r="AD96" t="str">
            <v>AIR BOHEMIAN 2 (WS)</v>
          </cell>
          <cell r="AE96" t="str">
            <v>01-08-10</v>
          </cell>
          <cell r="AF96" t="str">
            <v>MET SILV/WHT-MANDARIN</v>
          </cell>
        </row>
        <row r="97">
          <cell r="AC97" t="str">
            <v>302511-061</v>
          </cell>
          <cell r="AD97" t="str">
            <v>AIR BOHEMIAN 2 (MS)</v>
          </cell>
          <cell r="AE97" t="str">
            <v>01-08-10</v>
          </cell>
          <cell r="AF97" t="str">
            <v>MET SILVER/VAR RED-BLACK</v>
          </cell>
        </row>
        <row r="98">
          <cell r="AC98" t="str">
            <v>302511-001</v>
          </cell>
          <cell r="AD98" t="str">
            <v>AIR BOHEMIAN 2 (MS)</v>
          </cell>
          <cell r="AE98" t="str">
            <v>01-08-10</v>
          </cell>
          <cell r="AF98" t="str">
            <v>BLACK/M SILVER</v>
          </cell>
        </row>
        <row r="99">
          <cell r="AC99" t="str">
            <v>302511-003</v>
          </cell>
          <cell r="AD99" t="str">
            <v>AIR BOHEMIAN 2 (MS)</v>
          </cell>
          <cell r="AE99" t="str">
            <v>01-08-10</v>
          </cell>
          <cell r="AF99" t="str">
            <v>MET SILVER/MET SILVER-BLACK</v>
          </cell>
        </row>
        <row r="100">
          <cell r="AC100" t="str">
            <v>302511-011</v>
          </cell>
          <cell r="AD100" t="str">
            <v>AIR BOHEMIAN 2 (MS)</v>
          </cell>
          <cell r="AE100" t="str">
            <v>01-08-10</v>
          </cell>
          <cell r="AF100" t="str">
            <v>MET SILVER/WHITE-BARN-LT GRAPH</v>
          </cell>
        </row>
        <row r="101">
          <cell r="AC101" t="str">
            <v>302511-041</v>
          </cell>
          <cell r="AD101" t="str">
            <v>AIR BOHEMIAN 2 (MS)</v>
          </cell>
          <cell r="AE101" t="str">
            <v>01-08-10</v>
          </cell>
          <cell r="AF101" t="str">
            <v>MET SILVER/V ROYAL-OBSIDIAN</v>
          </cell>
        </row>
        <row r="102">
          <cell r="AC102" t="str">
            <v>302511-042</v>
          </cell>
          <cell r="AD102" t="str">
            <v>AIR BOHEMIAN 2 (MS)</v>
          </cell>
          <cell r="AE102" t="str">
            <v>01-09-11</v>
          </cell>
          <cell r="AF102" t="str">
            <v>BLACK/COLUMBIA BLUE-MET.SILVER</v>
          </cell>
        </row>
        <row r="103">
          <cell r="AC103" t="str">
            <v>302742-003</v>
          </cell>
          <cell r="AD103" t="str">
            <v>A PRESTO (MS)</v>
          </cell>
          <cell r="AE103" t="str">
            <v>01-09-11</v>
          </cell>
          <cell r="AF103" t="str">
            <v>BLACK/BLACK-WHITE</v>
          </cell>
        </row>
        <row r="104">
          <cell r="AC104" t="str">
            <v>302742-044</v>
          </cell>
          <cell r="AD104" t="str">
            <v>A PRESTO (MS)</v>
          </cell>
          <cell r="AE104" t="str">
            <v>01-09-11</v>
          </cell>
          <cell r="AF104" t="str">
            <v>BLK/HYPR BLU-SUPER BLUE</v>
          </cell>
        </row>
        <row r="105">
          <cell r="AC105" t="str">
            <v>302742-014</v>
          </cell>
          <cell r="AD105" t="str">
            <v>A PRESTO (MS)</v>
          </cell>
          <cell r="AE105" t="str">
            <v>01-09-11</v>
          </cell>
        </row>
        <row r="106">
          <cell r="AC106" t="str">
            <v>302742-001</v>
          </cell>
          <cell r="AD106" t="str">
            <v>A PRESTO (MS)</v>
          </cell>
          <cell r="AE106" t="str">
            <v>01-09-11</v>
          </cell>
        </row>
        <row r="107">
          <cell r="AC107" t="str">
            <v>302742-041</v>
          </cell>
          <cell r="AD107" t="str">
            <v>A PRESTO (MS)</v>
          </cell>
          <cell r="AE107" t="str">
            <v>01-09-11</v>
          </cell>
        </row>
        <row r="108">
          <cell r="AC108" t="str">
            <v>302742-061</v>
          </cell>
          <cell r="AD108" t="str">
            <v>A PRESTO (MS)</v>
          </cell>
          <cell r="AE108" t="str">
            <v>01-09-11</v>
          </cell>
        </row>
        <row r="109">
          <cell r="AC109" t="str">
            <v>302742-101</v>
          </cell>
          <cell r="AD109" t="str">
            <v>A PRESTO (MS)</v>
          </cell>
          <cell r="AE109" t="str">
            <v>01-09-11</v>
          </cell>
        </row>
        <row r="110">
          <cell r="AC110" t="str">
            <v>302742-331</v>
          </cell>
          <cell r="AD110" t="str">
            <v>A PRESTO (MS)</v>
          </cell>
          <cell r="AE110" t="str">
            <v>01-09-11</v>
          </cell>
        </row>
        <row r="111">
          <cell r="AC111" t="str">
            <v>302743-101</v>
          </cell>
          <cell r="AD111" t="str">
            <v>A PRESTO (WS)</v>
          </cell>
          <cell r="AE111" t="str">
            <v>01-09-11</v>
          </cell>
          <cell r="AF111" t="str">
            <v>WHT/MET SLVR-NTRL GREY</v>
          </cell>
        </row>
        <row r="112">
          <cell r="AC112" t="str">
            <v>302743-331</v>
          </cell>
          <cell r="AD112" t="str">
            <v>A PRESTO (WS)</v>
          </cell>
          <cell r="AE112" t="str">
            <v>01-09-11</v>
          </cell>
          <cell r="AF112" t="str">
            <v>LT PTNA/LM CHL-PLM GRN-WHT</v>
          </cell>
        </row>
        <row r="113">
          <cell r="AC113" t="str">
            <v>302773-041</v>
          </cell>
          <cell r="AD113" t="str">
            <v>A MX 95 (MS)</v>
          </cell>
          <cell r="AE113" t="str">
            <v>01-09-11</v>
          </cell>
          <cell r="AF113" t="str">
            <v>BLK/COAST-MET SILVER</v>
          </cell>
        </row>
        <row r="114">
          <cell r="AC114" t="str">
            <v>302511-601</v>
          </cell>
          <cell r="AD114" t="str">
            <v>AIR BOHEMIAN 2 (MS)</v>
          </cell>
          <cell r="AE114" t="str">
            <v>01-08-10</v>
          </cell>
          <cell r="AF114" t="str">
            <v>SAMBA/MET SILVER-BLK</v>
          </cell>
        </row>
        <row r="115">
          <cell r="AC115" t="str">
            <v>602162-042</v>
          </cell>
          <cell r="AD115" t="str">
            <v>A TURBULENCE 3 (MS)</v>
          </cell>
          <cell r="AE115">
            <v>0</v>
          </cell>
          <cell r="AF115" t="str">
            <v>METSILVER / CITYNAVY-METSILVER</v>
          </cell>
        </row>
        <row r="116">
          <cell r="AC116" t="str">
            <v>602162-062</v>
          </cell>
          <cell r="AD116" t="str">
            <v>A TURBULENCE 3 (MS)</v>
          </cell>
          <cell r="AE116">
            <v>0</v>
          </cell>
          <cell r="AF116" t="str">
            <v>METSILVER / BARN-METSILVER</v>
          </cell>
        </row>
        <row r="117">
          <cell r="AC117" t="str">
            <v>602180-001</v>
          </cell>
          <cell r="AD117" t="str">
            <v>A WAFU (MS)</v>
          </cell>
        </row>
        <row r="118">
          <cell r="AC118" t="str">
            <v>609088-061</v>
          </cell>
          <cell r="AD118" t="str">
            <v>A MX 95 (MS)</v>
          </cell>
          <cell r="AE118" t="str">
            <v>01-05-07</v>
          </cell>
          <cell r="AF118" t="str">
            <v>NEUTRAL GREY / VARS RED</v>
          </cell>
        </row>
        <row r="119">
          <cell r="AC119" t="str">
            <v>604211-002</v>
          </cell>
          <cell r="AD119" t="str">
            <v>A MX TWIND 5 (MS)</v>
          </cell>
        </row>
        <row r="120">
          <cell r="AC120" t="str">
            <v>655032-142</v>
          </cell>
          <cell r="AD120" t="str">
            <v>A MX TWIND 4+ BG</v>
          </cell>
        </row>
        <row r="121">
          <cell r="AC121" t="str">
            <v>604185-901</v>
          </cell>
          <cell r="AD121" t="str">
            <v>A MX 95 (MS)</v>
          </cell>
          <cell r="AE121" t="str">
            <v>01-06-08</v>
          </cell>
          <cell r="AF121" t="str">
            <v>SPIN/ANTHRACITE</v>
          </cell>
        </row>
        <row r="122">
          <cell r="AC122" t="str">
            <v>604176-144</v>
          </cell>
          <cell r="AD122" t="str">
            <v>A CLASSIC BW (MS)</v>
          </cell>
          <cell r="AE122" t="str">
            <v>01-06-08</v>
          </cell>
          <cell r="AF122" t="str">
            <v>WHITE/OBSIDIAN-V MAIZE</v>
          </cell>
        </row>
        <row r="123">
          <cell r="AC123" t="str">
            <v>604176-145</v>
          </cell>
          <cell r="AD123" t="str">
            <v>A CLASSIC BW (MS)</v>
          </cell>
          <cell r="AE123" t="str">
            <v>01-09-11</v>
          </cell>
          <cell r="AF123" t="str">
            <v>WHT/MDDENIM-MTSLVR-PRORED</v>
          </cell>
        </row>
        <row r="124">
          <cell r="AC124" t="str">
            <v>104269-441</v>
          </cell>
          <cell r="AD124" t="str">
            <v>A INTL TRIAX 3 (MS)</v>
          </cell>
          <cell r="AE124" t="str">
            <v>01-03-05</v>
          </cell>
          <cell r="AF124" t="str">
            <v>MDNT NVY / RGTA-NTRL GRY-MET SLV</v>
          </cell>
        </row>
        <row r="125">
          <cell r="AC125" t="str">
            <v>602180-011</v>
          </cell>
          <cell r="AD125" t="str">
            <v>A WAFU (MS)</v>
          </cell>
        </row>
        <row r="126">
          <cell r="AC126" t="str">
            <v>603147-061</v>
          </cell>
          <cell r="AD126" t="str">
            <v>A TURBULENCE 3 (MS)</v>
          </cell>
          <cell r="AE126">
            <v>0</v>
          </cell>
          <cell r="AF126" t="str">
            <v>METSILVER / ESSENCE-METSILVER</v>
          </cell>
        </row>
        <row r="127">
          <cell r="AC127" t="str">
            <v>602162-007</v>
          </cell>
          <cell r="AD127" t="str">
            <v>A TURBULENCE 3 (MS)</v>
          </cell>
        </row>
        <row r="128">
          <cell r="AC128" t="str">
            <v>602188-901</v>
          </cell>
          <cell r="AD128" t="str">
            <v>A MX TWIND 5 LEA (MS)</v>
          </cell>
          <cell r="AE128" t="str">
            <v>01-05-07</v>
          </cell>
          <cell r="AF128" t="str">
            <v>SPIN / ANTHRACITE</v>
          </cell>
        </row>
        <row r="129">
          <cell r="AC129" t="str">
            <v>602188-401</v>
          </cell>
          <cell r="AD129" t="str">
            <v>A MX TWIND 5 LEA (MS)</v>
          </cell>
          <cell r="AE129" t="str">
            <v>01-07-09</v>
          </cell>
          <cell r="AF129" t="str">
            <v>OSBIDIAN/MET SILVER-LIGHT BLUE</v>
          </cell>
        </row>
        <row r="130">
          <cell r="AC130" t="str">
            <v>602188-402</v>
          </cell>
          <cell r="AD130" t="str">
            <v>A MX TWIND 5 LEA (MS)</v>
          </cell>
          <cell r="AE130" t="str">
            <v>01-08-10</v>
          </cell>
          <cell r="AF130" t="str">
            <v>MID NAVY/MT SILVER-VARSITY RED</v>
          </cell>
        </row>
        <row r="131">
          <cell r="AC131" t="str">
            <v>604140-144</v>
          </cell>
          <cell r="AD131" t="str">
            <v>A MX TWIND 4 (MS)</v>
          </cell>
        </row>
        <row r="132">
          <cell r="AC132" t="str">
            <v>604191-171</v>
          </cell>
          <cell r="AD132" t="str">
            <v>A INTL MAX (MS)</v>
          </cell>
          <cell r="AE132" t="str">
            <v>01-05-07</v>
          </cell>
          <cell r="AF132" t="str">
            <v>WHITE / GOLDNRD-MID-MED DEN</v>
          </cell>
        </row>
        <row r="133">
          <cell r="AC133" t="str">
            <v>605091-004</v>
          </cell>
          <cell r="AD133" t="str">
            <v>A CLASSIC BW NB (WS)</v>
          </cell>
          <cell r="AE133" t="str">
            <v>01-06-08</v>
          </cell>
          <cell r="AF133" t="str">
            <v>SILVER/COOLGREY-MSILV-NGRY</v>
          </cell>
        </row>
        <row r="134">
          <cell r="AC134" t="str">
            <v>605173-151</v>
          </cell>
          <cell r="AD134" t="str">
            <v>A MX 97 (WS)</v>
          </cell>
          <cell r="AE134" t="str">
            <v>01-06-08</v>
          </cell>
          <cell r="AF134" t="str">
            <v>WHT/DAYBREAK-MET SILVER</v>
          </cell>
        </row>
        <row r="135">
          <cell r="AC135" t="str">
            <v>655101-011</v>
          </cell>
          <cell r="AD135" t="str">
            <v>A MAX PLUS 3 (BG)</v>
          </cell>
        </row>
        <row r="136">
          <cell r="AC136" t="str">
            <v>655127-001</v>
          </cell>
          <cell r="AD136" t="str">
            <v xml:space="preserve"> A. MAX + 3 SYLTR</v>
          </cell>
        </row>
        <row r="137">
          <cell r="AC137" t="str">
            <v>698033-441</v>
          </cell>
          <cell r="AD137" t="str">
            <v>AIR MAX '95 Z (WS)</v>
          </cell>
          <cell r="AE137" t="str">
            <v>01-06-08</v>
          </cell>
          <cell r="AF137" t="str">
            <v>FLASH/CLEARWATER-COPA</v>
          </cell>
        </row>
        <row r="138">
          <cell r="AC138" t="str">
            <v>698033-331</v>
          </cell>
          <cell r="AD138" t="str">
            <v>AIR MAX '95 Z (WS)</v>
          </cell>
          <cell r="AE138" t="str">
            <v>01-08-10</v>
          </cell>
          <cell r="AF138" t="str">
            <v>FADED OLIVE/PALM GREEN-LAWN</v>
          </cell>
        </row>
        <row r="139">
          <cell r="AC139" t="str">
            <v>698033-691</v>
          </cell>
          <cell r="AD139" t="str">
            <v>AIR MAX '95 Z (WS)</v>
          </cell>
          <cell r="AE139" t="str">
            <v>01-08-10</v>
          </cell>
        </row>
        <row r="140">
          <cell r="AC140" t="str">
            <v>698033-461</v>
          </cell>
          <cell r="AD140" t="str">
            <v>AIR MAX '95 Z (WS)</v>
          </cell>
          <cell r="AE140" t="str">
            <v>01-08-10</v>
          </cell>
        </row>
        <row r="141">
          <cell r="AC141" t="str">
            <v>698043-002</v>
          </cell>
          <cell r="AD141" t="str">
            <v>AIR TERRA ALBIS B (WS)</v>
          </cell>
          <cell r="AE141" t="str">
            <v>01-07-09</v>
          </cell>
          <cell r="AF141" t="str">
            <v>NEUT GREY/MED GREY-GLACBLUE</v>
          </cell>
        </row>
        <row r="142">
          <cell r="AC142" t="str">
            <v>604181-081</v>
          </cell>
          <cell r="AD142" t="str">
            <v>A TOTAL MAX 3 (MS)</v>
          </cell>
        </row>
        <row r="143">
          <cell r="AC143" t="str">
            <v>604211-004</v>
          </cell>
          <cell r="AD143" t="str">
            <v>A MX TWIND 5 (MS)</v>
          </cell>
          <cell r="AE143">
            <v>0</v>
          </cell>
          <cell r="AF143" t="str">
            <v>BLACK / MET ZINC</v>
          </cell>
        </row>
        <row r="144">
          <cell r="AC144" t="str">
            <v>604211-401</v>
          </cell>
          <cell r="AD144" t="str">
            <v>A MX TWIND 5 (MS)</v>
          </cell>
          <cell r="AE144" t="str">
            <v>01-06-08</v>
          </cell>
          <cell r="AF144" t="str">
            <v>OBSIDIAN/MET SILVER-ROYAL BLUE</v>
          </cell>
        </row>
        <row r="145">
          <cell r="AC145" t="str">
            <v>604214-042</v>
          </cell>
          <cell r="AD145" t="str">
            <v>A PRESTO (MS)</v>
          </cell>
        </row>
        <row r="146">
          <cell r="AC146" t="str">
            <v>604214-401</v>
          </cell>
          <cell r="AD146" t="str">
            <v>A PRESTO (MS)</v>
          </cell>
        </row>
        <row r="147">
          <cell r="AC147" t="str">
            <v>604214-361</v>
          </cell>
          <cell r="AD147" t="str">
            <v>A PRESTO (MS)</v>
          </cell>
          <cell r="AE147" t="str">
            <v>01-09-11</v>
          </cell>
          <cell r="AF147" t="str">
            <v>CLASSICOLIVE/ROUGHRED-ANTHRAC.</v>
          </cell>
        </row>
        <row r="148">
          <cell r="AC148" t="str">
            <v>604214-402</v>
          </cell>
          <cell r="AD148" t="str">
            <v>A PRESTO (MS)</v>
          </cell>
          <cell r="AE148" t="str">
            <v>01-08-10</v>
          </cell>
          <cell r="AF148" t="str">
            <v>OBSIDIAN/NEUTRAL GREY</v>
          </cell>
        </row>
        <row r="149">
          <cell r="AC149" t="str">
            <v>604218-041</v>
          </cell>
          <cell r="AD149" t="str">
            <v>A CITY TOUR MAX (MS)</v>
          </cell>
          <cell r="AE149" t="str">
            <v>01-05-07</v>
          </cell>
          <cell r="AF149" t="str">
            <v>N GRAY / V ROYAL-V RED (L.A)</v>
          </cell>
        </row>
        <row r="150">
          <cell r="AC150" t="str">
            <v>604218-062</v>
          </cell>
          <cell r="AD150" t="str">
            <v>A CITY TOUR MAX (MS)</v>
          </cell>
        </row>
        <row r="151">
          <cell r="AC151" t="str">
            <v>604218-441</v>
          </cell>
          <cell r="AD151" t="str">
            <v>A CITY TOUR MAX (MS)</v>
          </cell>
        </row>
        <row r="152">
          <cell r="AC152" t="str">
            <v>604218-461</v>
          </cell>
          <cell r="AD152" t="str">
            <v>A CITY TOUR MAX (MS)</v>
          </cell>
          <cell r="AE152" t="str">
            <v>01-03-05</v>
          </cell>
          <cell r="AF152" t="str">
            <v>MID NAVY / RED-MT SILVER</v>
          </cell>
        </row>
        <row r="153">
          <cell r="AC153" t="str">
            <v>604218-471</v>
          </cell>
          <cell r="AD153" t="str">
            <v>A CITY TOUR MAX (MS)</v>
          </cell>
        </row>
        <row r="154">
          <cell r="AC154" t="str">
            <v>604230-001</v>
          </cell>
          <cell r="AD154" t="str">
            <v>A INTL TRIAX 3 (MS)</v>
          </cell>
          <cell r="AE154" t="str">
            <v>01-03-05</v>
          </cell>
          <cell r="AF154" t="str">
            <v>NTGREY /ANTHRCT-ORANGEFL-MTSILVER</v>
          </cell>
        </row>
        <row r="155">
          <cell r="AC155" t="str">
            <v>605097-064</v>
          </cell>
          <cell r="AD155" t="str">
            <v>A MX 95 (WS)</v>
          </cell>
          <cell r="AE155" t="str">
            <v>01-06-08</v>
          </cell>
          <cell r="AF155" t="str">
            <v>MEDIUM GREY/TURBO PINK-WHITE</v>
          </cell>
        </row>
        <row r="156">
          <cell r="AC156" t="str">
            <v>605118-151</v>
          </cell>
          <cell r="AD156" t="str">
            <v>A MX TWIND 4 (WS)</v>
          </cell>
        </row>
        <row r="157">
          <cell r="AC157" t="str">
            <v>605178-141</v>
          </cell>
          <cell r="AD157" t="str">
            <v>A MX PLUS 3 (WS)</v>
          </cell>
          <cell r="AE157" t="str">
            <v>01-03-05</v>
          </cell>
          <cell r="AF157" t="str">
            <v>WHITE / EMPIRE-METALLIC SILVER</v>
          </cell>
        </row>
        <row r="158">
          <cell r="AC158" t="str">
            <v>605184-182</v>
          </cell>
          <cell r="AD158" t="str">
            <v>A MX TWIND 5+ (WS)</v>
          </cell>
        </row>
        <row r="159">
          <cell r="AC159" t="str">
            <v>605184-141</v>
          </cell>
          <cell r="AD159" t="str">
            <v>A MX TWIND 5+ (WS)</v>
          </cell>
          <cell r="AE159" t="str">
            <v>01-08-10</v>
          </cell>
          <cell r="AF159" t="str">
            <v>WHITE/ALLURE BLUE-MET SILVER</v>
          </cell>
        </row>
        <row r="160">
          <cell r="AC160" t="str">
            <v>605189-181</v>
          </cell>
          <cell r="AD160" t="str">
            <v>A PRESTO (WS)</v>
          </cell>
        </row>
        <row r="161">
          <cell r="AC161" t="str">
            <v>605189-441</v>
          </cell>
          <cell r="AD161" t="str">
            <v>A PRESTO (WS)</v>
          </cell>
        </row>
        <row r="162">
          <cell r="AC162" t="str">
            <v>609083-002</v>
          </cell>
          <cell r="AD162" t="str">
            <v>AIR MAX '95 Z (MS)</v>
          </cell>
          <cell r="AE162" t="str">
            <v>01-06-08</v>
          </cell>
          <cell r="AF162" t="str">
            <v>ANTQ.MOSS/GOLD.DUST-MIN.YEL</v>
          </cell>
        </row>
        <row r="163">
          <cell r="AC163" t="str">
            <v>609083-771</v>
          </cell>
          <cell r="AD163" t="str">
            <v>AIR MAX '95 Z (MS)</v>
          </cell>
          <cell r="AE163" t="str">
            <v>01-06-08</v>
          </cell>
          <cell r="AF163" t="str">
            <v>ANTQ.MOSS/GOLD.DUST-MIN.YEL</v>
          </cell>
        </row>
        <row r="164">
          <cell r="AC164" t="str">
            <v>609083-041</v>
          </cell>
          <cell r="AD164" t="str">
            <v>AIR MAX '95 Z (MS)</v>
          </cell>
        </row>
        <row r="165">
          <cell r="AC165" t="str">
            <v>609083-781</v>
          </cell>
          <cell r="AD165" t="str">
            <v>AIR MAX '95 Z (MS)</v>
          </cell>
          <cell r="AE165" t="str">
            <v>01-09-11</v>
          </cell>
          <cell r="AF165" t="str">
            <v>MET GOLD/HOTHOUSE-DARK MOCHA</v>
          </cell>
        </row>
        <row r="166">
          <cell r="AC166" t="str">
            <v>609102-411</v>
          </cell>
          <cell r="AD166" t="str">
            <v>A INTL TRIAX 3 (MS)</v>
          </cell>
          <cell r="AE166" t="str">
            <v>01-03-05</v>
          </cell>
          <cell r="AF166" t="str">
            <v>OBSIDIAN / WHITE</v>
          </cell>
        </row>
        <row r="167">
          <cell r="AC167" t="str">
            <v>655032-103</v>
          </cell>
          <cell r="AD167" t="str">
            <v>A MX TWIND 4+ BG</v>
          </cell>
        </row>
        <row r="168">
          <cell r="AC168" t="str">
            <v>655101-402</v>
          </cell>
          <cell r="AD168" t="str">
            <v>A MAX PLUS 3 (BG)</v>
          </cell>
          <cell r="AE168" t="str">
            <v>01-08-10</v>
          </cell>
          <cell r="AF168" t="str">
            <v>OBSIDIAN/METSILVER-WHITE</v>
          </cell>
        </row>
        <row r="169">
          <cell r="AC169" t="str">
            <v>655101-442</v>
          </cell>
          <cell r="AD169" t="str">
            <v>A MAX PLUS 3 (BG)</v>
          </cell>
          <cell r="AE169" t="str">
            <v>01-03-05</v>
          </cell>
          <cell r="AF169" t="str">
            <v>OBSIDIAN / COAST-M.SILVER</v>
          </cell>
        </row>
        <row r="170">
          <cell r="AC170" t="str">
            <v>655101-443</v>
          </cell>
          <cell r="AD170" t="str">
            <v>A MAX PLUS 3 (BG)</v>
          </cell>
          <cell r="AE170" t="str">
            <v>01-07-09</v>
          </cell>
          <cell r="AF170" t="str">
            <v>MN NAVY/CLEARWATER-WHITE</v>
          </cell>
        </row>
        <row r="171">
          <cell r="AC171" t="str">
            <v>698000-042</v>
          </cell>
          <cell r="AD171" t="str">
            <v>A MX TWIND B (MS)</v>
          </cell>
          <cell r="AE171" t="str">
            <v>01-06-08</v>
          </cell>
          <cell r="AF171" t="str">
            <v>MEDIUM GREY/ROYAL BLUE-WHITE</v>
          </cell>
        </row>
        <row r="172">
          <cell r="AC172" t="str">
            <v>698000-081</v>
          </cell>
          <cell r="AD172" t="str">
            <v>A MX TWIND B (MS)</v>
          </cell>
          <cell r="AE172" t="str">
            <v>01-03-05</v>
          </cell>
          <cell r="AF172" t="str">
            <v>MEDIUM GREY / ORANGE FLASH</v>
          </cell>
        </row>
        <row r="173">
          <cell r="AC173" t="str">
            <v>698000-771</v>
          </cell>
          <cell r="AD173" t="str">
            <v>A MX TWIND B (MS)</v>
          </cell>
          <cell r="AE173" t="str">
            <v>01-03-05</v>
          </cell>
          <cell r="AF173" t="str">
            <v>CASHMERE / CASHMERE-SAMBA</v>
          </cell>
        </row>
        <row r="174">
          <cell r="AC174" t="str">
            <v>855101-161</v>
          </cell>
          <cell r="AD174" t="str">
            <v>A MAX (GS)</v>
          </cell>
          <cell r="AE174" t="str">
            <v>01-06-08</v>
          </cell>
          <cell r="AF174" t="str">
            <v>WHITE/CHILI RED-NRTLGREY-V RED</v>
          </cell>
        </row>
        <row r="175">
          <cell r="AC175" t="str">
            <v>862054-161</v>
          </cell>
          <cell r="AD175" t="str">
            <v>A MAX (PS)</v>
          </cell>
          <cell r="AE175" t="str">
            <v>01-05-07</v>
          </cell>
          <cell r="AF175" t="str">
            <v>WHITE / CHILI RED-NRTLGRY-V RED</v>
          </cell>
        </row>
        <row r="176">
          <cell r="AC176" t="str">
            <v>102195-102</v>
          </cell>
          <cell r="AD176" t="str">
            <v>A TURBULENCE 3 (MS)</v>
          </cell>
          <cell r="AE176" t="str">
            <v>01-06-08</v>
          </cell>
          <cell r="AF176" t="str">
            <v>WHITE/BLACK-DEL SOL</v>
          </cell>
        </row>
        <row r="177">
          <cell r="AC177" t="str">
            <v>102195-401</v>
          </cell>
          <cell r="AD177" t="str">
            <v>A TURBULENCE 3 (MS)</v>
          </cell>
          <cell r="AE177" t="str">
            <v>01-09-11</v>
          </cell>
          <cell r="AF177" t="str">
            <v>NTR GRY/MT SLV-CTY NVY-TWL BLU</v>
          </cell>
        </row>
        <row r="178">
          <cell r="AC178" t="str">
            <v>102198-101</v>
          </cell>
          <cell r="AD178" t="str">
            <v>A CLASSIC BW (MS)</v>
          </cell>
          <cell r="AE178" t="str">
            <v>01-06-08</v>
          </cell>
          <cell r="AF178" t="str">
            <v>WHT/MET SLVR-TEAM ROYAL</v>
          </cell>
        </row>
        <row r="179">
          <cell r="AC179" t="str">
            <v>102198-401</v>
          </cell>
          <cell r="AD179" t="str">
            <v>A CLASSIC BW (MS)</v>
          </cell>
          <cell r="AE179" t="str">
            <v>01-06-08</v>
          </cell>
          <cell r="AF179" t="str">
            <v>OBSDN/MET SLVR-WHT</v>
          </cell>
        </row>
        <row r="180">
          <cell r="AC180" t="str">
            <v>103167-081</v>
          </cell>
          <cell r="AD180" t="str">
            <v>A CLASSIC BW (WS)</v>
          </cell>
          <cell r="AE180" t="str">
            <v>01-06-08</v>
          </cell>
          <cell r="AF180" t="str">
            <v>MET SILVER/BRIGHT PEACH</v>
          </cell>
        </row>
        <row r="181">
          <cell r="AC181" t="str">
            <v>103171-401</v>
          </cell>
          <cell r="AD181" t="str">
            <v>A MX TWIND 5 LEA (WS)</v>
          </cell>
          <cell r="AE181" t="str">
            <v>01-06-08</v>
          </cell>
          <cell r="AF181" t="str">
            <v>OBSDN/MET SLVR-BLU SHAWDW</v>
          </cell>
        </row>
        <row r="182">
          <cell r="AC182" t="str">
            <v>104231-010</v>
          </cell>
          <cell r="AD182" t="str">
            <v>A PRESTO (MS)</v>
          </cell>
          <cell r="AE182" t="str">
            <v>01-03-05</v>
          </cell>
          <cell r="AF182" t="str">
            <v>NTRL GRY / NTRL GRY GRY-ORNG PEEL</v>
          </cell>
        </row>
        <row r="183">
          <cell r="AC183" t="str">
            <v>104296-101</v>
          </cell>
          <cell r="AD183" t="str">
            <v>A INTL TRIAX 3 (MS)</v>
          </cell>
          <cell r="AE183" t="str">
            <v>01-06-08</v>
          </cell>
          <cell r="AF183" t="str">
            <v>WHT/MTSLVR-CRRYWD-NTGRY</v>
          </cell>
        </row>
        <row r="184">
          <cell r="AC184" t="str">
            <v>104296-041</v>
          </cell>
          <cell r="AD184" t="str">
            <v>A INTL TRIAX 3 (MS)</v>
          </cell>
          <cell r="AE184" t="str">
            <v>01-09-11</v>
          </cell>
        </row>
        <row r="185">
          <cell r="AC185" t="str">
            <v>104296-102</v>
          </cell>
          <cell r="AD185" t="str">
            <v>A INTL TRIAX 3 (MS)</v>
          </cell>
          <cell r="AE185" t="str">
            <v>01-06-08</v>
          </cell>
          <cell r="AF185" t="str">
            <v>WHT DK CHRCL/DEL SOL-LT GRAPH</v>
          </cell>
        </row>
        <row r="186">
          <cell r="AC186" t="str">
            <v>104296-103</v>
          </cell>
          <cell r="AD186" t="str">
            <v>A INTL TRIAX 3 (MS)</v>
          </cell>
          <cell r="AE186" t="str">
            <v>01-09-11</v>
          </cell>
          <cell r="AF186" t="str">
            <v>WHT/ANTHRCT-MET SLVR-TEAM RYL</v>
          </cell>
        </row>
        <row r="187">
          <cell r="AC187" t="str">
            <v>104296-441</v>
          </cell>
          <cell r="AD187" t="str">
            <v>A INTL TRIAX 3 (MS)</v>
          </cell>
          <cell r="AE187" t="str">
            <v>01-08-10</v>
          </cell>
          <cell r="AF187" t="str">
            <v>MDNT NVY/RGTA-NTRL GRY-MET SLV</v>
          </cell>
        </row>
        <row r="188">
          <cell r="AC188" t="str">
            <v>104296-442</v>
          </cell>
          <cell r="AD188" t="str">
            <v>A INTL TRIAX 3 (MS)</v>
          </cell>
          <cell r="AE188" t="str">
            <v>01-09-11</v>
          </cell>
          <cell r="AF188" t="str">
            <v>CTY NVY/CTY NVY-SLVR-VRST MZ</v>
          </cell>
        </row>
        <row r="189">
          <cell r="AC189" t="str">
            <v>104298-101</v>
          </cell>
          <cell r="AD189" t="str">
            <v>A INTL TRIAX 3 (MS)</v>
          </cell>
          <cell r="AE189" t="str">
            <v>01-05-07</v>
          </cell>
          <cell r="AF189" t="str">
            <v>WHT / MTSLVR-CRRYWD-NTGRY</v>
          </cell>
        </row>
        <row r="190">
          <cell r="AC190" t="str">
            <v>104298-102</v>
          </cell>
          <cell r="AD190" t="str">
            <v>A INTL TRIAX 3 (MS)</v>
          </cell>
          <cell r="AE190" t="str">
            <v>01-06-08</v>
          </cell>
          <cell r="AF190" t="str">
            <v>WHT DK CHRCL/DEL SOL-LT GRAPH</v>
          </cell>
        </row>
        <row r="191">
          <cell r="AC191" t="str">
            <v>104298-103</v>
          </cell>
          <cell r="AD191" t="str">
            <v>A INTL TRIAX 3 (MS)</v>
          </cell>
          <cell r="AE191" t="str">
            <v>01-08-10</v>
          </cell>
          <cell r="AF191" t="str">
            <v>WHT/ANTHRCT-MET SLVR-TEAM RYL</v>
          </cell>
        </row>
        <row r="192">
          <cell r="AC192" t="str">
            <v>104298-441</v>
          </cell>
          <cell r="AD192" t="str">
            <v>A INTL TRIAX 3 (MS)</v>
          </cell>
          <cell r="AE192" t="str">
            <v>01-06-08</v>
          </cell>
          <cell r="AF192" t="str">
            <v>MDNT NVY/RGTA-NTRL GRY-MET SLV</v>
          </cell>
        </row>
        <row r="193">
          <cell r="AC193" t="str">
            <v>104301-071</v>
          </cell>
          <cell r="AD193" t="str">
            <v>A PRESTO FAZE (MS)</v>
          </cell>
          <cell r="AE193" t="str">
            <v>01-05-07</v>
          </cell>
          <cell r="AF193" t="str">
            <v>NTRL GRY / LTGTNG-WHT</v>
          </cell>
        </row>
        <row r="194">
          <cell r="AC194" t="str">
            <v>104301-401</v>
          </cell>
          <cell r="AD194" t="str">
            <v>A PRESTO FAZE (MS)</v>
          </cell>
          <cell r="AE194" t="str">
            <v>01-05-07</v>
          </cell>
          <cell r="AF194" t="str">
            <v>ARGON BLU / BLK-WHT</v>
          </cell>
        </row>
        <row r="195">
          <cell r="AC195" t="str">
            <v>104301-441</v>
          </cell>
          <cell r="AD195" t="str">
            <v>A PRESTO FAZE (MS)</v>
          </cell>
          <cell r="AE195" t="str">
            <v>01-04-06</v>
          </cell>
        </row>
        <row r="196">
          <cell r="AC196" t="str">
            <v>104301-471</v>
          </cell>
          <cell r="AD196" t="str">
            <v>A PRESTO FAZE (MS)</v>
          </cell>
          <cell r="AE196" t="str">
            <v>01-09-11</v>
          </cell>
          <cell r="AF196" t="str">
            <v>OBSDN/MET GOLD</v>
          </cell>
        </row>
        <row r="197">
          <cell r="AC197" t="str">
            <v>104306-191</v>
          </cell>
          <cell r="AD197" t="str">
            <v>A SKYLON TRIAX J+ (MS)</v>
          </cell>
          <cell r="AE197" t="str">
            <v>01-07-09</v>
          </cell>
          <cell r="AF197" t="str">
            <v>WHITE/BLUR-BLK-FIRE</v>
          </cell>
        </row>
        <row r="198">
          <cell r="AC198" t="str">
            <v>104309-001</v>
          </cell>
          <cell r="AD198" t="str">
            <v>AIR BOHEMIAN 2 (MS)</v>
          </cell>
          <cell r="AE198" t="str">
            <v>01-09-11</v>
          </cell>
          <cell r="AF198" t="str">
            <v>BLACK/MET SILVER</v>
          </cell>
        </row>
        <row r="199">
          <cell r="AC199" t="str">
            <v>104309-041</v>
          </cell>
          <cell r="AD199" t="str">
            <v>AIR BOHEMIAN 2 (MS)</v>
          </cell>
          <cell r="AE199" t="str">
            <v>01-09-11</v>
          </cell>
          <cell r="AF199" t="str">
            <v>MET SLVR/OBSDN-BOMBAY</v>
          </cell>
        </row>
        <row r="200">
          <cell r="AC200" t="str">
            <v>104309-061</v>
          </cell>
          <cell r="AD200" t="str">
            <v>AIR BOHEMIAN 2 (MS)</v>
          </cell>
          <cell r="AE200" t="str">
            <v>01-09-11</v>
          </cell>
        </row>
        <row r="201">
          <cell r="AC201" t="str">
            <v>104309-401</v>
          </cell>
          <cell r="AD201" t="str">
            <v>AIR BOHEMIAN 2 (MS)</v>
          </cell>
          <cell r="AE201" t="str">
            <v>01-09-11</v>
          </cell>
          <cell r="AF201" t="str">
            <v>CITY NAVY/MET SLVR-CITY NAVY</v>
          </cell>
        </row>
        <row r="202">
          <cell r="AC202" t="str">
            <v>104309-441</v>
          </cell>
          <cell r="AD202" t="str">
            <v>AIR BOHEMIAN 2 (MS)</v>
          </cell>
          <cell r="AE202" t="str">
            <v>01-08-10</v>
          </cell>
          <cell r="AF202" t="str">
            <v>DK RYL BLU/CTY NVY-NTRL GRY</v>
          </cell>
        </row>
        <row r="203">
          <cell r="AC203" t="str">
            <v>104309-901</v>
          </cell>
          <cell r="AD203" t="str">
            <v>AIR BOHEMIAN 2 (MS)</v>
          </cell>
          <cell r="AE203" t="str">
            <v>01-09-11</v>
          </cell>
          <cell r="AF203" t="str">
            <v>SPIN/BLACK-DK CAYENNE</v>
          </cell>
        </row>
        <row r="204">
          <cell r="AC204" t="str">
            <v>104309-991</v>
          </cell>
          <cell r="AD204" t="str">
            <v>AIR BOHEMIAN 2 (MS)</v>
          </cell>
          <cell r="AE204" t="str">
            <v>01-08-10</v>
          </cell>
          <cell r="AF204" t="str">
            <v>OXDE/MET SLVR-VRS RD-BLK-NT GR</v>
          </cell>
        </row>
        <row r="205">
          <cell r="AC205" t="str">
            <v>609117-010</v>
          </cell>
          <cell r="AD205" t="str">
            <v>AIR BOHEMIAN 2B (MS)</v>
          </cell>
          <cell r="AE205" t="str">
            <v>01-08-10</v>
          </cell>
          <cell r="AF205" t="str">
            <v>BLACK/WHITE-COLUMBIA BLUE</v>
          </cell>
        </row>
        <row r="206">
          <cell r="AC206" t="str">
            <v>105293-041</v>
          </cell>
          <cell r="AD206" t="str">
            <v>AIR BOHEMIAN 2 (WS)</v>
          </cell>
          <cell r="AE206" t="str">
            <v>01-09-11</v>
          </cell>
          <cell r="AF206" t="str">
            <v>MET SLVR/GLCR BLU-MD DENIM</v>
          </cell>
        </row>
        <row r="207">
          <cell r="AC207" t="str">
            <v>105293-151</v>
          </cell>
          <cell r="AD207" t="str">
            <v>AIR BOHEMIAN 2 (WS)</v>
          </cell>
          <cell r="AE207" t="str">
            <v>01-08-10</v>
          </cell>
          <cell r="AF207" t="str">
            <v>WHT/VITCH-ANTRCT-MET SLV</v>
          </cell>
        </row>
        <row r="208">
          <cell r="AC208" t="str">
            <v>105293-441</v>
          </cell>
          <cell r="AD208" t="str">
            <v>AIR BOHEMIAN 2 (WS)</v>
          </cell>
          <cell r="AE208" t="str">
            <v>01-09-11</v>
          </cell>
          <cell r="AF208" t="str">
            <v>COAST/COAST-BLK-WHT</v>
          </cell>
        </row>
        <row r="209">
          <cell r="AC209" t="str">
            <v>302484-101</v>
          </cell>
          <cell r="AD209" t="str">
            <v>A MAX TAILWIND 7 (MS)</v>
          </cell>
          <cell r="AE209" t="str">
            <v>01-09-11</v>
          </cell>
          <cell r="AF209" t="str">
            <v>WHITE/MET SLVR-OBSDN-VRS BLUE</v>
          </cell>
        </row>
        <row r="210">
          <cell r="AC210" t="str">
            <v>302484-441</v>
          </cell>
          <cell r="AD210" t="str">
            <v>A MAX TAILWIND 7 (MS)</v>
          </cell>
          <cell r="AE210" t="str">
            <v>01-09-11</v>
          </cell>
          <cell r="AF210" t="str">
            <v>CTYNVY/CTYNVY-MET SLVR</v>
          </cell>
        </row>
        <row r="211">
          <cell r="AC211" t="str">
            <v>104301-601</v>
          </cell>
          <cell r="AD211" t="str">
            <v>A PRESTO FAZE (MS)</v>
          </cell>
          <cell r="AE211" t="str">
            <v>01-06-08</v>
          </cell>
          <cell r="AF211" t="str">
            <v>SAMBA/BLACK-WHITE</v>
          </cell>
        </row>
        <row r="212">
          <cell r="AC212" t="str">
            <v>104301-661</v>
          </cell>
          <cell r="AD212" t="str">
            <v>A PRESTO FAZE (MS)</v>
          </cell>
          <cell r="AE212" t="str">
            <v>01-06-08</v>
          </cell>
          <cell r="AF212" t="str">
            <v>SAMBA/SAMBA-BLACK</v>
          </cell>
        </row>
        <row r="213">
          <cell r="AC213" t="str">
            <v>104301-701</v>
          </cell>
          <cell r="AD213" t="str">
            <v>A PRESTO FAZE (MS)</v>
          </cell>
          <cell r="AE213" t="str">
            <v>01-05-07</v>
          </cell>
          <cell r="AF213" t="str">
            <v>DEL SOL / LT GRAPH-NTRL GRY</v>
          </cell>
        </row>
        <row r="214">
          <cell r="AC214" t="str">
            <v>104301-801</v>
          </cell>
          <cell r="AD214" t="str">
            <v>A PRESTO FAZE (MS)</v>
          </cell>
          <cell r="AE214" t="str">
            <v>01-03-05</v>
          </cell>
          <cell r="AF214" t="str">
            <v>DP ORNG / LT GRAPH-NTRL GRY</v>
          </cell>
        </row>
        <row r="215">
          <cell r="AC215" t="str">
            <v>105287-451</v>
          </cell>
          <cell r="AD215" t="str">
            <v>A PRESTO FAZE (WS)</v>
          </cell>
          <cell r="AE215" t="str">
            <v>01-06-08</v>
          </cell>
          <cell r="AF215" t="str">
            <v>LAPIS/PLTNM-DP RYL BLU-NGRA BL</v>
          </cell>
        </row>
        <row r="216">
          <cell r="AC216" t="str">
            <v>105287-681</v>
          </cell>
          <cell r="AD216" t="str">
            <v>A PRESTO FAZE (WS)</v>
          </cell>
          <cell r="AE216" t="str">
            <v>01-06-08</v>
          </cell>
          <cell r="AF216" t="str">
            <v>PRO RED/BRT PEACH-ATMSPHR-WHT</v>
          </cell>
        </row>
        <row r="217">
          <cell r="AC217" t="str">
            <v>602188-141</v>
          </cell>
          <cell r="AD217" t="str">
            <v>A MX TWIND 5 LEA (MS)</v>
          </cell>
          <cell r="AE217" t="str">
            <v>01-03-05</v>
          </cell>
          <cell r="AF217" t="str">
            <v>WHITE / MID NAVY-MET SILVER</v>
          </cell>
        </row>
        <row r="218">
          <cell r="AC218" t="str">
            <v>604201-441</v>
          </cell>
          <cell r="AD218" t="str">
            <v>A MX PLUS 3 (MS)</v>
          </cell>
          <cell r="AE218" t="str">
            <v>01-03-05</v>
          </cell>
          <cell r="AF218" t="str">
            <v>OBSID / COAST-MSILV-NGRY</v>
          </cell>
        </row>
        <row r="219">
          <cell r="AC219" t="str">
            <v>604201-402</v>
          </cell>
          <cell r="AD219" t="str">
            <v>A MX PLUS 3 (MS)</v>
          </cell>
          <cell r="AE219" t="str">
            <v>01-09-11</v>
          </cell>
          <cell r="AF219" t="str">
            <v>OBSIDIAN/MET SILVER-WHITE</v>
          </cell>
        </row>
        <row r="220">
          <cell r="AC220" t="str">
            <v>604214-061</v>
          </cell>
          <cell r="AD220" t="str">
            <v>A PRESTO (MS)</v>
          </cell>
        </row>
        <row r="221">
          <cell r="AC221" t="str">
            <v>604214-611</v>
          </cell>
          <cell r="AD221" t="str">
            <v>A PRESTO (MS)</v>
          </cell>
          <cell r="AE221">
            <v>0</v>
          </cell>
          <cell r="AF221" t="str">
            <v>COMET RD / WHITE-BLK</v>
          </cell>
        </row>
        <row r="222">
          <cell r="AC222" t="str">
            <v>602162-601</v>
          </cell>
          <cell r="AD222" t="str">
            <v>A TURBULENCE 3 (MS)</v>
          </cell>
          <cell r="AE222" t="str">
            <v>01-01-03</v>
          </cell>
          <cell r="AF222" t="str">
            <v>SAMBA / MET SILVER</v>
          </cell>
        </row>
        <row r="223">
          <cell r="AC223" t="str">
            <v>604201-181</v>
          </cell>
          <cell r="AD223" t="str">
            <v>A MX PLUS 3 (MS)</v>
          </cell>
        </row>
        <row r="224">
          <cell r="AC224" t="str">
            <v>604210-041</v>
          </cell>
          <cell r="AD224" t="str">
            <v>A INTL MAX+ (MS)</v>
          </cell>
        </row>
        <row r="225">
          <cell r="AC225" t="str">
            <v>698031-461</v>
          </cell>
          <cell r="AD225" t="str">
            <v>A MAX DELUXE E (WS)</v>
          </cell>
        </row>
        <row r="226">
          <cell r="AC226" t="str">
            <v>698031-661</v>
          </cell>
          <cell r="AD226" t="str">
            <v>A MAX DELUXE E (WS)</v>
          </cell>
          <cell r="AE226" t="str">
            <v>01-06-08</v>
          </cell>
          <cell r="AF226" t="str">
            <v>POWDER/POWDER-LAQUER</v>
          </cell>
        </row>
        <row r="227">
          <cell r="AC227" t="str">
            <v>604215-003</v>
          </cell>
          <cell r="AD227" t="str">
            <v>A MX TWIND 5+ (MS)</v>
          </cell>
        </row>
        <row r="228">
          <cell r="AC228" t="str">
            <v>602162-006</v>
          </cell>
          <cell r="AD228" t="str">
            <v>A TURBULENCE 3 (MS)</v>
          </cell>
          <cell r="AE228" t="str">
            <v>01-02-04</v>
          </cell>
          <cell r="AF228" t="str">
            <v>MET SILVER / MET SILVER-SAMBA</v>
          </cell>
        </row>
        <row r="229">
          <cell r="AC229" t="str">
            <v>604215-042</v>
          </cell>
          <cell r="AD229" t="str">
            <v>A MX TWIND 5+ (MS)</v>
          </cell>
          <cell r="AE229" t="str">
            <v>12-02-00</v>
          </cell>
          <cell r="AF229" t="str">
            <v>SILVER / MNAVY</v>
          </cell>
        </row>
        <row r="230">
          <cell r="AC230" t="str">
            <v>604215-071</v>
          </cell>
          <cell r="AD230" t="str">
            <v>A MX TWIND 5+ (MS)</v>
          </cell>
          <cell r="AE230" t="str">
            <v>01-09-11</v>
          </cell>
          <cell r="AF230" t="str">
            <v>BLACK/NEON YELLOW-MET SILVER</v>
          </cell>
        </row>
        <row r="231">
          <cell r="AC231" t="str">
            <v>604215-081</v>
          </cell>
          <cell r="AD231" t="str">
            <v>A MX TWIND 5+ (MS)</v>
          </cell>
          <cell r="AE231" t="str">
            <v>01-08-10</v>
          </cell>
          <cell r="AF231" t="str">
            <v>LIGHT GRAPHITE/CARROT</v>
          </cell>
        </row>
        <row r="232">
          <cell r="AC232" t="str">
            <v>604218-063</v>
          </cell>
          <cell r="AD232" t="str">
            <v>A CITY TOUR MAX (MS)</v>
          </cell>
          <cell r="AE232" t="str">
            <v>01-06-08</v>
          </cell>
        </row>
        <row r="233">
          <cell r="AC233" t="str">
            <v>604218-081</v>
          </cell>
          <cell r="AD233" t="str">
            <v>A CITY TOUR MAX (MS)</v>
          </cell>
          <cell r="AE233" t="str">
            <v>01-05-07</v>
          </cell>
          <cell r="AF233" t="str">
            <v>COOL GREY / CONE-OBSIDIAN</v>
          </cell>
        </row>
        <row r="234">
          <cell r="AC234" t="str">
            <v>604218-091</v>
          </cell>
          <cell r="AD234" t="str">
            <v>A CITY TOUR MAX (MS)</v>
          </cell>
          <cell r="AE234" t="str">
            <v>01-08-10</v>
          </cell>
          <cell r="AF234" t="str">
            <v>ANTHRACITE/SPIN</v>
          </cell>
        </row>
        <row r="235">
          <cell r="AC235" t="str">
            <v>655101-101</v>
          </cell>
          <cell r="AD235" t="str">
            <v>A MAX PLUS 3 (BG)</v>
          </cell>
          <cell r="AE235" t="str">
            <v>00-11-01</v>
          </cell>
          <cell r="AF235" t="str">
            <v>WHITE / M SILVER-SAMBA-BLACK</v>
          </cell>
        </row>
        <row r="236">
          <cell r="AC236" t="str">
            <v>605189-051</v>
          </cell>
          <cell r="AD236" t="str">
            <v>A PRESTO (WS)</v>
          </cell>
          <cell r="AE236" t="str">
            <v>00-11-01</v>
          </cell>
          <cell r="AF236" t="str">
            <v>NEUTRAL GREY-VIOLA</v>
          </cell>
        </row>
        <row r="237">
          <cell r="AC237" t="str">
            <v>605189-442</v>
          </cell>
          <cell r="AD237" t="str">
            <v>A PRESTO (WS)</v>
          </cell>
          <cell r="AE237" t="str">
            <v>01-05-07</v>
          </cell>
        </row>
        <row r="238">
          <cell r="AC238" t="str">
            <v>604215-401</v>
          </cell>
          <cell r="AD238" t="str">
            <v>A MX TWIND 5+ (MS)</v>
          </cell>
          <cell r="AE238" t="str">
            <v>01-06-08</v>
          </cell>
          <cell r="AF238" t="str">
            <v>OBSDN/M SILV-ALLURE</v>
          </cell>
        </row>
        <row r="239">
          <cell r="AC239" t="str">
            <v>604215-005</v>
          </cell>
          <cell r="AD239" t="str">
            <v>A MX TWIND 5+ (MS)</v>
          </cell>
          <cell r="AE239" t="str">
            <v>01-07-09</v>
          </cell>
          <cell r="AF239" t="str">
            <v>BLACK/MET SILVER</v>
          </cell>
        </row>
        <row r="240">
          <cell r="AC240" t="str">
            <v>604215-441</v>
          </cell>
          <cell r="AD240" t="str">
            <v>A MX TWIND 5+ (MS)</v>
          </cell>
          <cell r="AE240" t="str">
            <v>01-08-10</v>
          </cell>
          <cell r="AF240" t="str">
            <v>OBSIDIAN/LIGHT BLUE-MET SILVER</v>
          </cell>
        </row>
        <row r="241">
          <cell r="AC241" t="str">
            <v>604215-445</v>
          </cell>
          <cell r="AD241" t="str">
            <v>A MX TWIND 5+ (MS)</v>
          </cell>
          <cell r="AE241" t="str">
            <v>01-08-10</v>
          </cell>
          <cell r="AF241" t="str">
            <v>OBSIDIAN/LIGHT BLUE-MET SILVER</v>
          </cell>
        </row>
        <row r="242">
          <cell r="AC242" t="str">
            <v>604215-461</v>
          </cell>
          <cell r="AD242" t="str">
            <v>A MX TWIND 5+ (MS)</v>
          </cell>
          <cell r="AE242" t="str">
            <v>01-07-09</v>
          </cell>
          <cell r="AF242" t="str">
            <v>MID NAVY/PRO RED-MET SILVER</v>
          </cell>
        </row>
        <row r="243">
          <cell r="AC243" t="str">
            <v>605178-001</v>
          </cell>
          <cell r="AD243" t="str">
            <v>A MAX PLUS 3 (WS)</v>
          </cell>
          <cell r="AE243" t="str">
            <v>00-01-01</v>
          </cell>
          <cell r="AF243" t="str">
            <v>SKY GREY / MET-SILVER-GALAXY BLU</v>
          </cell>
        </row>
        <row r="244">
          <cell r="AC244" t="str">
            <v>604214-041</v>
          </cell>
          <cell r="AD244" t="str">
            <v>A PRESTO (MS)</v>
          </cell>
          <cell r="AE244" t="str">
            <v>12-02-00</v>
          </cell>
          <cell r="AF244" t="str">
            <v>MED GREY / OBSIDIAN</v>
          </cell>
        </row>
        <row r="245">
          <cell r="AC245" t="str">
            <v>605178-471</v>
          </cell>
          <cell r="AD245" t="str">
            <v>A MAX PLUS 3 (WS)</v>
          </cell>
          <cell r="AE245" t="str">
            <v>12-02-00</v>
          </cell>
          <cell r="AF245" t="str">
            <v>MN NAVY / VIBRANT YELLOW-WHT</v>
          </cell>
        </row>
        <row r="246">
          <cell r="AC246" t="str">
            <v>655178-001</v>
          </cell>
          <cell r="AD246" t="str">
            <v>A MAX PLUS 3 (WS)</v>
          </cell>
          <cell r="AE246" t="str">
            <v>12-02-00</v>
          </cell>
          <cell r="AF246" t="str">
            <v>SKY GREY / MET-SILVER-GALAXY BLU</v>
          </cell>
        </row>
        <row r="247">
          <cell r="AC247" t="str">
            <v>605178-042</v>
          </cell>
          <cell r="AD247" t="str">
            <v>A MAX PLUS 3 (WS)</v>
          </cell>
          <cell r="AE247" t="str">
            <v>00-11-01</v>
          </cell>
          <cell r="AF247" t="str">
            <v>LT GRAPHITE / COPA-MET SILV</v>
          </cell>
        </row>
        <row r="248">
          <cell r="AC248" t="str">
            <v>605178-402</v>
          </cell>
          <cell r="AD248" t="str">
            <v>A MAX PLUS 3 (WS)</v>
          </cell>
          <cell r="AE248" t="str">
            <v>00-11-01</v>
          </cell>
        </row>
        <row r="249">
          <cell r="AC249" t="str">
            <v>655101-181</v>
          </cell>
          <cell r="AD249" t="str">
            <v>A MAX PLUS 3 (BG)</v>
          </cell>
          <cell r="AE249" t="str">
            <v>01-01-03</v>
          </cell>
          <cell r="AF249" t="str">
            <v>WHITE / SPICE-NEUT.GREY-MSILVER</v>
          </cell>
        </row>
        <row r="250">
          <cell r="AC250" t="str">
            <v>655101-481</v>
          </cell>
          <cell r="AD250" t="str">
            <v>A MAX PLUS 3 (BG)</v>
          </cell>
          <cell r="AE250" t="str">
            <v>12-02-00</v>
          </cell>
          <cell r="AF250" t="str">
            <v>MN NAVY / SAFETY ORANGE-M SILVER</v>
          </cell>
        </row>
        <row r="251">
          <cell r="AC251" t="str">
            <v>604201-401</v>
          </cell>
          <cell r="AD251" t="str">
            <v>A MX PLUS 3 (MS)</v>
          </cell>
          <cell r="AE251" t="str">
            <v>12-02-00</v>
          </cell>
          <cell r="AF251" t="str">
            <v>OBSIDIAN / METALLICSILVER-WHITE</v>
          </cell>
        </row>
        <row r="252">
          <cell r="AC252" t="str">
            <v>604215-101</v>
          </cell>
          <cell r="AD252" t="str">
            <v>A MX TWIND 5+ (MS)</v>
          </cell>
          <cell r="AE252" t="str">
            <v>11-01-00</v>
          </cell>
          <cell r="AF252" t="str">
            <v>WHITE / BLACK-MET SILVER</v>
          </cell>
        </row>
        <row r="253">
          <cell r="AC253" t="str">
            <v>609054-441</v>
          </cell>
          <cell r="AD253" t="str">
            <v>A MAX DELUXE B (MS)</v>
          </cell>
          <cell r="AE253" t="str">
            <v>01-01-03</v>
          </cell>
          <cell r="AF253" t="str">
            <v>OBSIDIAN / COLUMBIA BLUE</v>
          </cell>
        </row>
        <row r="254">
          <cell r="AC254" t="str">
            <v>604214-441</v>
          </cell>
          <cell r="AD254" t="str">
            <v>A PRESTO (MS)</v>
          </cell>
          <cell r="AE254" t="str">
            <v>01-01-03</v>
          </cell>
          <cell r="AF254" t="str">
            <v>OBDN / CAROLINA BLUE-NEYTRAL GR</v>
          </cell>
        </row>
        <row r="255">
          <cell r="AC255" t="str">
            <v>604214-461</v>
          </cell>
          <cell r="AD255" t="str">
            <v>A PRESTO (MS)</v>
          </cell>
          <cell r="AE255" t="str">
            <v>01-09-11</v>
          </cell>
          <cell r="AF255" t="str">
            <v>OBSIDIAN/DEEP RED-MET SILVER</v>
          </cell>
        </row>
        <row r="256">
          <cell r="AC256" t="str">
            <v>604214-501</v>
          </cell>
          <cell r="AD256" t="str">
            <v>A PRESTO (MS)</v>
          </cell>
          <cell r="AE256" t="str">
            <v>01-09-11</v>
          </cell>
          <cell r="AF256" t="str">
            <v>BLUEPRT/NTRL GRY-OR FLASH-CLD</v>
          </cell>
        </row>
        <row r="257">
          <cell r="AC257" t="str">
            <v>604214-702</v>
          </cell>
          <cell r="AD257" t="str">
            <v>A PRESTO (MS)</v>
          </cell>
          <cell r="AE257" t="str">
            <v>01-01-03</v>
          </cell>
          <cell r="AF257" t="str">
            <v>VIB YEL / GREY-LT GRAP</v>
          </cell>
        </row>
        <row r="258">
          <cell r="AC258" t="str">
            <v>604218-061</v>
          </cell>
          <cell r="AD258" t="str">
            <v>A CITY TOUR MAX (MS)</v>
          </cell>
          <cell r="AE258" t="str">
            <v>01-05-07</v>
          </cell>
          <cell r="AF258" t="str">
            <v>BLK / V RED-M SILVER</v>
          </cell>
        </row>
        <row r="259">
          <cell r="AC259" t="str">
            <v>655032-003</v>
          </cell>
          <cell r="AD259" t="str">
            <v>A MX TWIND 4+ BG</v>
          </cell>
          <cell r="AE259" t="str">
            <v>01-01-03</v>
          </cell>
          <cell r="AF259" t="str">
            <v>BLACK / BLACK-MET SILVER</v>
          </cell>
        </row>
        <row r="260">
          <cell r="AC260" t="str">
            <v>698000-161</v>
          </cell>
          <cell r="AD260" t="str">
            <v>A MX TWIND B (MS)</v>
          </cell>
          <cell r="AE260" t="str">
            <v>01-01-03</v>
          </cell>
          <cell r="AF260" t="str">
            <v>WHITE / TURBO PINK</v>
          </cell>
        </row>
        <row r="261">
          <cell r="AC261" t="str">
            <v>698014-041</v>
          </cell>
          <cell r="AD261" t="str">
            <v>A MX 95 (WS)</v>
          </cell>
          <cell r="AE261" t="str">
            <v>01-05-07</v>
          </cell>
          <cell r="AF261" t="str">
            <v>MD GREY / GLACIER BLUE-NTRL GREY</v>
          </cell>
        </row>
        <row r="262">
          <cell r="AC262" t="str">
            <v>698014-081</v>
          </cell>
          <cell r="AD262" t="str">
            <v>A MX 95 (WS)</v>
          </cell>
          <cell r="AE262" t="str">
            <v>01-01-03</v>
          </cell>
          <cell r="AF262" t="str">
            <v>NEUTRAL GREY / CITRUS</v>
          </cell>
        </row>
        <row r="263">
          <cell r="AC263" t="str">
            <v>698030-101</v>
          </cell>
          <cell r="AD263" t="str">
            <v>A MX 95 LEA (WS)</v>
          </cell>
          <cell r="AE263" t="str">
            <v>01-02-04</v>
          </cell>
          <cell r="AF263" t="str">
            <v>WHITE / SILVER</v>
          </cell>
        </row>
        <row r="264">
          <cell r="AC264" t="str">
            <v>602180-401</v>
          </cell>
          <cell r="AD264" t="str">
            <v>A WAFU (MS)</v>
          </cell>
          <cell r="AE264" t="str">
            <v>01-01-03</v>
          </cell>
          <cell r="AF264" t="str">
            <v>OBSIDIAN / METALLIC SILVER</v>
          </cell>
        </row>
        <row r="265">
          <cell r="AC265" t="str">
            <v>602162-471</v>
          </cell>
          <cell r="AD265" t="str">
            <v>A TURBULENCE 3 (MS)</v>
          </cell>
          <cell r="AE265" t="str">
            <v>01-02-04</v>
          </cell>
          <cell r="AF265" t="str">
            <v>OBSIDIAN / NEON YELLOW-WHITE</v>
          </cell>
        </row>
        <row r="266">
          <cell r="AC266" t="str">
            <v>603158-041</v>
          </cell>
          <cell r="AD266" t="str">
            <v>A WAFU (WS)</v>
          </cell>
          <cell r="AE266" t="str">
            <v>01-01-03</v>
          </cell>
          <cell r="AF266" t="str">
            <v>MSILVER / CAR BLUE-MNAVY</v>
          </cell>
        </row>
        <row r="267">
          <cell r="AC267" t="str">
            <v>603158-411</v>
          </cell>
          <cell r="AD267" t="str">
            <v>A WAFU (WS)</v>
          </cell>
          <cell r="AE267" t="str">
            <v>01-06-08</v>
          </cell>
          <cell r="AF267" t="str">
            <v>NIAGRA/WHITE-PLATINUM</v>
          </cell>
        </row>
        <row r="268">
          <cell r="AC268" t="str">
            <v>604185-002</v>
          </cell>
          <cell r="AD268" t="str">
            <v>A MX 95 (MS)</v>
          </cell>
          <cell r="AE268" t="str">
            <v>01-02-04</v>
          </cell>
          <cell r="AF268" t="str">
            <v>GRYSTN / MSILV-OBSID-MDEN-ST.GRY</v>
          </cell>
        </row>
        <row r="269">
          <cell r="AC269" t="str">
            <v>604205-002</v>
          </cell>
          <cell r="AD269" t="str">
            <v>A MX TWIND 5 (MS)</v>
          </cell>
          <cell r="AE269" t="str">
            <v>01-01-03</v>
          </cell>
          <cell r="AF269" t="str">
            <v>BLACK / BLACK-MET SLVR-VOLT YELO</v>
          </cell>
        </row>
        <row r="270">
          <cell r="AC270" t="str">
            <v>604205-004</v>
          </cell>
          <cell r="AD270" t="str">
            <v>A MX TWIND 5 (MS)</v>
          </cell>
          <cell r="AE270" t="str">
            <v>01-07-09</v>
          </cell>
        </row>
        <row r="271">
          <cell r="AC271" t="str">
            <v>604205-005</v>
          </cell>
          <cell r="AD271" t="str">
            <v>A MX TWIND 5 (MS)</v>
          </cell>
          <cell r="AE271" t="str">
            <v>01-07-09</v>
          </cell>
        </row>
        <row r="272">
          <cell r="AC272" t="str">
            <v>604205-006</v>
          </cell>
          <cell r="AD272" t="str">
            <v>A MX TWIND 5 (MS)</v>
          </cell>
          <cell r="AE272" t="str">
            <v>01-08-10</v>
          </cell>
          <cell r="AF272" t="str">
            <v>BLACK/NEUTRAL GREY-DK CAYENNE</v>
          </cell>
        </row>
        <row r="273">
          <cell r="AC273" t="str">
            <v>604214-002</v>
          </cell>
          <cell r="AD273" t="str">
            <v>A PRESTO (MS)</v>
          </cell>
          <cell r="AE273" t="str">
            <v>01-01-03</v>
          </cell>
          <cell r="AF273" t="str">
            <v>BLACK / MET SILVER-NEYTRAL GREY</v>
          </cell>
        </row>
        <row r="274">
          <cell r="AC274" t="str">
            <v>604214-004</v>
          </cell>
          <cell r="AD274" t="str">
            <v>A PRESTO (MS)</v>
          </cell>
          <cell r="AE274" t="str">
            <v>01-01-03</v>
          </cell>
          <cell r="AF274" t="str">
            <v>BLACK / MET SILVER-NEYTRAL GREY</v>
          </cell>
        </row>
        <row r="275">
          <cell r="AC275" t="str">
            <v>604214-003</v>
          </cell>
          <cell r="AD275" t="str">
            <v>A PRESTO (MS)</v>
          </cell>
          <cell r="AE275" t="str">
            <v>01-09-11</v>
          </cell>
          <cell r="AF275" t="str">
            <v>MAGNET/ANTHRACITE</v>
          </cell>
        </row>
        <row r="276">
          <cell r="AC276" t="str">
            <v>604214-141</v>
          </cell>
          <cell r="AD276" t="str">
            <v>A PRESTO (MS)</v>
          </cell>
          <cell r="AE276" t="str">
            <v>01-01-03</v>
          </cell>
          <cell r="AF276" t="str">
            <v>WHITE / M NAVY-N GREY</v>
          </cell>
        </row>
        <row r="277">
          <cell r="AC277" t="str">
            <v>604214-171</v>
          </cell>
          <cell r="AD277" t="str">
            <v>A PRESTO (MS)</v>
          </cell>
          <cell r="AE277" t="str">
            <v>01-01-03</v>
          </cell>
          <cell r="AF277" t="str">
            <v>WHITE / DELSOL-NEUTGREY</v>
          </cell>
        </row>
        <row r="278">
          <cell r="AC278" t="str">
            <v>604214-701</v>
          </cell>
          <cell r="AD278" t="str">
            <v>A PRESTO (MS)</v>
          </cell>
          <cell r="AE278" t="str">
            <v>01-01-03</v>
          </cell>
          <cell r="AF278" t="str">
            <v>LIGHTENING / BLACK-MAX ORANGE</v>
          </cell>
        </row>
        <row r="279">
          <cell r="AC279" t="str">
            <v>605156-051</v>
          </cell>
          <cell r="AD279" t="str">
            <v>A MX 95 (WS)</v>
          </cell>
          <cell r="AE279" t="str">
            <v>01-02-04</v>
          </cell>
          <cell r="AF279" t="str">
            <v>NEUTRALGREY / DAYBREAK-MINK</v>
          </cell>
        </row>
        <row r="280">
          <cell r="AC280" t="str">
            <v>609048-201</v>
          </cell>
          <cell r="AD280" t="str">
            <v>A MX 95 (MS)</v>
          </cell>
          <cell r="AE280" t="str">
            <v>01-01-03</v>
          </cell>
          <cell r="AF280" t="str">
            <v>OLIVE BRONZE / MTLC ZINC-IGUANA</v>
          </cell>
        </row>
        <row r="281">
          <cell r="AC281" t="str">
            <v>605189-042</v>
          </cell>
          <cell r="AD281" t="str">
            <v>A PRESTO (WS)</v>
          </cell>
          <cell r="AE281" t="str">
            <v>01-01-03</v>
          </cell>
          <cell r="AF281" t="str">
            <v>NT GREY / VAR ROYAL-WHT</v>
          </cell>
        </row>
        <row r="282">
          <cell r="AC282" t="str">
            <v>605189-161</v>
          </cell>
          <cell r="AD282" t="str">
            <v>A PRESTO (WS)</v>
          </cell>
          <cell r="AE282" t="str">
            <v>01-05-07</v>
          </cell>
          <cell r="AF282" t="str">
            <v>WHT / V-RED-NEUTRAL GREY</v>
          </cell>
        </row>
        <row r="283">
          <cell r="AC283" t="str">
            <v>103151-061</v>
          </cell>
          <cell r="AD283" t="str">
            <v>A TURBULENCE 3 (WS)</v>
          </cell>
          <cell r="AE283" t="str">
            <v>01-02-04</v>
          </cell>
          <cell r="AF283" t="str">
            <v>MT SLV / MT SLV-VRST CRM-MD GRY</v>
          </cell>
        </row>
        <row r="284">
          <cell r="AC284" t="str">
            <v>104231-062</v>
          </cell>
          <cell r="AD284" t="str">
            <v>A PRESTO (MS)</v>
          </cell>
          <cell r="AE284" t="str">
            <v>01-02-04</v>
          </cell>
          <cell r="AF284" t="str">
            <v>BLK / VARSITY CRIMSON-NTRL GRY</v>
          </cell>
        </row>
        <row r="285">
          <cell r="AC285" t="str">
            <v>105256-181</v>
          </cell>
          <cell r="AD285" t="str">
            <v>A MX TWIND 5+ (WS)</v>
          </cell>
          <cell r="AE285" t="str">
            <v>01-02-04</v>
          </cell>
          <cell r="AF285" t="str">
            <v>WHT / ORNG FL-BLU CHMBRY-MT SLVR</v>
          </cell>
        </row>
        <row r="286">
          <cell r="AC286" t="str">
            <v>102195-001</v>
          </cell>
          <cell r="AD286" t="str">
            <v>A TURBULENCE 3 (MS)</v>
          </cell>
          <cell r="AE286" t="str">
            <v>01-02-04</v>
          </cell>
          <cell r="AF286" t="str">
            <v>CARBON / MET ZINC-LT BONE</v>
          </cell>
        </row>
        <row r="287">
          <cell r="AC287" t="str">
            <v>104270-061</v>
          </cell>
          <cell r="AD287" t="str">
            <v>A MX TWIND 5+ (MS)</v>
          </cell>
          <cell r="AE287" t="str">
            <v>01-02-04</v>
          </cell>
          <cell r="AF287" t="str">
            <v>MET SILVER / SAMBA-BLK-WHT</v>
          </cell>
        </row>
        <row r="288">
          <cell r="AC288" t="str">
            <v>103146-001</v>
          </cell>
          <cell r="AD288" t="str">
            <v>A MX TWIND 5 NB (WS)</v>
          </cell>
          <cell r="AE288" t="str">
            <v>01-01-03</v>
          </cell>
          <cell r="AF288" t="str">
            <v>STRM GRY / MET ZINC-LT BONE</v>
          </cell>
        </row>
        <row r="289">
          <cell r="AC289" t="str">
            <v>103151-141</v>
          </cell>
          <cell r="AD289" t="str">
            <v>A TURBULENCE 3 (WS)</v>
          </cell>
          <cell r="AE289" t="str">
            <v>01-01-03</v>
          </cell>
          <cell r="AF289" t="str">
            <v>WHT / COPA-ANTHRACITE</v>
          </cell>
        </row>
        <row r="290">
          <cell r="AC290" t="str">
            <v>104255-111</v>
          </cell>
          <cell r="AD290" t="str">
            <v>A SKYLON TRX J (MS)</v>
          </cell>
          <cell r="AE290" t="str">
            <v>01-03-05</v>
          </cell>
          <cell r="AF290" t="str">
            <v>WHITE / WHITE-OBSDN-ATLANTIS</v>
          </cell>
        </row>
        <row r="291">
          <cell r="AC291" t="str">
            <v>609074-001</v>
          </cell>
          <cell r="AD291" t="str">
            <v>A MAX DELUXE E (MS)</v>
          </cell>
          <cell r="AE291" t="str">
            <v>01-02-04</v>
          </cell>
          <cell r="AF291" t="str">
            <v>BLACK / METALLIC ZINC</v>
          </cell>
        </row>
        <row r="292">
          <cell r="AC292" t="str">
            <v>609074-221</v>
          </cell>
          <cell r="AD292" t="str">
            <v>A MAX DELUXE E (MS)</v>
          </cell>
          <cell r="AE292" t="str">
            <v>01-06-08</v>
          </cell>
          <cell r="AF292" t="str">
            <v>CHINO/DARK.SMOKE</v>
          </cell>
        </row>
        <row r="293">
          <cell r="AC293" t="str">
            <v>698021-061</v>
          </cell>
          <cell r="AD293" t="str">
            <v>A MAX DELUXE B (WS)</v>
          </cell>
          <cell r="AE293" t="str">
            <v>12-02-00</v>
          </cell>
          <cell r="AF293" t="str">
            <v>MEDIUM GREY / VARSITY RED-WHITE</v>
          </cell>
        </row>
        <row r="294">
          <cell r="AC294" t="str">
            <v>862043-141</v>
          </cell>
          <cell r="AD294" t="str">
            <v>A MAX ECSTSY+ (PS)</v>
          </cell>
          <cell r="AE294" t="str">
            <v>12-02-00</v>
          </cell>
          <cell r="AF294" t="str">
            <v>WHITE / ALLURE-MDNAVY-REF SILVER</v>
          </cell>
        </row>
        <row r="295">
          <cell r="AC295" t="str">
            <v>855086-181</v>
          </cell>
          <cell r="AD295" t="str">
            <v>A MAX ECSTSY+ (GS)</v>
          </cell>
          <cell r="AE295" t="str">
            <v>01-02-04</v>
          </cell>
          <cell r="AF295" t="str">
            <v>WHITE / SAFETY ORNG-MT SLVR-OBSD</v>
          </cell>
        </row>
        <row r="296">
          <cell r="AC296" t="str">
            <v>103151-471</v>
          </cell>
          <cell r="AD296" t="str">
            <v>A TURBULENCE 3 (WS)</v>
          </cell>
          <cell r="AE296" t="str">
            <v>01-01-03</v>
          </cell>
          <cell r="AF296" t="str">
            <v>DM DNM / LT VLG YLW-NTR GRY-CTRS</v>
          </cell>
        </row>
        <row r="297">
          <cell r="AC297" t="str">
            <v>104221-041</v>
          </cell>
          <cell r="AD297" t="str">
            <v>A MX TWIND 5 (MS)</v>
          </cell>
          <cell r="AE297" t="str">
            <v>12-02-00</v>
          </cell>
          <cell r="AF297" t="str">
            <v>BLACK / COLUMBIA BLUE</v>
          </cell>
        </row>
        <row r="298">
          <cell r="AC298" t="str">
            <v>698031-301</v>
          </cell>
          <cell r="AD298" t="str">
            <v>A MAX DELUXE E (WS)</v>
          </cell>
          <cell r="AE298" t="str">
            <v>01-02-04</v>
          </cell>
          <cell r="AF298" t="str">
            <v>FIZZ / METALLIC SLVR-GLAZE GREEN</v>
          </cell>
        </row>
        <row r="299">
          <cell r="AC299" t="str">
            <v>104231-043</v>
          </cell>
          <cell r="AD299" t="str">
            <v>A PRESTO (MS)</v>
          </cell>
          <cell r="AE299" t="str">
            <v>01-09-11</v>
          </cell>
          <cell r="AF299" t="str">
            <v>NTRL GRY/GAME BLU-WHITE</v>
          </cell>
        </row>
        <row r="300">
          <cell r="AC300" t="str">
            <v>104231-052</v>
          </cell>
          <cell r="AD300" t="str">
            <v>A PRESTO (MS)</v>
          </cell>
          <cell r="AE300" t="str">
            <v>11-01-00</v>
          </cell>
          <cell r="AF300" t="str">
            <v>NTRL GRY / BLUPRNT-VRSTY CRMSN</v>
          </cell>
        </row>
        <row r="301">
          <cell r="AC301" t="str">
            <v>104231-781</v>
          </cell>
          <cell r="AD301" t="str">
            <v>A PRESTO (MS)</v>
          </cell>
          <cell r="AE301" t="str">
            <v>01-02-04</v>
          </cell>
          <cell r="AF301" t="str">
            <v>LTNG / MX ORNG-BLACK</v>
          </cell>
        </row>
        <row r="302">
          <cell r="AC302" t="str">
            <v>104231-471</v>
          </cell>
          <cell r="AD302" t="str">
            <v>A PRESTO (MS)</v>
          </cell>
          <cell r="AE302" t="str">
            <v>01-02-04</v>
          </cell>
          <cell r="AF302" t="str">
            <v>OBSDN / LIGHTENING-WHITE</v>
          </cell>
        </row>
        <row r="303">
          <cell r="AC303" t="str">
            <v>104231-161</v>
          </cell>
          <cell r="AD303" t="str">
            <v>A PRESTO (MS)</v>
          </cell>
          <cell r="AE303" t="str">
            <v>01-08-10</v>
          </cell>
          <cell r="AF303" t="str">
            <v>WHT/VRST CRMS-MET SLV-NTRL GRY</v>
          </cell>
        </row>
        <row r="304">
          <cell r="AC304" t="str">
            <v>104253-002</v>
          </cell>
          <cell r="AD304" t="str">
            <v>A INTL MAX+ (MS)</v>
          </cell>
          <cell r="AE304" t="str">
            <v>01-02-04</v>
          </cell>
          <cell r="AF304" t="str">
            <v>DM GRY / M SLV-DK CHRCL-VRSTY RD</v>
          </cell>
        </row>
        <row r="305">
          <cell r="AC305" t="str">
            <v>104253-143</v>
          </cell>
          <cell r="AD305" t="str">
            <v>A INTL MAX+ (MS)</v>
          </cell>
          <cell r="AE305" t="str">
            <v>01-02-04</v>
          </cell>
          <cell r="AF305" t="str">
            <v>WHT / REGATTA-NTRL GRY</v>
          </cell>
        </row>
        <row r="306">
          <cell r="AC306" t="str">
            <v>104253-181</v>
          </cell>
          <cell r="AD306" t="str">
            <v>A INTL MAX+ (MS)</v>
          </cell>
          <cell r="AE306" t="str">
            <v>01-02-04</v>
          </cell>
          <cell r="AF306" t="str">
            <v>WHITE / CITRUS-BLACK</v>
          </cell>
        </row>
        <row r="307">
          <cell r="AC307" t="str">
            <v>104254-002</v>
          </cell>
          <cell r="AD307" t="str">
            <v>A INTL MAX+ (MS)</v>
          </cell>
          <cell r="AE307" t="str">
            <v>01-02-04</v>
          </cell>
          <cell r="AF307" t="str">
            <v>MD GRY / M SLV-DK CHRCL-VRSTY RD</v>
          </cell>
        </row>
        <row r="308">
          <cell r="AC308" t="str">
            <v>104269-181</v>
          </cell>
          <cell r="AD308" t="str">
            <v>A MAX ECSTSY+ (MS)</v>
          </cell>
          <cell r="AE308" t="str">
            <v>01-02-04</v>
          </cell>
          <cell r="AF308" t="str">
            <v>WHT / SFTY ORNG-MET SLV-OBSDN</v>
          </cell>
        </row>
        <row r="309">
          <cell r="AC309" t="str">
            <v>104270-001</v>
          </cell>
          <cell r="AD309" t="str">
            <v>A MX TWIND 5+ (MS)</v>
          </cell>
          <cell r="AE309" t="str">
            <v>01-02-04</v>
          </cell>
          <cell r="AF309" t="str">
            <v>BLK / BLK-MET ZINC-DK CHRCL</v>
          </cell>
        </row>
        <row r="310">
          <cell r="AC310" t="str">
            <v>104270-071</v>
          </cell>
          <cell r="AD310" t="str">
            <v>A MX TWIND 5+ (MS)</v>
          </cell>
          <cell r="AE310" t="str">
            <v>01-02-04</v>
          </cell>
          <cell r="AF310" t="str">
            <v>NTRL GRY / VRTY MAZ-WHT-MDNT NVY</v>
          </cell>
        </row>
        <row r="311">
          <cell r="AC311" t="str">
            <v>104270-441</v>
          </cell>
          <cell r="AD311" t="str">
            <v>A MX TWIND 5+ (MS)</v>
          </cell>
          <cell r="AE311" t="str">
            <v>01-01-03</v>
          </cell>
          <cell r="AF311" t="str">
            <v>OBSDN / VRSTY RYL-MET SLV</v>
          </cell>
        </row>
        <row r="312">
          <cell r="AC312" t="str">
            <v>105255-041</v>
          </cell>
          <cell r="AD312" t="str">
            <v>A MAX ECSTSY+ (WS)</v>
          </cell>
          <cell r="AE312" t="str">
            <v>01-02-04</v>
          </cell>
          <cell r="AF312" t="str">
            <v>MET ZINC / HVN BLU-DK CHRCL-ALLR</v>
          </cell>
        </row>
        <row r="313">
          <cell r="AC313" t="str">
            <v>105255-141</v>
          </cell>
          <cell r="AD313" t="str">
            <v>A MAX ECSTSY+ (WS)</v>
          </cell>
          <cell r="AE313" t="str">
            <v>01-01-03</v>
          </cell>
          <cell r="AF313" t="str">
            <v>WHT / ALLURE-MDNT NAVY-REF SLV</v>
          </cell>
        </row>
        <row r="314">
          <cell r="AC314" t="str">
            <v>105255-181</v>
          </cell>
          <cell r="AD314" t="str">
            <v>A MAX ECSTSY+ (WS)</v>
          </cell>
          <cell r="AE314" t="str">
            <v>01-02-04</v>
          </cell>
          <cell r="AF314" t="str">
            <v>WHT / CITRUS-CARBON-MET SLV</v>
          </cell>
        </row>
        <row r="315">
          <cell r="AC315" t="str">
            <v>105256-041</v>
          </cell>
          <cell r="AD315" t="str">
            <v>A MX TWIND 5+ (WS)</v>
          </cell>
          <cell r="AE315" t="str">
            <v>01-02-04</v>
          </cell>
          <cell r="AF315" t="str">
            <v>WHISPER/HEAVEN BLU-MET SLV</v>
          </cell>
        </row>
        <row r="316">
          <cell r="AC316" t="str">
            <v>105256-441</v>
          </cell>
          <cell r="AD316" t="str">
            <v>A MX TWIND 5+ (WS)</v>
          </cell>
          <cell r="AE316" t="str">
            <v>01-02-04</v>
          </cell>
          <cell r="AF316" t="str">
            <v>GLACER BLU / MDNT NVY-COAST</v>
          </cell>
        </row>
        <row r="317">
          <cell r="AC317" t="str">
            <v>105268-441</v>
          </cell>
          <cell r="AD317" t="str">
            <v>A PRESTO (WS)</v>
          </cell>
          <cell r="AE317" t="str">
            <v>01-02-04</v>
          </cell>
          <cell r="AF317" t="str">
            <v>HEAVEN BLU / ALLURE-WHT</v>
          </cell>
        </row>
        <row r="318">
          <cell r="AC318" t="str">
            <v>605184-042</v>
          </cell>
          <cell r="AD318" t="str">
            <v>A MX TWIND 5+ (WS)</v>
          </cell>
          <cell r="AE318" t="str">
            <v>11-01-00</v>
          </cell>
        </row>
        <row r="319">
          <cell r="AC319" t="str">
            <v>609081-061</v>
          </cell>
          <cell r="AD319" t="str">
            <v>A MX 95 B&amp;T</v>
          </cell>
          <cell r="AE319" t="str">
            <v>09-11-00</v>
          </cell>
          <cell r="AF319" t="str">
            <v>DK CHARCOAL / TEAM RED FLINT GRY</v>
          </cell>
        </row>
        <row r="320">
          <cell r="AC320" t="str">
            <v>655032-041</v>
          </cell>
          <cell r="AD320" t="str">
            <v>A MX TWIND 4+ BG</v>
          </cell>
          <cell r="AE320" t="str">
            <v>11-01-00</v>
          </cell>
          <cell r="AF320" t="str">
            <v>NEUTL GREY / COOL BLUE-MET SILVR</v>
          </cell>
        </row>
        <row r="321">
          <cell r="AC321" t="str">
            <v>855086-071</v>
          </cell>
          <cell r="AD321" t="str">
            <v>A MAX ECSTSY+ (GS)</v>
          </cell>
          <cell r="AE321" t="str">
            <v>01-02-04</v>
          </cell>
          <cell r="AF321" t="str">
            <v>LT-GRAPHITE / NEON YELLOW-BLACK</v>
          </cell>
        </row>
        <row r="322">
          <cell r="AC322" t="str">
            <v>855086-141</v>
          </cell>
          <cell r="AD322" t="str">
            <v>A MAX ECSTSY+ (GS)</v>
          </cell>
          <cell r="AE322" t="str">
            <v>12-02-00</v>
          </cell>
          <cell r="AF322" t="str">
            <v>WHITE / ALLURE-MDNAVY-REF SILVER</v>
          </cell>
        </row>
        <row r="323">
          <cell r="AC323" t="str">
            <v>862043-071</v>
          </cell>
          <cell r="AD323" t="str">
            <v>A MAX ECSTSY+ (PS)</v>
          </cell>
          <cell r="AE323" t="str">
            <v>01-01-03</v>
          </cell>
          <cell r="AF323" t="str">
            <v>LT GRAPHITE / NEON YELLOW-BLACK</v>
          </cell>
        </row>
        <row r="324">
          <cell r="AC324" t="str">
            <v>862043-181</v>
          </cell>
          <cell r="AD324" t="str">
            <v>A MAX ECSTSY+ (PS)</v>
          </cell>
          <cell r="AE324" t="str">
            <v>01-01-03</v>
          </cell>
          <cell r="AF324" t="str">
            <v>WHITE / SAFETY ORNGE-MSILV-OBSD</v>
          </cell>
        </row>
        <row r="325">
          <cell r="AC325" t="str">
            <v>104231-042</v>
          </cell>
          <cell r="AD325" t="str">
            <v>A PRESTO (MS)</v>
          </cell>
          <cell r="AE325" t="str">
            <v>08-10-00</v>
          </cell>
          <cell r="AF325" t="str">
            <v>LT GRAPH / SCRMG BLU-MET ZINC</v>
          </cell>
        </row>
        <row r="326">
          <cell r="AC326" t="str">
            <v>104251-001</v>
          </cell>
          <cell r="AD326" t="str">
            <v>A INTL MAX LEA (MS)</v>
          </cell>
          <cell r="AE326" t="str">
            <v>08-10-00</v>
          </cell>
          <cell r="AF326" t="str">
            <v>DK CHARCOAL / BLK NEUTRAL GREY</v>
          </cell>
        </row>
        <row r="327">
          <cell r="AC327" t="str">
            <v>105223-001</v>
          </cell>
          <cell r="AD327" t="str">
            <v>A MX TWIND 5 (WS)</v>
          </cell>
          <cell r="AE327" t="str">
            <v>08-10-00</v>
          </cell>
          <cell r="AF327" t="str">
            <v>NEUTRAL GREY / BLK-ORIENTAL POPPY</v>
          </cell>
        </row>
        <row r="328">
          <cell r="AC328" t="str">
            <v>604140-001</v>
          </cell>
          <cell r="AD328" t="str">
            <v>A MX TWIND 4 (MS)</v>
          </cell>
          <cell r="AE328" t="str">
            <v>07-09-00</v>
          </cell>
          <cell r="AF328" t="str">
            <v>DARK CHARCOAL / MET SILVER-BLK</v>
          </cell>
        </row>
        <row r="329">
          <cell r="AC329" t="str">
            <v>604140-010</v>
          </cell>
          <cell r="AD329" t="str">
            <v>A MX TWIND 4 (MS)</v>
          </cell>
          <cell r="AE329" t="str">
            <v>07-09-00</v>
          </cell>
          <cell r="AF329" t="str">
            <v>M SIVER / BLK-COLUMBIA BLU</v>
          </cell>
        </row>
        <row r="330">
          <cell r="AC330" t="str">
            <v>604174-111</v>
          </cell>
          <cell r="AD330" t="str">
            <v>A WORLD MX (MS)</v>
          </cell>
          <cell r="AE330" t="str">
            <v>09-11-00</v>
          </cell>
          <cell r="AF330" t="str">
            <v>WHITE / WHITE-HYPER BLUE</v>
          </cell>
        </row>
        <row r="331">
          <cell r="AC331" t="str">
            <v>604181-041</v>
          </cell>
          <cell r="AD331" t="str">
            <v>A TOTAL MAX 3 (MS)</v>
          </cell>
          <cell r="AE331" t="str">
            <v>07-09-00</v>
          </cell>
          <cell r="AF331" t="str">
            <v>DK CHAR / V ROYAL-LT GRAPH</v>
          </cell>
        </row>
        <row r="332">
          <cell r="AC332" t="str">
            <v>604190-009</v>
          </cell>
          <cell r="AD332" t="str">
            <v>A MX TWIND 5 (MS)</v>
          </cell>
          <cell r="AE332" t="str">
            <v>07-09-00</v>
          </cell>
          <cell r="AF332" t="str">
            <v>BLK / MET SILVER-COOL GRY</v>
          </cell>
        </row>
        <row r="333">
          <cell r="AC333" t="str">
            <v>604191-461</v>
          </cell>
          <cell r="AD333" t="str">
            <v>A INTL MAX (MS)</v>
          </cell>
          <cell r="AE333" t="str">
            <v>07-09-00</v>
          </cell>
          <cell r="AF333" t="str">
            <v>MID NAVY / VARSITY RED-MET SILVER</v>
          </cell>
        </row>
        <row r="334">
          <cell r="AC334" t="str">
            <v>604205-001</v>
          </cell>
          <cell r="AD334" t="str">
            <v>A MX TWIND 5 (MS)</v>
          </cell>
          <cell r="AE334" t="str">
            <v>01-01-03</v>
          </cell>
          <cell r="AF334" t="str">
            <v>MET SILVER / BLK-BASEBALL BLU</v>
          </cell>
        </row>
        <row r="335">
          <cell r="AC335" t="str">
            <v>604207-001</v>
          </cell>
          <cell r="AD335" t="str">
            <v>A MX 97 (MS)</v>
          </cell>
          <cell r="AE335" t="str">
            <v>09-11-00</v>
          </cell>
          <cell r="AF335" t="str">
            <v>DARK CHARCOAL / MET SILVER-BLK</v>
          </cell>
        </row>
        <row r="336">
          <cell r="AC336" t="str">
            <v>102195-081</v>
          </cell>
          <cell r="AD336" t="str">
            <v>A TURBULENCE 3 (MS)</v>
          </cell>
          <cell r="AE336" t="str">
            <v>01-02-04</v>
          </cell>
          <cell r="AF336" t="str">
            <v xml:space="preserve">BLK / ORNG FLSH-MET SLV-LT GRAPH </v>
          </cell>
        </row>
        <row r="337">
          <cell r="AC337" t="str">
            <v>104269-071</v>
          </cell>
          <cell r="AD337" t="str">
            <v>A MAX ECSTSY+ (MS)</v>
          </cell>
          <cell r="AE337" t="str">
            <v>01-02-04</v>
          </cell>
          <cell r="AF337" t="str">
            <v>LT GRAPH / NEON YELLOW-BLK</v>
          </cell>
        </row>
        <row r="338">
          <cell r="AC338" t="str">
            <v>102195-171</v>
          </cell>
          <cell r="AD338" t="str">
            <v>A TURBULENCE 3 (MS)</v>
          </cell>
          <cell r="AE338" t="str">
            <v>01-02-04</v>
          </cell>
          <cell r="AF338" t="str">
            <v>WHT / NEON YLW-OBSD -REF SLVR</v>
          </cell>
        </row>
        <row r="339">
          <cell r="AC339" t="str">
            <v>103151-081</v>
          </cell>
          <cell r="AD339" t="str">
            <v>A TURBULENCE 3 (WS)</v>
          </cell>
          <cell r="AE339" t="str">
            <v>01-02-04</v>
          </cell>
          <cell r="AF339" t="str">
            <v>ANTARCTICA / ORNG FLSH-LT GRAPH</v>
          </cell>
        </row>
        <row r="340">
          <cell r="AC340" t="str">
            <v>104253-142</v>
          </cell>
          <cell r="AD340" t="str">
            <v>A INTL MAX+ (MS)</v>
          </cell>
          <cell r="AE340" t="str">
            <v>01-02-04</v>
          </cell>
          <cell r="AF340" t="str">
            <v>WHT / GAME BLU-BLK-WHT</v>
          </cell>
        </row>
        <row r="341">
          <cell r="AC341" t="str">
            <v>104266-142</v>
          </cell>
          <cell r="AD341" t="str">
            <v>A INTL MAX+ (MS)</v>
          </cell>
          <cell r="AE341" t="str">
            <v>01-01-03</v>
          </cell>
          <cell r="AF341" t="str">
            <v>WHT / GAME BLU-BLK-WHT</v>
          </cell>
        </row>
        <row r="342">
          <cell r="AC342" t="str">
            <v>609022-002</v>
          </cell>
          <cell r="AD342" t="str">
            <v>A MX TWIND B (BG)</v>
          </cell>
          <cell r="AE342" t="str">
            <v>10-12-00</v>
          </cell>
          <cell r="AF342" t="str">
            <v>BLACK / BLACK-COMET RED</v>
          </cell>
        </row>
        <row r="343">
          <cell r="AC343" t="str">
            <v>698021-081</v>
          </cell>
          <cell r="AD343" t="str">
            <v>A MAX DELUXE B (WS)</v>
          </cell>
          <cell r="AE343" t="str">
            <v>12-02-00</v>
          </cell>
          <cell r="AF343" t="str">
            <v>LT GRPH / SPUN YEL-DK CHR-M SILV</v>
          </cell>
        </row>
        <row r="344">
          <cell r="AC344" t="str">
            <v>609045-482</v>
          </cell>
          <cell r="AD344" t="str">
            <v>A PRESTO B (MS)</v>
          </cell>
          <cell r="AE344" t="str">
            <v>10-12-00</v>
          </cell>
          <cell r="AF344" t="str">
            <v>HEAVEN BLU / CARROT-BLUE PRINT</v>
          </cell>
        </row>
        <row r="345">
          <cell r="AC345" t="str">
            <v>604140-402</v>
          </cell>
          <cell r="AD345" t="str">
            <v>A MX TWIND 4 (MS)</v>
          </cell>
          <cell r="AE345" t="str">
            <v>09-11-00</v>
          </cell>
          <cell r="AF345" t="str">
            <v>MMNAVY / M SILV-SKY BLU-WHT</v>
          </cell>
        </row>
        <row r="346">
          <cell r="AC346" t="str">
            <v>604140-443</v>
          </cell>
          <cell r="AD346" t="str">
            <v>A MX TWIND 4 (MS)</v>
          </cell>
          <cell r="AE346" t="str">
            <v>09-11-00</v>
          </cell>
        </row>
        <row r="347">
          <cell r="AC347" t="str">
            <v>604212-001</v>
          </cell>
          <cell r="AD347" t="str">
            <v>A PRESTO (MS)</v>
          </cell>
          <cell r="AE347" t="str">
            <v>09-11-00</v>
          </cell>
          <cell r="AF347" t="str">
            <v>LT GRAPH / BLAK-LT VOLTAG YELLOW</v>
          </cell>
        </row>
        <row r="348">
          <cell r="AC348" t="str">
            <v>604214-001</v>
          </cell>
          <cell r="AD348" t="str">
            <v>A PRESTO (MS)</v>
          </cell>
          <cell r="AE348" t="str">
            <v>09-11-00</v>
          </cell>
        </row>
        <row r="349">
          <cell r="AC349" t="str">
            <v>605070-142</v>
          </cell>
          <cell r="AD349" t="str">
            <v>A MX 95 LEA (WS)</v>
          </cell>
          <cell r="AE349" t="str">
            <v>09-11-00</v>
          </cell>
          <cell r="AF349" t="str">
            <v>WHT / POLAR-MIDNIGHTNAVY</v>
          </cell>
        </row>
        <row r="350">
          <cell r="AC350" t="str">
            <v>605070-061</v>
          </cell>
          <cell r="AD350" t="str">
            <v>A MX 95 LEA (WS)</v>
          </cell>
          <cell r="AE350" t="str">
            <v>01-07-09</v>
          </cell>
          <cell r="AF350" t="str">
            <v>LIGHTBONE/DK.CAYENNE-MET.ZINC</v>
          </cell>
        </row>
        <row r="351">
          <cell r="AC351" t="str">
            <v>605097-401</v>
          </cell>
          <cell r="AD351" t="str">
            <v>A MX 95 LEA (WS)</v>
          </cell>
          <cell r="AE351" t="str">
            <v>09-11-00</v>
          </cell>
          <cell r="AF351" t="str">
            <v>BLUE SHADOW / NEUTRAL GREY-BLACK</v>
          </cell>
        </row>
        <row r="352">
          <cell r="AC352" t="str">
            <v>605115-042</v>
          </cell>
          <cell r="AD352" t="str">
            <v>A TOTAL MAX 2+ (WS)</v>
          </cell>
          <cell r="AE352" t="str">
            <v>09-11-00</v>
          </cell>
          <cell r="AF352" t="str">
            <v>COOL GREY / WATER-LT ZEN GREY</v>
          </cell>
        </row>
        <row r="353">
          <cell r="AC353" t="str">
            <v>605156-031</v>
          </cell>
          <cell r="AD353" t="str">
            <v>A MX 95 (WS)</v>
          </cell>
          <cell r="AE353" t="str">
            <v>09-11-00</v>
          </cell>
          <cell r="AF353" t="str">
            <v>NEUTRAL / PATINA-ICICLE-MSILVER</v>
          </cell>
        </row>
        <row r="354">
          <cell r="AC354" t="str">
            <v>605178-041</v>
          </cell>
          <cell r="AD354" t="str">
            <v>A MX PLUS 3 (WS)</v>
          </cell>
          <cell r="AE354" t="str">
            <v>08-10-00</v>
          </cell>
          <cell r="AF354" t="str">
            <v>N GREY / COLUMBIA BLU-MED GRY</v>
          </cell>
        </row>
        <row r="355">
          <cell r="AC355" t="str">
            <v>605178-301</v>
          </cell>
          <cell r="AD355" t="str">
            <v>A MX PLUS 3 (WS)</v>
          </cell>
          <cell r="AE355" t="str">
            <v>09-11-00</v>
          </cell>
          <cell r="AF355" t="str">
            <v>CONFEDERATE / MSILV-FIZZ-WHT</v>
          </cell>
        </row>
        <row r="356">
          <cell r="AC356" t="str">
            <v>605178-401</v>
          </cell>
          <cell r="AD356" t="str">
            <v>A MX PLUS 3 (WS)</v>
          </cell>
          <cell r="AE356" t="str">
            <v>01-09-11</v>
          </cell>
          <cell r="AF356" t="str">
            <v>BLUE SLATE/MET SILVER-WHITE</v>
          </cell>
        </row>
        <row r="357">
          <cell r="AC357" t="str">
            <v>605181-101</v>
          </cell>
          <cell r="AD357" t="str">
            <v>A TOTAL MAX 3 (MS)</v>
          </cell>
          <cell r="AE357" t="str">
            <v>08-10-00</v>
          </cell>
          <cell r="AF357" t="str">
            <v>WHITE / M SILVER-WHITE</v>
          </cell>
        </row>
        <row r="358">
          <cell r="AC358" t="str">
            <v>609022-471</v>
          </cell>
          <cell r="AD358" t="str">
            <v>A MX TWIND B (BG)</v>
          </cell>
          <cell r="AE358" t="str">
            <v>09-11-00</v>
          </cell>
          <cell r="AF358" t="str">
            <v>OBSDIAN / VIB YELLOW-MED DENIM</v>
          </cell>
        </row>
        <row r="359">
          <cell r="AC359" t="str">
            <v>609026-401</v>
          </cell>
          <cell r="AD359" t="str">
            <v>A MX 97 B (MS)</v>
          </cell>
          <cell r="AE359" t="str">
            <v>09-11-00</v>
          </cell>
          <cell r="AF359" t="str">
            <v>OBSIDIAN / METALLIC SILVER</v>
          </cell>
        </row>
        <row r="360">
          <cell r="AC360" t="str">
            <v>609026-941</v>
          </cell>
          <cell r="AD360" t="str">
            <v>A MX 97 B (MS)</v>
          </cell>
          <cell r="AE360" t="str">
            <v>09-11-00</v>
          </cell>
        </row>
        <row r="361">
          <cell r="AC361" t="str">
            <v>609045-481</v>
          </cell>
          <cell r="AD361" t="str">
            <v>A PRESTO B (MS)</v>
          </cell>
          <cell r="AE361" t="str">
            <v>09-11-00</v>
          </cell>
          <cell r="AF361" t="str">
            <v>HEAVEN BLUE / CARROT-BLUEPRINT</v>
          </cell>
        </row>
        <row r="362">
          <cell r="AC362" t="str">
            <v>609048-061</v>
          </cell>
          <cell r="AD362" t="str">
            <v>A MX 95 (MS)</v>
          </cell>
          <cell r="AE362" t="str">
            <v>01-01-03</v>
          </cell>
          <cell r="AF362" t="str">
            <v>DK CHARCOAL / TEAM RED FLINT GRY</v>
          </cell>
        </row>
        <row r="363">
          <cell r="AC363" t="str">
            <v>609048-071</v>
          </cell>
          <cell r="AD363" t="str">
            <v>A MX 95 (MS)</v>
          </cell>
          <cell r="AE363" t="str">
            <v>01-07-09</v>
          </cell>
          <cell r="AF363" t="str">
            <v>LT BONE/DK CURRY-OLD MOSS</v>
          </cell>
        </row>
        <row r="364">
          <cell r="AC364" t="str">
            <v>609054-001</v>
          </cell>
          <cell r="AD364" t="str">
            <v>A MAX DELUXE B (MS)</v>
          </cell>
          <cell r="AE364" t="str">
            <v>09-11-00</v>
          </cell>
          <cell r="AF364" t="str">
            <v>BLK / COOL GREY-MTLC SILVER</v>
          </cell>
        </row>
        <row r="365">
          <cell r="AC365" t="str">
            <v>655032-002</v>
          </cell>
          <cell r="AD365" t="str">
            <v>A MX TWIND 4+ BG</v>
          </cell>
          <cell r="AE365" t="str">
            <v>08-10-00</v>
          </cell>
          <cell r="AF365" t="str">
            <v>MET SILVER / BLACK-BASEBALL BLUE</v>
          </cell>
        </row>
        <row r="366">
          <cell r="AC366" t="str">
            <v>655032-401</v>
          </cell>
          <cell r="AD366" t="str">
            <v>A MX TWIND 4+ BG</v>
          </cell>
          <cell r="AE366" t="str">
            <v>09-11-00</v>
          </cell>
          <cell r="AF366" t="str">
            <v>MID NAVY / MET SIL-SKYBLU-WHT</v>
          </cell>
        </row>
        <row r="367">
          <cell r="AC367" t="str">
            <v>655032-441</v>
          </cell>
          <cell r="AD367" t="str">
            <v>A MX TWIND 4+ BG</v>
          </cell>
          <cell r="AE367" t="str">
            <v>01-07-09</v>
          </cell>
          <cell r="AF367" t="str">
            <v>OBSIDIAN/LIGHT BLUE-MET SILVER</v>
          </cell>
        </row>
        <row r="368">
          <cell r="AC368" t="str">
            <v>655032-443</v>
          </cell>
          <cell r="AD368" t="str">
            <v>A MX TWIND 4+ BG</v>
          </cell>
          <cell r="AE368" t="str">
            <v>01-07-09</v>
          </cell>
          <cell r="AF368" t="str">
            <v>MN NAVY/CLEARWATER-WHITE</v>
          </cell>
        </row>
        <row r="369">
          <cell r="AC369" t="str">
            <v>604195-041</v>
          </cell>
          <cell r="AD369" t="str">
            <v>A MAX ECSTSY (MS)</v>
          </cell>
          <cell r="AE369" t="str">
            <v>05-07-00</v>
          </cell>
          <cell r="AF369" t="str">
            <v>M SILVER / CAROLIABLU-BLK</v>
          </cell>
        </row>
        <row r="370">
          <cell r="AC370" t="str">
            <v>609016-001</v>
          </cell>
          <cell r="AD370" t="str">
            <v>A MX TWIND B (MS)</v>
          </cell>
          <cell r="AE370" t="str">
            <v>05-07-00</v>
          </cell>
          <cell r="AF370" t="str">
            <v>BLK / DETROIT BLU</v>
          </cell>
        </row>
        <row r="371">
          <cell r="AC371" t="str">
            <v>609045-011</v>
          </cell>
          <cell r="AD371" t="str">
            <v>A PRESTO B (MS)</v>
          </cell>
          <cell r="AE371" t="str">
            <v>05-07-00</v>
          </cell>
        </row>
        <row r="372">
          <cell r="AC372" t="str">
            <v>104240-061</v>
          </cell>
          <cell r="AD372" t="str">
            <v>A INTL MAX (MS)</v>
          </cell>
          <cell r="AE372" t="str">
            <v>07-09-00</v>
          </cell>
          <cell r="AF372" t="str">
            <v>ANTHRACITE / LCQR-NTRL GRY-MX ORNG</v>
          </cell>
        </row>
        <row r="373">
          <cell r="AC373" t="str">
            <v>604118-002</v>
          </cell>
          <cell r="AD373" t="str">
            <v>A MX 95 (MS)</v>
          </cell>
          <cell r="AE373" t="str">
            <v>05-07-00</v>
          </cell>
          <cell r="AF373" t="str">
            <v>M SIVER / BLK-WHT</v>
          </cell>
        </row>
        <row r="374">
          <cell r="AC374" t="str">
            <v>604140-483</v>
          </cell>
          <cell r="AD374" t="str">
            <v>A MX TWIND 4 (MS)</v>
          </cell>
          <cell r="AE374" t="str">
            <v>05-07-00</v>
          </cell>
          <cell r="AF374" t="str">
            <v>OBSIDIAN / ORANGE PEEL-VAPOR</v>
          </cell>
        </row>
        <row r="375">
          <cell r="AC375" t="str">
            <v>604186-041</v>
          </cell>
          <cell r="AD375" t="str">
            <v>A MAX DELUXE (MS)</v>
          </cell>
          <cell r="AE375" t="str">
            <v>01-01-03</v>
          </cell>
          <cell r="AF375" t="str">
            <v>MSIL / BALTCBLU OBSIDIAN-WHT</v>
          </cell>
        </row>
        <row r="376">
          <cell r="AC376" t="str">
            <v>604186-071</v>
          </cell>
          <cell r="AD376" t="str">
            <v>A MAX DELUXE (MS)</v>
          </cell>
          <cell r="AE376" t="str">
            <v>05-07-00</v>
          </cell>
          <cell r="AF376" t="str">
            <v>BLK / VMAIZE MSILVER</v>
          </cell>
        </row>
        <row r="377">
          <cell r="AC377" t="str">
            <v>604190-005</v>
          </cell>
          <cell r="AD377" t="str">
            <v>A MX TWIND 5 (MS)</v>
          </cell>
          <cell r="AE377" t="str">
            <v>08-10-00</v>
          </cell>
          <cell r="AF377" t="str">
            <v>DK CHAR / M SILVER-VRED-SOFT GRE</v>
          </cell>
        </row>
        <row r="378">
          <cell r="AC378" t="str">
            <v>604190-006</v>
          </cell>
          <cell r="AD378" t="str">
            <v>A MX TWIND 5 (MS)</v>
          </cell>
          <cell r="AE378" t="str">
            <v>05-07-00</v>
          </cell>
          <cell r="AF378" t="str">
            <v>BLK / BLK-METALLIC SILVER</v>
          </cell>
        </row>
        <row r="379">
          <cell r="AC379" t="str">
            <v>604190-102</v>
          </cell>
          <cell r="AD379" t="str">
            <v>A MX TWIND 5 (MS)</v>
          </cell>
          <cell r="AE379" t="str">
            <v>05-07-00</v>
          </cell>
          <cell r="AF379" t="str">
            <v>WHT / MET SILVER-OBSIDIAN</v>
          </cell>
        </row>
        <row r="380">
          <cell r="AC380" t="str">
            <v>604190-461</v>
          </cell>
          <cell r="AD380" t="str">
            <v>A MX TWIND 5 (MS)</v>
          </cell>
          <cell r="AE380" t="str">
            <v>05-07-00</v>
          </cell>
          <cell r="AF380" t="str">
            <v>OBSDIAN / VARSITY RED-WHT</v>
          </cell>
        </row>
        <row r="381">
          <cell r="AC381" t="str">
            <v>609016-001</v>
          </cell>
          <cell r="AD381" t="str">
            <v>A MX TWIND B (MS)</v>
          </cell>
          <cell r="AE381" t="str">
            <v>05-07-00</v>
          </cell>
          <cell r="AF381" t="str">
            <v>BLK / DETROIT BLU</v>
          </cell>
        </row>
        <row r="382">
          <cell r="AC382" t="str">
            <v>855047-001</v>
          </cell>
          <cell r="AD382" t="str">
            <v>A MX TWIND 4 LEA BG</v>
          </cell>
          <cell r="AE382" t="str">
            <v>05-07-00</v>
          </cell>
          <cell r="AF382" t="str">
            <v>MD GRY / NT GRY-LT GRPH-ORG FLSH</v>
          </cell>
        </row>
        <row r="383">
          <cell r="AC383" t="str">
            <v>605158-441</v>
          </cell>
          <cell r="AD383" t="str">
            <v>A MAX DELUXE (WS)</v>
          </cell>
          <cell r="AE383" t="str">
            <v>05-07-00</v>
          </cell>
          <cell r="AF383" t="str">
            <v>OBS / MEDIUMBLU-WHT-MSILVER</v>
          </cell>
        </row>
        <row r="384">
          <cell r="AC384" t="str">
            <v>605166-181</v>
          </cell>
          <cell r="AD384" t="str">
            <v>A MX TWIND 5 (WS)</v>
          </cell>
          <cell r="AE384" t="str">
            <v>05-07-00</v>
          </cell>
        </row>
        <row r="385">
          <cell r="AC385" t="str">
            <v>655032-001</v>
          </cell>
          <cell r="AD385" t="str">
            <v>A MX TWIND 4+ BG</v>
          </cell>
          <cell r="AE385" t="str">
            <v>05-07-00</v>
          </cell>
        </row>
        <row r="386">
          <cell r="AC386" t="str">
            <v>655032-102</v>
          </cell>
          <cell r="AD386" t="str">
            <v>A MX TWIND 4+ BG</v>
          </cell>
          <cell r="AE386" t="str">
            <v>05-07-00</v>
          </cell>
        </row>
        <row r="387">
          <cell r="AC387" t="str">
            <v>655032-141</v>
          </cell>
          <cell r="AD387" t="str">
            <v>A MX TWIND 4+ BG</v>
          </cell>
          <cell r="AE387" t="str">
            <v>05-07-00</v>
          </cell>
        </row>
        <row r="388">
          <cell r="AC388" t="str">
            <v>655032-341</v>
          </cell>
          <cell r="AD388" t="str">
            <v>A MX TWIND 4+ BG</v>
          </cell>
          <cell r="AE388" t="str">
            <v>05-07-00</v>
          </cell>
        </row>
        <row r="389">
          <cell r="AC389" t="str">
            <v>655075-003</v>
          </cell>
          <cell r="AD389" t="str">
            <v>A MX TWIND 4+ BG</v>
          </cell>
          <cell r="AE389" t="str">
            <v>05-07-00</v>
          </cell>
        </row>
        <row r="390">
          <cell r="AC390" t="str">
            <v>102090-431</v>
          </cell>
          <cell r="AD390" t="str">
            <v>A ALIGN (MS)</v>
          </cell>
          <cell r="AE390" t="str">
            <v>04-06-99</v>
          </cell>
        </row>
        <row r="391">
          <cell r="AC391" t="str">
            <v>102093-071</v>
          </cell>
          <cell r="AD391" t="str">
            <v>A ALIGN (MS)</v>
          </cell>
          <cell r="AE391" t="str">
            <v>04-06-99</v>
          </cell>
        </row>
        <row r="392">
          <cell r="AC392" t="str">
            <v>102093-072</v>
          </cell>
          <cell r="AD392" t="str">
            <v>A ALIGN (MS)</v>
          </cell>
          <cell r="AE392" t="str">
            <v>04-06-99</v>
          </cell>
        </row>
        <row r="393">
          <cell r="AC393" t="str">
            <v>102093-141</v>
          </cell>
          <cell r="AD393" t="str">
            <v>A ALIGN (MS)</v>
          </cell>
          <cell r="AE393" t="str">
            <v>04-06-99</v>
          </cell>
        </row>
        <row r="394">
          <cell r="AC394" t="str">
            <v>102093-161</v>
          </cell>
          <cell r="AD394" t="str">
            <v>A ALIGN (MS)</v>
          </cell>
          <cell r="AE394" t="str">
            <v>04-06-99</v>
          </cell>
        </row>
        <row r="395">
          <cell r="AC395" t="str">
            <v>102093-431</v>
          </cell>
          <cell r="AD395" t="str">
            <v>A ALIGN (WS)</v>
          </cell>
          <cell r="AE395" t="str">
            <v>04-06-99</v>
          </cell>
        </row>
        <row r="396">
          <cell r="AC396" t="str">
            <v>104211-461</v>
          </cell>
          <cell r="AD396" t="str">
            <v>A MX TWIND 4 NB (MS)</v>
          </cell>
          <cell r="AE396" t="str">
            <v>08-10-00</v>
          </cell>
          <cell r="AF396" t="str">
            <v>OBSDN / VRSTY RD-WHT-REFLC SLV</v>
          </cell>
        </row>
        <row r="397">
          <cell r="AC397" t="str">
            <v>104221-001</v>
          </cell>
          <cell r="AD397" t="str">
            <v>A MX TWIND 5 (MS)</v>
          </cell>
          <cell r="AE397" t="str">
            <v>08-10-00</v>
          </cell>
          <cell r="AF397" t="str">
            <v>MED GREY / BLK-COMET RED</v>
          </cell>
        </row>
        <row r="398">
          <cell r="AC398" t="str">
            <v>104221-002</v>
          </cell>
          <cell r="AD398" t="str">
            <v>A MX TWIND 5 (MS)</v>
          </cell>
          <cell r="AE398" t="str">
            <v>01-09-11</v>
          </cell>
          <cell r="AF398" t="str">
            <v>BLK/MET SLVR-DK CHRCL-DK CAYNE</v>
          </cell>
        </row>
        <row r="399">
          <cell r="AC399" t="str">
            <v>104221-402</v>
          </cell>
          <cell r="AD399" t="str">
            <v>A MX TWIND 5 (MS)</v>
          </cell>
          <cell r="AE399" t="str">
            <v>08-10-00</v>
          </cell>
          <cell r="AF399" t="str">
            <v>OBSIDIAN / MET SILVER-NTRL GRY</v>
          </cell>
        </row>
        <row r="400">
          <cell r="AC400" t="str">
            <v>104223-071</v>
          </cell>
          <cell r="AD400" t="str">
            <v>A MAX ECSTSY (MS)</v>
          </cell>
          <cell r="AE400" t="str">
            <v>08-10-00</v>
          </cell>
          <cell r="AF400" t="str">
            <v>BLACK / YLW STREAK-REF SILVER</v>
          </cell>
        </row>
        <row r="401">
          <cell r="AC401" t="str">
            <v>104233-061</v>
          </cell>
          <cell r="AD401" t="str">
            <v>A INTL MAX (MS)</v>
          </cell>
          <cell r="AE401" t="str">
            <v>07-09-00</v>
          </cell>
          <cell r="AF401" t="str">
            <v>ANTHRCT / LCQR-NTRL GRY-MX ORNG</v>
          </cell>
        </row>
        <row r="402">
          <cell r="AC402" t="str">
            <v>104233-103</v>
          </cell>
          <cell r="AD402" t="str">
            <v>A INTL MAX (MS)</v>
          </cell>
          <cell r="AE402" t="str">
            <v>08-10-00</v>
          </cell>
          <cell r="AF402" t="str">
            <v>WHT / BLK-ACID-MET SILVER</v>
          </cell>
        </row>
        <row r="403">
          <cell r="AC403" t="str">
            <v>104240-103</v>
          </cell>
          <cell r="AD403" t="str">
            <v>A INTL MAX (MS)</v>
          </cell>
          <cell r="AE403" t="str">
            <v>07-09-00</v>
          </cell>
          <cell r="AF403" t="str">
            <v>WHT / BLK-ACID-MET SILVER</v>
          </cell>
        </row>
        <row r="404">
          <cell r="AC404" t="str">
            <v>104242-461</v>
          </cell>
          <cell r="AD404" t="str">
            <v>A PRESTO OLYMPIC (MS)</v>
          </cell>
          <cell r="AE404" t="str">
            <v>06-08-00</v>
          </cell>
          <cell r="AF404" t="str">
            <v>NTRL GRY / COMET RED-OBSIDIAN</v>
          </cell>
        </row>
        <row r="405">
          <cell r="AC405" t="str">
            <v>104243-173</v>
          </cell>
          <cell r="AD405" t="str">
            <v>A INTL MAX (MS)</v>
          </cell>
          <cell r="AE405" t="str">
            <v>06-08-00</v>
          </cell>
          <cell r="AF405" t="str">
            <v>WHT / VIBRANT YELLOW-FRENCH BLU</v>
          </cell>
        </row>
        <row r="406">
          <cell r="AC406" t="str">
            <v>104251-211</v>
          </cell>
          <cell r="AD406" t="str">
            <v>A INTL MAX LEA (MS)</v>
          </cell>
          <cell r="AE406" t="str">
            <v>06-08-00</v>
          </cell>
          <cell r="AF406" t="str">
            <v>LIMESTONE / LIMESTONE-STUCCO</v>
          </cell>
        </row>
        <row r="407">
          <cell r="AC407" t="str">
            <v>104253-001</v>
          </cell>
          <cell r="AD407" t="str">
            <v>A INTL MAX+ (MS)</v>
          </cell>
          <cell r="AE407" t="str">
            <v>08-10-00</v>
          </cell>
          <cell r="AF407" t="str">
            <v>BLK / MET SILVER-WHT-NTRL GRY</v>
          </cell>
        </row>
        <row r="408">
          <cell r="AC408" t="str">
            <v>104253-081</v>
          </cell>
          <cell r="AD408" t="str">
            <v>A INTL MAX+ (MS)</v>
          </cell>
          <cell r="AE408" t="str">
            <v>08-10-00</v>
          </cell>
          <cell r="AF408" t="str">
            <v>NTRL GRY / ORNG FLSH - OBSDN-REF S</v>
          </cell>
        </row>
        <row r="409">
          <cell r="AC409" t="str">
            <v>104253-141</v>
          </cell>
          <cell r="AD409" t="str">
            <v>A INTL MAX+ (MS)</v>
          </cell>
          <cell r="AE409" t="str">
            <v>08-10-00</v>
          </cell>
          <cell r="AF409" t="str">
            <v>WHITE / COAST-DARK CHARCOAL</v>
          </cell>
        </row>
        <row r="410">
          <cell r="AC410" t="str">
            <v>104254-141</v>
          </cell>
          <cell r="AD410" t="str">
            <v>A INTL MAX+ (MS)</v>
          </cell>
          <cell r="AE410" t="str">
            <v>08-10-00</v>
          </cell>
          <cell r="AF410" t="str">
            <v>WHITE / COAST-DARK CHARCOAL</v>
          </cell>
        </row>
        <row r="411">
          <cell r="AC411" t="str">
            <v>104255-071</v>
          </cell>
          <cell r="AD411" t="str">
            <v>A SKYLON TRX J (MS)</v>
          </cell>
          <cell r="AE411" t="str">
            <v>06-08-00</v>
          </cell>
          <cell r="AF411" t="str">
            <v>MET SILVER / VIBRANT YELLOW-BLK</v>
          </cell>
        </row>
        <row r="412">
          <cell r="AC412" t="str">
            <v>104260-101</v>
          </cell>
          <cell r="AD412" t="str">
            <v>A MX TRX (MS)</v>
          </cell>
          <cell r="AE412" t="str">
            <v>06-08-00</v>
          </cell>
          <cell r="AF412" t="str">
            <v>WHT / BLK MARLIN-ORANGE BLAZE</v>
          </cell>
        </row>
        <row r="413">
          <cell r="AC413" t="str">
            <v>104260-071</v>
          </cell>
          <cell r="AD413" t="str">
            <v>A MX TRX (MS)</v>
          </cell>
          <cell r="AE413">
            <v>0</v>
          </cell>
          <cell r="AF413" t="str">
            <v>LT GRAPH / NEON YELLOW-BLK</v>
          </cell>
        </row>
        <row r="414">
          <cell r="AC414" t="str">
            <v>105223-401</v>
          </cell>
          <cell r="AD414" t="str">
            <v>A MX TWIND 5 (WS)</v>
          </cell>
          <cell r="AE414" t="str">
            <v>01-03-05</v>
          </cell>
          <cell r="AF414" t="str">
            <v>BLU CHAMBRAY / M SILVER-MDNT NY</v>
          </cell>
        </row>
        <row r="415">
          <cell r="AC415" t="str">
            <v>105224-001</v>
          </cell>
          <cell r="AD415" t="str">
            <v>A MX TWIND 4 NB (MS)</v>
          </cell>
          <cell r="AE415" t="str">
            <v>06-08-00</v>
          </cell>
          <cell r="AF415" t="str">
            <v>ZEN GREY / XEN GREY-CLOUD</v>
          </cell>
        </row>
        <row r="416">
          <cell r="AC416" t="str">
            <v>105225-061</v>
          </cell>
          <cell r="AD416" t="str">
            <v>A MAX ECSTSY (WS)</v>
          </cell>
          <cell r="AE416" t="str">
            <v>08-10-00</v>
          </cell>
          <cell r="AF416" t="str">
            <v>NEUTRAL GREY / TEAM RD-REF SILVER</v>
          </cell>
        </row>
        <row r="417">
          <cell r="AC417" t="str">
            <v>105225-431</v>
          </cell>
          <cell r="AD417" t="str">
            <v>A MAX ECSTSY (WS)</v>
          </cell>
          <cell r="AE417" t="str">
            <v>07-09-00</v>
          </cell>
          <cell r="AF417" t="str">
            <v>OBSD / LAB GRN-ZN GRY REF SRLV</v>
          </cell>
        </row>
        <row r="418">
          <cell r="AC418" t="str">
            <v>604116-002</v>
          </cell>
          <cell r="AD418" t="str">
            <v>A MX 95 (MS)</v>
          </cell>
          <cell r="AE418" t="str">
            <v>01-08-10</v>
          </cell>
          <cell r="AF418" t="str">
            <v>DK CHARCOAL/NEUTRAL GREY</v>
          </cell>
        </row>
        <row r="419">
          <cell r="AC419" t="str">
            <v>604167-145</v>
          </cell>
          <cell r="AD419" t="str">
            <v>A CLASSIC BW LEA (MS)</v>
          </cell>
          <cell r="AE419" t="str">
            <v>01-08-10</v>
          </cell>
          <cell r="AF419" t="str">
            <v>WHT/MDDENIM-MTSLVR-PRORED</v>
          </cell>
        </row>
        <row r="420">
          <cell r="AC420" t="str">
            <v>604116-443</v>
          </cell>
          <cell r="AD420" t="str">
            <v>A MX 95 (MS)</v>
          </cell>
          <cell r="AE420" t="str">
            <v>06-08-00</v>
          </cell>
          <cell r="AF420" t="str">
            <v>OBSIDIAN / OBSIDIAN-MET SILVER</v>
          </cell>
        </row>
        <row r="421">
          <cell r="AC421" t="str">
            <v>604186-003</v>
          </cell>
          <cell r="AD421" t="str">
            <v>A MAX DELUXE (MS)</v>
          </cell>
          <cell r="AE421" t="str">
            <v>06-08-00</v>
          </cell>
          <cell r="AF421" t="str">
            <v>BLK / MSILVER</v>
          </cell>
        </row>
        <row r="422">
          <cell r="AC422" t="str">
            <v>604190-007</v>
          </cell>
          <cell r="AD422" t="str">
            <v>A MX TWIND 5 (MS)</v>
          </cell>
          <cell r="AE422" t="str">
            <v>01-03-05</v>
          </cell>
          <cell r="AF422" t="str">
            <v>BLACK / MET SILVER</v>
          </cell>
        </row>
        <row r="423">
          <cell r="AC423" t="str">
            <v>605066-171</v>
          </cell>
          <cell r="AD423" t="str">
            <v>A MX 95 LEA (WS)</v>
          </cell>
          <cell r="AE423" t="str">
            <v>06-08-00</v>
          </cell>
          <cell r="AF423" t="str">
            <v>WHT / VIBRANT YELLOW-MTLC SILVER</v>
          </cell>
        </row>
        <row r="424">
          <cell r="AC424" t="str">
            <v>605173-161</v>
          </cell>
          <cell r="AD424" t="str">
            <v>A MX 97 (WS)</v>
          </cell>
          <cell r="AE424" t="str">
            <v>07-09-00</v>
          </cell>
          <cell r="AF424" t="str">
            <v>WHT / CHIANTI-METALLIC SILVER</v>
          </cell>
        </row>
        <row r="425">
          <cell r="AC425" t="str">
            <v>855047-461</v>
          </cell>
          <cell r="AD425" t="str">
            <v>A MX TWIND 4 LEA BG</v>
          </cell>
          <cell r="AE425" t="str">
            <v>09-11-00</v>
          </cell>
          <cell r="AF425" t="str">
            <v>OBSIDIAN / VARSITY RED-WHT-REF SIL</v>
          </cell>
        </row>
        <row r="426">
          <cell r="AC426" t="str">
            <v>104034-103</v>
          </cell>
          <cell r="AD426" t="str">
            <v>A MX TRX (MS)</v>
          </cell>
          <cell r="AE426" t="str">
            <v>05-07-00</v>
          </cell>
        </row>
        <row r="427">
          <cell r="AC427" t="str">
            <v>104231-001</v>
          </cell>
          <cell r="AD427" t="str">
            <v>A PRESTO (MS)</v>
          </cell>
          <cell r="AE427" t="str">
            <v>05-07-00</v>
          </cell>
          <cell r="AF427" t="str">
            <v>BLB / NEUTRAL GREY-YELLOW STRK</v>
          </cell>
        </row>
        <row r="428">
          <cell r="AC428" t="str">
            <v>104231-003</v>
          </cell>
          <cell r="AD428" t="str">
            <v>A PRESTO (MS)</v>
          </cell>
          <cell r="AE428" t="str">
            <v>05-07-00</v>
          </cell>
          <cell r="AF428" t="str">
            <v>NTRL GREY / ANTHRACITE-ORNG BLZ</v>
          </cell>
        </row>
        <row r="429">
          <cell r="AC429" t="str">
            <v>104231-002</v>
          </cell>
          <cell r="AD429" t="str">
            <v>A PRESTO (MS)</v>
          </cell>
          <cell r="AE429" t="str">
            <v>05-07-00</v>
          </cell>
        </row>
        <row r="430">
          <cell r="AC430" t="str">
            <v>104231-005</v>
          </cell>
          <cell r="AD430" t="str">
            <v>A PRESTO (MS)</v>
          </cell>
          <cell r="AE430" t="str">
            <v>01-05-07</v>
          </cell>
          <cell r="AF430" t="str">
            <v>BLK / ZEN GREY HARBOR BLU</v>
          </cell>
        </row>
        <row r="431">
          <cell r="AC431" t="str">
            <v>104231-041</v>
          </cell>
          <cell r="AD431" t="str">
            <v>A PRESTO (MS)</v>
          </cell>
          <cell r="AE431" t="str">
            <v>05-07-00</v>
          </cell>
        </row>
        <row r="432">
          <cell r="AC432" t="str">
            <v>104231-111</v>
          </cell>
          <cell r="AD432" t="str">
            <v>A PRESTO (MS)</v>
          </cell>
          <cell r="AE432" t="str">
            <v>05-07-00</v>
          </cell>
        </row>
        <row r="433">
          <cell r="AC433" t="str">
            <v>104231-181</v>
          </cell>
          <cell r="AD433" t="str">
            <v>A PRESTO (MS)</v>
          </cell>
          <cell r="AE433" t="str">
            <v>03-05-00</v>
          </cell>
        </row>
        <row r="434">
          <cell r="AC434" t="str">
            <v>104257-081</v>
          </cell>
          <cell r="AD434" t="str">
            <v>A MAX DELUXE. COM (MS)</v>
          </cell>
          <cell r="AE434" t="str">
            <v>03-05-00</v>
          </cell>
          <cell r="AF434" t="str">
            <v>MET SILVER / ORNG-LT GRPH-ANTHRC</v>
          </cell>
        </row>
        <row r="435">
          <cell r="AC435" t="str">
            <v>105245-551</v>
          </cell>
          <cell r="AD435" t="str">
            <v>A MX TWIND 5. COM (WS)</v>
          </cell>
          <cell r="AE435" t="str">
            <v>03-05-00</v>
          </cell>
          <cell r="AF435" t="str">
            <v>ABYSS / TITANM-MET SLV-WHT</v>
          </cell>
        </row>
        <row r="436">
          <cell r="AC436" t="str">
            <v>105246-441</v>
          </cell>
          <cell r="AD436" t="str">
            <v>A MAX DELUXE. COM (WS)</v>
          </cell>
          <cell r="AE436" t="str">
            <v>03-05-00</v>
          </cell>
          <cell r="AF436" t="str">
            <v>MDNT NVY / CRLN BLU-MET SLV-WHT</v>
          </cell>
        </row>
        <row r="437">
          <cell r="AC437" t="str">
            <v>604190-011</v>
          </cell>
          <cell r="AD437" t="str">
            <v>A MX TWIND 5 (MS)</v>
          </cell>
          <cell r="AE437" t="str">
            <v>03-05-00</v>
          </cell>
        </row>
        <row r="438">
          <cell r="AC438" t="str">
            <v>604191-402</v>
          </cell>
          <cell r="AD438" t="str">
            <v>A INTL MAX (MS)</v>
          </cell>
          <cell r="AE438" t="str">
            <v>03-05-00</v>
          </cell>
          <cell r="AF438" t="str">
            <v>MNNAVY / M SVL-VRSMZE</v>
          </cell>
        </row>
        <row r="439">
          <cell r="AC439" t="str">
            <v>104231-004</v>
          </cell>
          <cell r="AD439" t="str">
            <v>A PRESTO (MS)</v>
          </cell>
          <cell r="AE439" t="str">
            <v>08-10-00</v>
          </cell>
          <cell r="AF439" t="str">
            <v>BLACK / MET SILVER-NTL GREY</v>
          </cell>
        </row>
        <row r="440">
          <cell r="AC440" t="str">
            <v>104231-012</v>
          </cell>
          <cell r="AD440" t="str">
            <v>A PRESTO (MS)</v>
          </cell>
          <cell r="AE440" t="str">
            <v>03-05-00</v>
          </cell>
        </row>
        <row r="441">
          <cell r="AC441" t="str">
            <v>104231-412</v>
          </cell>
          <cell r="AD441" t="str">
            <v>A PRESTO (MS)</v>
          </cell>
          <cell r="AE441" t="str">
            <v>01-06-08</v>
          </cell>
          <cell r="AF441" t="str">
            <v>MDNT NAVY/WHITE-CLOUD</v>
          </cell>
        </row>
        <row r="442">
          <cell r="AC442" t="str">
            <v>104239-461</v>
          </cell>
          <cell r="AD442" t="str">
            <v>A INTL MX OLIMPIC (MS)</v>
          </cell>
          <cell r="AE442" t="str">
            <v>03-05-00</v>
          </cell>
          <cell r="AF442" t="str">
            <v>OBSIDIAN / COMET RED-WHT</v>
          </cell>
        </row>
        <row r="443">
          <cell r="AC443" t="str">
            <v>104166-481</v>
          </cell>
          <cell r="AD443" t="str">
            <v>A MX TWIND 4 (MS)</v>
          </cell>
          <cell r="AE443" t="str">
            <v>03-05-00</v>
          </cell>
        </row>
        <row r="444">
          <cell r="AC444" t="str">
            <v>104199-041</v>
          </cell>
          <cell r="AD444" t="str">
            <v>A ARAGON (MS)</v>
          </cell>
          <cell r="AE444" t="str">
            <v>03-05-00</v>
          </cell>
          <cell r="AF444" t="str">
            <v>MET SILVER / SGNAL BLU-BLK</v>
          </cell>
        </row>
        <row r="445">
          <cell r="AC445" t="str">
            <v>104221-071</v>
          </cell>
          <cell r="AD445" t="str">
            <v>A MX TWIND 5 (MS)</v>
          </cell>
          <cell r="AE445" t="str">
            <v>06-08-00</v>
          </cell>
          <cell r="AF445" t="str">
            <v>NTRL GRY / HORNET-ANTHRACITE-BLK</v>
          </cell>
        </row>
        <row r="446">
          <cell r="AC446" t="str">
            <v>105225-001</v>
          </cell>
          <cell r="AD446" t="str">
            <v>A MAX ECSTSY (WS)</v>
          </cell>
          <cell r="AE446" t="str">
            <v>03-05-00</v>
          </cell>
        </row>
        <row r="447">
          <cell r="AC447" t="str">
            <v>604116-043</v>
          </cell>
          <cell r="AD447" t="str">
            <v>A MX 95 (MS)</v>
          </cell>
          <cell r="AE447" t="str">
            <v>03-05-00</v>
          </cell>
        </row>
        <row r="448">
          <cell r="AC448" t="str">
            <v>604116-063</v>
          </cell>
          <cell r="AD448" t="str">
            <v>A MX 95 (MS)</v>
          </cell>
          <cell r="AE448" t="str">
            <v>06-08-00</v>
          </cell>
          <cell r="AF448" t="str">
            <v>BLACK / COMET-RED</v>
          </cell>
        </row>
        <row r="449">
          <cell r="AC449" t="str">
            <v>604170-062</v>
          </cell>
          <cell r="AD449" t="str">
            <v>A INTL TRX 2 (MS)</v>
          </cell>
          <cell r="AE449" t="str">
            <v>02-04-01</v>
          </cell>
          <cell r="AF449" t="str">
            <v>BLK / VARSITY RED MET SILVER</v>
          </cell>
        </row>
        <row r="450">
          <cell r="AC450" t="str">
            <v>862026-172</v>
          </cell>
          <cell r="AD450" t="str">
            <v>KID INTL MAX BG</v>
          </cell>
          <cell r="AE450" t="str">
            <v>01-03-00</v>
          </cell>
        </row>
        <row r="451">
          <cell r="AC451" t="str">
            <v>104223-161</v>
          </cell>
          <cell r="AD451" t="str">
            <v>A MAX ECSTSY (MS)</v>
          </cell>
          <cell r="AE451" t="str">
            <v>01-03-00</v>
          </cell>
          <cell r="AF451" t="str">
            <v>WHT / COMET RED-NTRL GRY-M GRY</v>
          </cell>
        </row>
        <row r="452">
          <cell r="AC452" t="str">
            <v>104224-151</v>
          </cell>
          <cell r="AD452" t="str">
            <v>A MX TRX (MS)</v>
          </cell>
          <cell r="AE452" t="str">
            <v>01-03-00</v>
          </cell>
        </row>
        <row r="453">
          <cell r="AC453" t="str">
            <v>104224-401</v>
          </cell>
          <cell r="AD453" t="str">
            <v>A MX TRX (MS)</v>
          </cell>
          <cell r="AE453" t="str">
            <v>08-10-00</v>
          </cell>
          <cell r="AF453" t="str">
            <v>MID NAVY / LT ZEN GRY WHT-MT SLVR</v>
          </cell>
        </row>
        <row r="454">
          <cell r="AC454" t="str">
            <v>104240-102</v>
          </cell>
          <cell r="AD454" t="str">
            <v>A INTL MAX (MS)</v>
          </cell>
          <cell r="AE454" t="str">
            <v>01-03-00</v>
          </cell>
          <cell r="AF454" t="str">
            <v>WHT / BLK COMET RED-MET SILVER</v>
          </cell>
        </row>
        <row r="455">
          <cell r="AC455" t="str">
            <v>104233-173</v>
          </cell>
          <cell r="AD455" t="str">
            <v>A INTL MAX (MS)</v>
          </cell>
          <cell r="AE455" t="str">
            <v>01-03-00</v>
          </cell>
          <cell r="AF455" t="str">
            <v>WHT / VIBRANT YELLOW FRENCH BLU</v>
          </cell>
        </row>
        <row r="456">
          <cell r="AC456" t="str">
            <v>105158-102</v>
          </cell>
          <cell r="AD456" t="str">
            <v>A MX TWIND 4 (MS)</v>
          </cell>
          <cell r="AE456" t="str">
            <v>01-03-00</v>
          </cell>
        </row>
        <row r="457">
          <cell r="AC457" t="str">
            <v>105215-101</v>
          </cell>
          <cell r="AD457" t="str">
            <v>A MAX DELUXE (WS)</v>
          </cell>
          <cell r="AE457" t="str">
            <v>01-03-00</v>
          </cell>
          <cell r="AF457" t="str">
            <v>WHT / ANTHRACITE-BRT MNDRN-MD DENM</v>
          </cell>
        </row>
        <row r="458">
          <cell r="AC458" t="str">
            <v>105224-111</v>
          </cell>
          <cell r="AD458" t="str">
            <v>A MX TWIND 4 NB (MS)</v>
          </cell>
          <cell r="AE458" t="str">
            <v>01-03-00</v>
          </cell>
        </row>
        <row r="459">
          <cell r="AC459" t="str">
            <v>105225-141</v>
          </cell>
          <cell r="AD459" t="str">
            <v>A MAX ECSTSY (WS)</v>
          </cell>
          <cell r="AE459" t="str">
            <v>01-03-00</v>
          </cell>
          <cell r="AF459" t="str">
            <v>WHT / CHAMBRY-NTNT NAVY</v>
          </cell>
        </row>
        <row r="460">
          <cell r="AC460" t="str">
            <v>604140-472</v>
          </cell>
          <cell r="AD460" t="str">
            <v>A MX TWIND 4 (MS)</v>
          </cell>
          <cell r="AE460" t="str">
            <v>01-03-00</v>
          </cell>
        </row>
        <row r="461">
          <cell r="AC461" t="str">
            <v>609016-011</v>
          </cell>
          <cell r="AD461" t="str">
            <v>A MX TWIND B (MS)</v>
          </cell>
          <cell r="AE461" t="str">
            <v>01-03-00</v>
          </cell>
        </row>
        <row r="462">
          <cell r="AC462" t="str">
            <v>104235-461</v>
          </cell>
          <cell r="AD462" t="str">
            <v>A INTL MX OLIMPIC (MS)</v>
          </cell>
          <cell r="AE462" t="str">
            <v>06-08-00</v>
          </cell>
          <cell r="AF462" t="str">
            <v>OBSIDIAN / COMET RED-WHT</v>
          </cell>
        </row>
        <row r="463">
          <cell r="AC463" t="str">
            <v>604186-002</v>
          </cell>
          <cell r="AD463" t="str">
            <v>A MAX DELUXE (MS)</v>
          </cell>
          <cell r="AE463" t="str">
            <v>01-03-00</v>
          </cell>
        </row>
        <row r="464">
          <cell r="AC464" t="str">
            <v>604186-461</v>
          </cell>
          <cell r="AD464" t="str">
            <v>A MAX DELUXE (MS)</v>
          </cell>
          <cell r="AE464" t="str">
            <v>01-03-00</v>
          </cell>
        </row>
        <row r="465">
          <cell r="AC465" t="str">
            <v>605156-001</v>
          </cell>
          <cell r="AD465" t="str">
            <v>A MX 95 (WS)</v>
          </cell>
          <cell r="AE465" t="str">
            <v>01-03-00</v>
          </cell>
          <cell r="AF465" t="str">
            <v>NEU GREY / STOM GRY-ANTARCT-WHT</v>
          </cell>
        </row>
        <row r="466">
          <cell r="AC466" t="str">
            <v>605158-401</v>
          </cell>
          <cell r="AD466" t="str">
            <v>A MAX DELUXE (WS)</v>
          </cell>
          <cell r="AE466" t="str">
            <v>01-03-00</v>
          </cell>
        </row>
        <row r="467">
          <cell r="AC467" t="str">
            <v>655032-101</v>
          </cell>
          <cell r="AD467" t="str">
            <v>A MX TWIND 4+ BG</v>
          </cell>
          <cell r="AE467" t="str">
            <v>01-03-00</v>
          </cell>
        </row>
        <row r="468">
          <cell r="AC468" t="str">
            <v>655073-481</v>
          </cell>
          <cell r="AD468" t="str">
            <v>A SIROCCO+ BG</v>
          </cell>
          <cell r="AE468" t="str">
            <v>01-03-00</v>
          </cell>
        </row>
        <row r="469">
          <cell r="AC469" t="str">
            <v>102122-441</v>
          </cell>
          <cell r="AD469" t="str">
            <v>A MANTRA (MS)</v>
          </cell>
          <cell r="AE469" t="str">
            <v>01-03-00</v>
          </cell>
        </row>
        <row r="470">
          <cell r="AC470" t="str">
            <v>102124-211</v>
          </cell>
          <cell r="AD470" t="str">
            <v>A TURBULENCE NB (MS)</v>
          </cell>
          <cell r="AE470" t="str">
            <v>01-03-00</v>
          </cell>
        </row>
        <row r="471">
          <cell r="AC471" t="str">
            <v>102124-401</v>
          </cell>
          <cell r="AD471" t="str">
            <v>A TURBULENCE NB (MS)</v>
          </cell>
          <cell r="AE471" t="str">
            <v>01-03-00</v>
          </cell>
        </row>
        <row r="472">
          <cell r="AC472" t="str">
            <v>103072-171</v>
          </cell>
          <cell r="AD472" t="str">
            <v>A ALIGN (WS)</v>
          </cell>
          <cell r="AE472" t="str">
            <v>01-03-00</v>
          </cell>
        </row>
        <row r="473">
          <cell r="AC473" t="str">
            <v>104158-103</v>
          </cell>
          <cell r="AD473" t="str">
            <v>A INTL TRX (MS)</v>
          </cell>
          <cell r="AE473" t="str">
            <v>01-03-00</v>
          </cell>
        </row>
        <row r="474">
          <cell r="AC474" t="str">
            <v>104181-101</v>
          </cell>
          <cell r="AD474" t="str">
            <v>A INTL TRX+ (MS)</v>
          </cell>
          <cell r="AE474" t="str">
            <v>01-03-00</v>
          </cell>
        </row>
        <row r="475">
          <cell r="AC475" t="str">
            <v>104181-461</v>
          </cell>
          <cell r="AD475" t="str">
            <v>A INTL TRX+ (MS)</v>
          </cell>
          <cell r="AE475" t="str">
            <v>01-03-00</v>
          </cell>
        </row>
        <row r="476">
          <cell r="AC476" t="str">
            <v>104183-142</v>
          </cell>
          <cell r="AD476" t="str">
            <v>A INTL TRX+ (MS)</v>
          </cell>
          <cell r="AE476" t="str">
            <v>01-03-00</v>
          </cell>
        </row>
        <row r="477">
          <cell r="AC477" t="str">
            <v>104190-171</v>
          </cell>
          <cell r="AD477" t="str">
            <v>A INTL TRX 2 (MS)</v>
          </cell>
          <cell r="AE477" t="str">
            <v>01-03-00</v>
          </cell>
        </row>
        <row r="478">
          <cell r="AC478" t="str">
            <v>104190-461</v>
          </cell>
          <cell r="AD478" t="str">
            <v>A INTL TRX 2 (MS)</v>
          </cell>
          <cell r="AE478" t="str">
            <v>01-03-00</v>
          </cell>
        </row>
        <row r="479">
          <cell r="AC479" t="str">
            <v>104191-011</v>
          </cell>
          <cell r="AD479" t="str">
            <v>A STORMY SKYLON (MS)</v>
          </cell>
          <cell r="AE479" t="str">
            <v>01-03-00</v>
          </cell>
        </row>
        <row r="480">
          <cell r="AC480" t="str">
            <v>104192-041</v>
          </cell>
          <cell r="AD480" t="str">
            <v>A INTL TRX 2 (MS)</v>
          </cell>
          <cell r="AE480" t="str">
            <v>01-03-00</v>
          </cell>
        </row>
        <row r="481">
          <cell r="AC481" t="str">
            <v>104192-461</v>
          </cell>
          <cell r="AD481" t="str">
            <v>A INTL TRX 2 (MS)</v>
          </cell>
          <cell r="AE481" t="str">
            <v>01-03-00</v>
          </cell>
        </row>
        <row r="482">
          <cell r="AC482" t="str">
            <v>105170-171</v>
          </cell>
          <cell r="AD482" t="str">
            <v>A CONVERGE TRX+ (WS)</v>
          </cell>
          <cell r="AE482" t="str">
            <v>01-03-00</v>
          </cell>
        </row>
        <row r="483">
          <cell r="AC483" t="str">
            <v>105175-431</v>
          </cell>
          <cell r="AD483" t="str">
            <v>A CONVERGE TRX+ (WS)</v>
          </cell>
          <cell r="AE483" t="str">
            <v>01-03-00</v>
          </cell>
        </row>
        <row r="484">
          <cell r="AC484" t="str">
            <v>604109-001</v>
          </cell>
          <cell r="AD484" t="str">
            <v>A MX 95 LEA (MS)</v>
          </cell>
          <cell r="AE484" t="str">
            <v>01-03-00</v>
          </cell>
        </row>
        <row r="485">
          <cell r="AC485" t="str">
            <v>605056-101</v>
          </cell>
          <cell r="AD485" t="str">
            <v>A MX TWIND 2 (WS)</v>
          </cell>
          <cell r="AE485" t="str">
            <v>01-03-00</v>
          </cell>
        </row>
        <row r="486">
          <cell r="AC486" t="str">
            <v>104095-041</v>
          </cell>
          <cell r="AD486" t="str">
            <v>A MX TWIND 2 (MS)</v>
          </cell>
          <cell r="AE486" t="str">
            <v>01-03-99</v>
          </cell>
        </row>
        <row r="487">
          <cell r="AC487" t="str">
            <v>104136-443</v>
          </cell>
          <cell r="AD487" t="str">
            <v>A MX TRX PLUS (MS)</v>
          </cell>
          <cell r="AE487" t="str">
            <v>01-03-99</v>
          </cell>
        </row>
        <row r="488">
          <cell r="AC488" t="str">
            <v>104143-441</v>
          </cell>
          <cell r="AD488" t="str">
            <v>A MX TWIND 2 NB (MS)</v>
          </cell>
          <cell r="AE488" t="str">
            <v>01-03-99</v>
          </cell>
        </row>
        <row r="489">
          <cell r="AC489" t="str">
            <v>104156-103</v>
          </cell>
          <cell r="AD489" t="str">
            <v>A INTL TRX (MS)</v>
          </cell>
          <cell r="AE489" t="str">
            <v>01-03-99</v>
          </cell>
        </row>
        <row r="490">
          <cell r="AC490" t="str">
            <v>104156-161</v>
          </cell>
          <cell r="AD490" t="str">
            <v>A INTL TRX (MS)</v>
          </cell>
          <cell r="AE490" t="str">
            <v>01-03-99</v>
          </cell>
        </row>
        <row r="491">
          <cell r="AC491" t="str">
            <v>104158-110</v>
          </cell>
          <cell r="AD491" t="str">
            <v>A INTL TRX (MS)</v>
          </cell>
          <cell r="AE491" t="str">
            <v>01-03-99</v>
          </cell>
        </row>
        <row r="492">
          <cell r="AC492" t="str">
            <v>105131-141</v>
          </cell>
          <cell r="AD492" t="str">
            <v>A MX TRX PLUS (WS)</v>
          </cell>
          <cell r="AE492" t="str">
            <v>01-03-99</v>
          </cell>
        </row>
        <row r="493">
          <cell r="AC493" t="str">
            <v>105131-441</v>
          </cell>
          <cell r="AD493" t="str">
            <v>A MX TRX PLUS (WS)</v>
          </cell>
          <cell r="AE493" t="str">
            <v>01-03-99</v>
          </cell>
        </row>
        <row r="494">
          <cell r="AC494" t="str">
            <v>173116-471</v>
          </cell>
          <cell r="AD494" t="str">
            <v>A METAL MAX (MS)</v>
          </cell>
          <cell r="AE494" t="str">
            <v>01-03-99</v>
          </cell>
        </row>
        <row r="495">
          <cell r="AC495" t="str">
            <v>605068-001</v>
          </cell>
          <cell r="AD495" t="str">
            <v>A MX TRX 4 (WS)</v>
          </cell>
          <cell r="AE495" t="str">
            <v>01-03-99</v>
          </cell>
        </row>
        <row r="496">
          <cell r="AC496" t="str">
            <v>605081-113</v>
          </cell>
          <cell r="AD496" t="str">
            <v>A MX TRX 4 LEA (WS)</v>
          </cell>
          <cell r="AE496" t="str">
            <v>01-03-99</v>
          </cell>
        </row>
        <row r="497">
          <cell r="AC497" t="str">
            <v>673239-061</v>
          </cell>
          <cell r="AD497" t="str">
            <v>A METAL MAX 2 (MS)</v>
          </cell>
          <cell r="AE497" t="str">
            <v>01-03-99</v>
          </cell>
        </row>
        <row r="498">
          <cell r="AC498" t="str">
            <v>673240-001</v>
          </cell>
          <cell r="AD498" t="str">
            <v>A BUTANE MAX NB (MS)</v>
          </cell>
          <cell r="AE498" t="str">
            <v>01-03-99</v>
          </cell>
        </row>
        <row r="499">
          <cell r="AC499" t="str">
            <v>854023-101</v>
          </cell>
          <cell r="AD499" t="str">
            <v>A TOTAL MAX GG</v>
          </cell>
          <cell r="AE499" t="str">
            <v>01-03-99</v>
          </cell>
        </row>
        <row r="500">
          <cell r="AC500" t="str">
            <v>604191-161</v>
          </cell>
          <cell r="AD500" t="str">
            <v>A INTL MAX (MS)</v>
          </cell>
          <cell r="AE500" t="str">
            <v>02-04-00</v>
          </cell>
          <cell r="AF500" t="str">
            <v>WHT / INDIAN RED-DARK CHARCOAL</v>
          </cell>
        </row>
        <row r="501">
          <cell r="AC501" t="str">
            <v>604191-061</v>
          </cell>
          <cell r="AD501" t="str">
            <v>A INTL MAX (MS)</v>
          </cell>
          <cell r="AE501" t="str">
            <v>01-07-09</v>
          </cell>
          <cell r="AF501" t="str">
            <v>METZINC/FIRE-BLACK-WHITE</v>
          </cell>
        </row>
        <row r="502">
          <cell r="AC502" t="str">
            <v>102124-011</v>
          </cell>
          <cell r="AD502" t="str">
            <v>A TURBULENCE NB (MS)</v>
          </cell>
          <cell r="AE502" t="str">
            <v>02-04-00</v>
          </cell>
        </row>
        <row r="503">
          <cell r="AC503" t="str">
            <v>104210-101</v>
          </cell>
          <cell r="AD503" t="str">
            <v>A INTL TRX 2 (MS)</v>
          </cell>
          <cell r="AE503" t="str">
            <v>02-04-00</v>
          </cell>
        </row>
        <row r="504">
          <cell r="AC504" t="str">
            <v>104221-401</v>
          </cell>
          <cell r="AD504" t="str">
            <v>A MX TWIND 5 (MS)</v>
          </cell>
          <cell r="AE504" t="str">
            <v>02-04-00</v>
          </cell>
          <cell r="AF504" t="str">
            <v>MID NAVY / MT SVL-ZN GRY-MX ORNG</v>
          </cell>
        </row>
        <row r="505">
          <cell r="AC505" t="str">
            <v>104223-401</v>
          </cell>
          <cell r="AD505" t="str">
            <v>A MAX ECSTSY (MS)</v>
          </cell>
          <cell r="AE505" t="str">
            <v>06-08-00</v>
          </cell>
          <cell r="AF505" t="str">
            <v>OBSIDIAN / MET SLVR-COOL GRY</v>
          </cell>
        </row>
        <row r="506">
          <cell r="AC506" t="str">
            <v>104233-001</v>
          </cell>
          <cell r="AD506" t="str">
            <v>A INTL MAX (MS)</v>
          </cell>
          <cell r="AE506" t="str">
            <v>02-04-00</v>
          </cell>
          <cell r="AF506" t="str">
            <v>NTRL GRY / MET SLV-BLK-HP ORANGE</v>
          </cell>
        </row>
        <row r="507">
          <cell r="AC507" t="str">
            <v>104233-102</v>
          </cell>
          <cell r="AD507" t="str">
            <v>A INTL MAX (MS)</v>
          </cell>
          <cell r="AE507" t="str">
            <v>02-04-00</v>
          </cell>
        </row>
        <row r="508">
          <cell r="AC508" t="str">
            <v>104240-173</v>
          </cell>
          <cell r="AD508" t="str">
            <v>A INTL MAX (MS)</v>
          </cell>
          <cell r="AE508" t="str">
            <v>02-04-00</v>
          </cell>
          <cell r="AF508" t="str">
            <v>WHT / VIBRANT YELLOW-FRENCH BLU</v>
          </cell>
        </row>
        <row r="509">
          <cell r="AC509" t="str">
            <v>862026-001</v>
          </cell>
          <cell r="AD509" t="str">
            <v>KID INTL MAX BG</v>
          </cell>
          <cell r="AE509" t="str">
            <v>02-04-00</v>
          </cell>
        </row>
        <row r="510">
          <cell r="AC510" t="str">
            <v>104227-101</v>
          </cell>
          <cell r="AD510" t="str">
            <v>A MX TWIND 4 LEA (MS)</v>
          </cell>
          <cell r="AE510" t="str">
            <v>02-04-00</v>
          </cell>
        </row>
        <row r="511">
          <cell r="AC511" t="str">
            <v>104233-401</v>
          </cell>
          <cell r="AD511" t="str">
            <v>A INTL MAX (MS)</v>
          </cell>
          <cell r="AE511" t="str">
            <v>02-04-00</v>
          </cell>
          <cell r="AF511" t="str">
            <v>MDM DENIM / MET SLV-BLK-HP ORNG</v>
          </cell>
        </row>
        <row r="512">
          <cell r="AC512" t="str">
            <v>604185-041</v>
          </cell>
          <cell r="AD512" t="str">
            <v>A MX 95 (MS)</v>
          </cell>
          <cell r="AE512" t="str">
            <v>02-04-00</v>
          </cell>
        </row>
        <row r="513">
          <cell r="AC513" t="str">
            <v>604186-001</v>
          </cell>
          <cell r="AD513" t="str">
            <v>A MAX DELUXE (MS)</v>
          </cell>
          <cell r="AE513" t="str">
            <v>02-04-00</v>
          </cell>
        </row>
        <row r="514">
          <cell r="AC514" t="str">
            <v>604186-061</v>
          </cell>
          <cell r="AD514" t="str">
            <v>A MAX DELUXE (MS)</v>
          </cell>
          <cell r="AE514" t="str">
            <v>02-04-00</v>
          </cell>
        </row>
        <row r="515">
          <cell r="AC515" t="str">
            <v>604186-062</v>
          </cell>
          <cell r="AD515" t="str">
            <v>A MAX DELUXE (MS)</v>
          </cell>
          <cell r="AE515" t="str">
            <v>01-09-11</v>
          </cell>
          <cell r="AF515" t="str">
            <v>MET SILVER/TEAM RED-ANTHRACITE</v>
          </cell>
        </row>
        <row r="516">
          <cell r="AC516" t="str">
            <v>605097-411</v>
          </cell>
          <cell r="AD516" t="str">
            <v>A MX 95 (WS)</v>
          </cell>
          <cell r="AE516" t="str">
            <v>01-01-03</v>
          </cell>
          <cell r="AF516" t="str">
            <v>OBSIDIAN / OBSIDIAN-WHITE</v>
          </cell>
        </row>
        <row r="517">
          <cell r="AC517" t="str">
            <v>655034-062</v>
          </cell>
          <cell r="AD517" t="str">
            <v>A MX TWIND 4 BG</v>
          </cell>
          <cell r="AE517" t="str">
            <v>02-04-00</v>
          </cell>
        </row>
        <row r="518">
          <cell r="AC518" t="str">
            <v>604140-102</v>
          </cell>
          <cell r="AD518" t="str">
            <v>A MX TWIND 4 (MS)</v>
          </cell>
          <cell r="AE518" t="str">
            <v>02-04-00</v>
          </cell>
        </row>
        <row r="519">
          <cell r="AC519" t="str">
            <v>604175-481</v>
          </cell>
          <cell r="AD519" t="str">
            <v>A TUNED SIROCCO+ (MS)</v>
          </cell>
          <cell r="AE519" t="str">
            <v>02-04-00</v>
          </cell>
        </row>
        <row r="520">
          <cell r="AC520" t="str">
            <v>103075-432</v>
          </cell>
          <cell r="AD520" t="str">
            <v>A ALIGN (WS)</v>
          </cell>
          <cell r="AE520" t="str">
            <v>02-04-00</v>
          </cell>
        </row>
        <row r="521">
          <cell r="AC521" t="str">
            <v>103096-011</v>
          </cell>
          <cell r="AD521" t="str">
            <v>A MANTRA (WS)</v>
          </cell>
          <cell r="AE521" t="str">
            <v>02-04-00</v>
          </cell>
        </row>
        <row r="522">
          <cell r="AC522" t="str">
            <v>104166-001</v>
          </cell>
          <cell r="AD522" t="str">
            <v>A MX TWIND 4 (MS)</v>
          </cell>
          <cell r="AE522" t="str">
            <v>02-04-00</v>
          </cell>
        </row>
        <row r="523">
          <cell r="AC523" t="str">
            <v>104181-171</v>
          </cell>
          <cell r="AD523" t="str">
            <v>A INTL TRX+ (MS)</v>
          </cell>
          <cell r="AE523" t="str">
            <v>02-04-00</v>
          </cell>
        </row>
        <row r="524">
          <cell r="AC524" t="str">
            <v>104182-221</v>
          </cell>
          <cell r="AD524" t="str">
            <v>A INTL TRX 2 NB (MS)</v>
          </cell>
          <cell r="AE524" t="str">
            <v>02-04-00</v>
          </cell>
        </row>
        <row r="525">
          <cell r="AC525" t="str">
            <v>104189-461</v>
          </cell>
          <cell r="AD525" t="str">
            <v>A TUNED MAX (MS)</v>
          </cell>
          <cell r="AE525" t="str">
            <v>02-04-00</v>
          </cell>
        </row>
        <row r="526">
          <cell r="AC526" t="str">
            <v>104190-161</v>
          </cell>
          <cell r="AD526" t="str">
            <v>A INTL TRX 2 (MS)</v>
          </cell>
          <cell r="AE526" t="str">
            <v>02-04-00</v>
          </cell>
        </row>
        <row r="527">
          <cell r="AC527" t="str">
            <v>604112-181</v>
          </cell>
          <cell r="AD527" t="str">
            <v>A MX TRX PLUS (MS)</v>
          </cell>
          <cell r="AE527" t="str">
            <v>02-04-00</v>
          </cell>
        </row>
        <row r="528">
          <cell r="AC528" t="str">
            <v>103075-172</v>
          </cell>
          <cell r="AD528" t="str">
            <v>A ALIGN (WS)</v>
          </cell>
          <cell r="AE528" t="str">
            <v>02-04-99</v>
          </cell>
        </row>
        <row r="529">
          <cell r="AC529" t="str">
            <v>104136-131</v>
          </cell>
          <cell r="AD529" t="str">
            <v>A MX TRX PLUS (MS)</v>
          </cell>
          <cell r="AE529" t="str">
            <v>02-04-99</v>
          </cell>
        </row>
        <row r="530">
          <cell r="AC530" t="str">
            <v>104136-171</v>
          </cell>
          <cell r="AD530" t="str">
            <v>A MX TRX PLUS (MS)</v>
          </cell>
          <cell r="AE530" t="str">
            <v>02-04-99</v>
          </cell>
        </row>
        <row r="531">
          <cell r="AC531" t="str">
            <v>104143-011</v>
          </cell>
          <cell r="AD531" t="str">
            <v>A MX TWIND 2 NB (MS)</v>
          </cell>
          <cell r="AE531" t="str">
            <v>02-04-99</v>
          </cell>
        </row>
        <row r="532">
          <cell r="AC532" t="str">
            <v>104156-001</v>
          </cell>
          <cell r="AD532" t="str">
            <v>A INTL TRX (MS)</v>
          </cell>
          <cell r="AE532" t="str">
            <v>02-04-99</v>
          </cell>
        </row>
        <row r="533">
          <cell r="AC533" t="str">
            <v>104156-481</v>
          </cell>
          <cell r="AD533" t="str">
            <v>A INTL TRX (MS)</v>
          </cell>
          <cell r="AE533" t="str">
            <v>02-04-99</v>
          </cell>
        </row>
        <row r="534">
          <cell r="AC534" t="str">
            <v>104158-102</v>
          </cell>
          <cell r="AD534" t="str">
            <v>A INTL TRX (MS)</v>
          </cell>
          <cell r="AE534" t="str">
            <v>02-04-99</v>
          </cell>
        </row>
        <row r="535">
          <cell r="AC535" t="str">
            <v>104158-481</v>
          </cell>
          <cell r="AD535" t="str">
            <v>A INTL TRX (MS)</v>
          </cell>
          <cell r="AE535" t="str">
            <v>02-04-99</v>
          </cell>
        </row>
        <row r="536">
          <cell r="AC536" t="str">
            <v>104161-001</v>
          </cell>
          <cell r="AD536" t="str">
            <v>A MX TRX 4 PLUS NB (MS)</v>
          </cell>
          <cell r="AE536" t="str">
            <v>02-04-99</v>
          </cell>
        </row>
        <row r="537">
          <cell r="AC537" t="str">
            <v>104161-102</v>
          </cell>
          <cell r="AD537" t="str">
            <v>A MX TRX 4 PLUS NB (MS)</v>
          </cell>
          <cell r="AE537" t="str">
            <v>02-04-99</v>
          </cell>
        </row>
        <row r="538">
          <cell r="AC538" t="str">
            <v>104166-141</v>
          </cell>
          <cell r="AD538" t="str">
            <v>A MX TWIND 4 (MS)</v>
          </cell>
          <cell r="AE538" t="str">
            <v>02-04-99</v>
          </cell>
        </row>
        <row r="539">
          <cell r="AC539" t="str">
            <v>105126-415</v>
          </cell>
          <cell r="AD539" t="str">
            <v>A MX TRX PLUS (WS)</v>
          </cell>
          <cell r="AE539" t="str">
            <v>02-04-99</v>
          </cell>
        </row>
        <row r="540">
          <cell r="AC540" t="str">
            <v>105131-161</v>
          </cell>
          <cell r="AD540" t="str">
            <v>A MX TRX PLUS (WS)</v>
          </cell>
          <cell r="AE540" t="str">
            <v>02-04-99</v>
          </cell>
        </row>
        <row r="541">
          <cell r="AC541" t="str">
            <v>105131-414</v>
          </cell>
          <cell r="AD541" t="str">
            <v>A MX TRX PLUS (WS)</v>
          </cell>
          <cell r="AE541" t="str">
            <v>02-04-99</v>
          </cell>
        </row>
        <row r="542">
          <cell r="AC542" t="str">
            <v>105136-271</v>
          </cell>
          <cell r="AD542" t="str">
            <v>A MX TRX NB (WS)</v>
          </cell>
          <cell r="AE542" t="str">
            <v>02-04-99</v>
          </cell>
        </row>
        <row r="543">
          <cell r="AC543" t="str">
            <v>105147-181</v>
          </cell>
          <cell r="AD543" t="str">
            <v>A CONVERGE TRX (WS)</v>
          </cell>
          <cell r="AE543" t="str">
            <v>02-04-99</v>
          </cell>
        </row>
        <row r="544">
          <cell r="AC544" t="str">
            <v>105147-472</v>
          </cell>
          <cell r="AD544" t="str">
            <v>A CONVERGE TRX (WS)</v>
          </cell>
          <cell r="AE544" t="str">
            <v>02-04-99</v>
          </cell>
        </row>
        <row r="545">
          <cell r="AC545" t="str">
            <v>105149-161</v>
          </cell>
          <cell r="AD545" t="str">
            <v>A CONVERGE TRX (WS)</v>
          </cell>
          <cell r="AE545" t="str">
            <v>02-04-99</v>
          </cell>
        </row>
        <row r="546">
          <cell r="AC546" t="str">
            <v>105149-441</v>
          </cell>
          <cell r="AD546" t="str">
            <v>A CONVERGE TRX (WS)</v>
          </cell>
          <cell r="AE546" t="str">
            <v>02-04-99</v>
          </cell>
        </row>
        <row r="547">
          <cell r="AC547" t="str">
            <v>105149-471</v>
          </cell>
          <cell r="AD547" t="str">
            <v>A CONVERGE TRX (WS)</v>
          </cell>
          <cell r="AE547" t="str">
            <v>02-04-99</v>
          </cell>
        </row>
        <row r="548">
          <cell r="AC548" t="str">
            <v>105166-131</v>
          </cell>
          <cell r="AD548" t="str">
            <v>A SKYLON TRX 4 (WS)</v>
          </cell>
          <cell r="AE548" t="str">
            <v>02-04-99</v>
          </cell>
          <cell r="AF548" t="str">
            <v>WHT / ENML GRN-MTR GREY-PBLE GRY</v>
          </cell>
        </row>
        <row r="549">
          <cell r="AC549" t="str">
            <v>105166-161</v>
          </cell>
          <cell r="AD549" t="str">
            <v>A SKYLON TRX 4 (WS)</v>
          </cell>
          <cell r="AE549" t="str">
            <v>02-04-99</v>
          </cell>
        </row>
        <row r="550">
          <cell r="AC550" t="str">
            <v>605067-141</v>
          </cell>
          <cell r="AD550" t="str">
            <v>A COOL 3 (WS)</v>
          </cell>
          <cell r="AE550" t="str">
            <v>02-04-99</v>
          </cell>
        </row>
        <row r="551">
          <cell r="AC551" t="str">
            <v>605110-141</v>
          </cell>
          <cell r="AD551" t="str">
            <v>A CONVERGE TRX (WS)</v>
          </cell>
          <cell r="AE551" t="str">
            <v>02-04-99</v>
          </cell>
        </row>
        <row r="552">
          <cell r="AC552" t="str">
            <v>605128-101</v>
          </cell>
          <cell r="AD552" t="str">
            <v>A SKYLON TRX (WS)</v>
          </cell>
          <cell r="AE552" t="str">
            <v>02-04-99</v>
          </cell>
        </row>
        <row r="553">
          <cell r="AC553" t="str">
            <v>674167-141</v>
          </cell>
          <cell r="AD553" t="str">
            <v>A METAL MAX (WS)</v>
          </cell>
          <cell r="AE553" t="str">
            <v>02-04-99</v>
          </cell>
        </row>
        <row r="554">
          <cell r="AC554" t="str">
            <v>674183-161</v>
          </cell>
          <cell r="AD554" t="str">
            <v>A BUTANE MAX (WS)</v>
          </cell>
          <cell r="AE554" t="str">
            <v>02-04-99</v>
          </cell>
        </row>
        <row r="555">
          <cell r="AC555" t="str">
            <v>604190-062</v>
          </cell>
          <cell r="AD555" t="str">
            <v>A MX TWIND 5 (MS)</v>
          </cell>
          <cell r="AE555" t="str">
            <v>01-06-08</v>
          </cell>
          <cell r="AF555" t="str">
            <v>BLACK/COMET RED-MET ZINC</v>
          </cell>
        </row>
        <row r="556">
          <cell r="AC556" t="str">
            <v>604190-063</v>
          </cell>
          <cell r="AD556" t="str">
            <v>A MX TWIND 5 (MS)</v>
          </cell>
          <cell r="AE556" t="str">
            <v>01-09-11</v>
          </cell>
          <cell r="AF556" t="str">
            <v>BLACK/TEAM RED-MET SILVER</v>
          </cell>
        </row>
        <row r="557">
          <cell r="AC557" t="str">
            <v>604190-101</v>
          </cell>
          <cell r="AD557" t="str">
            <v>A MX TWIND 5 (MS)</v>
          </cell>
          <cell r="AE557" t="str">
            <v>03-05-00</v>
          </cell>
        </row>
        <row r="558">
          <cell r="AC558" t="str">
            <v>604190-401</v>
          </cell>
          <cell r="AD558" t="str">
            <v>A MX TWIND 5 (MS)</v>
          </cell>
          <cell r="AE558" t="str">
            <v>03-05-00</v>
          </cell>
        </row>
        <row r="559">
          <cell r="AC559" t="str">
            <v>604190-403</v>
          </cell>
          <cell r="AD559" t="str">
            <v>A MX TWIND 5 (MS)</v>
          </cell>
          <cell r="AE559" t="str">
            <v>01-09-11</v>
          </cell>
          <cell r="AF559" t="str">
            <v>OBSIDIAN/MET SILVER-DANDELLION</v>
          </cell>
        </row>
        <row r="560">
          <cell r="AC560" t="str">
            <v>604190-071</v>
          </cell>
          <cell r="AD560" t="str">
            <v>A MX TWIND 5 (MS)</v>
          </cell>
          <cell r="AE560" t="str">
            <v>01-07-09</v>
          </cell>
          <cell r="AF560" t="str">
            <v>BLK/NEON YELLOW-MET SILVER</v>
          </cell>
        </row>
        <row r="561">
          <cell r="AC561" t="str">
            <v>604191-101</v>
          </cell>
          <cell r="AD561" t="str">
            <v>A INTL MAX (MS)</v>
          </cell>
          <cell r="AE561" t="str">
            <v>03-05-00</v>
          </cell>
        </row>
        <row r="562">
          <cell r="AC562" t="str">
            <v>605070-181</v>
          </cell>
          <cell r="AD562" t="str">
            <v>A MX 95 LEA (WS)</v>
          </cell>
          <cell r="AE562" t="str">
            <v>03-05-00</v>
          </cell>
        </row>
        <row r="563">
          <cell r="AC563" t="str">
            <v>605166-481</v>
          </cell>
          <cell r="AD563" t="str">
            <v>A MX TWIND 5 (WS)</v>
          </cell>
          <cell r="AE563" t="str">
            <v>03-05-00</v>
          </cell>
          <cell r="AF563" t="str">
            <v>MEDIUM DENIM / LIGHTMELON-WHT</v>
          </cell>
        </row>
        <row r="564">
          <cell r="AC564" t="str">
            <v>655032-031</v>
          </cell>
          <cell r="AD564" t="str">
            <v>A MX TWIND 4+ BG</v>
          </cell>
          <cell r="AE564" t="str">
            <v>03-05-00</v>
          </cell>
        </row>
        <row r="565">
          <cell r="AC565" t="str">
            <v>655075-041</v>
          </cell>
          <cell r="AD565" t="str">
            <v>A MX TWIND 4+ BG</v>
          </cell>
          <cell r="AE565" t="str">
            <v>03-05-00</v>
          </cell>
          <cell r="AF565" t="str">
            <v>M SILVER / COLUMBIA BLU-BLK</v>
          </cell>
        </row>
        <row r="566">
          <cell r="AC566" t="str">
            <v>105166-011</v>
          </cell>
          <cell r="AD566" t="str">
            <v>A SKYLON TRX 4 (WS)</v>
          </cell>
          <cell r="AE566" t="str">
            <v>07-09-00</v>
          </cell>
          <cell r="AF566" t="str">
            <v>NTRL GRY / WHT-FRENCH BLU-CMT RED</v>
          </cell>
        </row>
        <row r="567">
          <cell r="AC567" t="str">
            <v>105223-041</v>
          </cell>
          <cell r="AD567" t="str">
            <v>A MX TWIND 5 (WS)</v>
          </cell>
          <cell r="AE567" t="str">
            <v>06-08-00</v>
          </cell>
          <cell r="AF567" t="str">
            <v>BLACK / ALASKA BL-WHT-LAB GRN</v>
          </cell>
        </row>
        <row r="568">
          <cell r="AC568" t="str">
            <v>105223-931</v>
          </cell>
          <cell r="AD568" t="str">
            <v>A MX TWIND 5 (WS)</v>
          </cell>
          <cell r="AE568" t="str">
            <v>01-09-11</v>
          </cell>
          <cell r="AF568" t="str">
            <v>SPIN/SEAWEED-BLACK</v>
          </cell>
        </row>
        <row r="569">
          <cell r="AC569" t="str">
            <v>105223-131</v>
          </cell>
          <cell r="AD569" t="str">
            <v>A MX TWIND 5 (WS)</v>
          </cell>
          <cell r="AE569" t="str">
            <v>03-05-00</v>
          </cell>
          <cell r="AF569" t="str">
            <v>WHT / LAB GRN-OBSIDIAN BOTANICA</v>
          </cell>
        </row>
        <row r="570">
          <cell r="AC570" t="str">
            <v>855060-401</v>
          </cell>
          <cell r="AD570" t="str">
            <v>A INTL MAX BG</v>
          </cell>
          <cell r="AE570" t="str">
            <v>03-05-00</v>
          </cell>
        </row>
        <row r="571">
          <cell r="AC571" t="str">
            <v>855067-461</v>
          </cell>
          <cell r="AD571" t="str">
            <v>A INTL MX OLIMPIC BG</v>
          </cell>
          <cell r="AE571" t="str">
            <v>03-05-00</v>
          </cell>
        </row>
        <row r="572">
          <cell r="AC572" t="str">
            <v>862026-401</v>
          </cell>
          <cell r="AD572" t="str">
            <v>KID INTL MAX BG</v>
          </cell>
          <cell r="AE572" t="str">
            <v>03-05-00</v>
          </cell>
        </row>
        <row r="573">
          <cell r="AC573" t="str">
            <v>862026-461</v>
          </cell>
          <cell r="AD573" t="str">
            <v>KID INTL MAX BG</v>
          </cell>
          <cell r="AE573" t="str">
            <v>03-05-00</v>
          </cell>
        </row>
        <row r="574">
          <cell r="AC574" t="str">
            <v>862031-461</v>
          </cell>
          <cell r="AD574" t="str">
            <v>A INTL MX OLIMPIC BG</v>
          </cell>
          <cell r="AE574" t="str">
            <v>03-05-00</v>
          </cell>
        </row>
        <row r="575">
          <cell r="AC575" t="str">
            <v>102124-321</v>
          </cell>
          <cell r="AD575" t="str">
            <v>A TURBULENCE NB (MS)</v>
          </cell>
          <cell r="AE575" t="str">
            <v>03-05-00</v>
          </cell>
        </row>
        <row r="576">
          <cell r="AC576" t="str">
            <v>104220-001</v>
          </cell>
          <cell r="AD576" t="str">
            <v>A MAX DELUXE (MS)</v>
          </cell>
          <cell r="AE576" t="str">
            <v>03-05-00</v>
          </cell>
          <cell r="AF576" t="str">
            <v>NTRL GRY / MET SLV-FT GRY-GRSHPR</v>
          </cell>
        </row>
        <row r="577">
          <cell r="AC577" t="str">
            <v>104224-011</v>
          </cell>
          <cell r="AD577" t="str">
            <v>A MX TRX (MS)</v>
          </cell>
          <cell r="AE577" t="str">
            <v>06-08-00</v>
          </cell>
          <cell r="AF577" t="str">
            <v>MEDIUM GREY / OFF WHT-WHT</v>
          </cell>
        </row>
        <row r="578">
          <cell r="AC578" t="str">
            <v>604170-161</v>
          </cell>
          <cell r="AD578" t="str">
            <v>A INTL TRX 2 (MS)</v>
          </cell>
          <cell r="AE578" t="str">
            <v>03-05-00</v>
          </cell>
        </row>
        <row r="579">
          <cell r="AC579" t="str">
            <v>605158-041</v>
          </cell>
          <cell r="AD579" t="str">
            <v>A MAX DELUXE (WS)</v>
          </cell>
          <cell r="AE579" t="str">
            <v>03-05-00</v>
          </cell>
        </row>
        <row r="580">
          <cell r="AC580" t="str">
            <v>655075-002</v>
          </cell>
          <cell r="AD580" t="str">
            <v>A MX TWIND 4+ BG</v>
          </cell>
          <cell r="AE580" t="str">
            <v>03-05-00</v>
          </cell>
        </row>
        <row r="581">
          <cell r="AC581" t="str">
            <v>102131-102</v>
          </cell>
          <cell r="AD581" t="str">
            <v>A TURBULENCE LEA (MS)</v>
          </cell>
          <cell r="AE581" t="str">
            <v>03-05-00</v>
          </cell>
        </row>
        <row r="582">
          <cell r="AC582" t="str">
            <v>102122-171</v>
          </cell>
          <cell r="AD582" t="str">
            <v>A MANTRA (MS)</v>
          </cell>
          <cell r="AE582" t="str">
            <v>03-05-99</v>
          </cell>
        </row>
        <row r="583">
          <cell r="AC583" t="str">
            <v>103075-171</v>
          </cell>
          <cell r="AD583" t="str">
            <v>A ALIGN (WS)</v>
          </cell>
          <cell r="AE583" t="str">
            <v>03-05-99</v>
          </cell>
        </row>
        <row r="584">
          <cell r="AC584" t="str">
            <v>104136-431</v>
          </cell>
          <cell r="AD584" t="str">
            <v>A MX TRX PLUS (MS)</v>
          </cell>
          <cell r="AE584" t="str">
            <v>03-05-99</v>
          </cell>
        </row>
        <row r="585">
          <cell r="AC585" t="str">
            <v>104143-041</v>
          </cell>
          <cell r="AD585" t="str">
            <v>A MX TWIND 2 NB (MS)</v>
          </cell>
          <cell r="AE585" t="str">
            <v>03-05-99</v>
          </cell>
        </row>
        <row r="586">
          <cell r="AC586" t="str">
            <v>104156-071</v>
          </cell>
          <cell r="AD586" t="str">
            <v>A INTL TRX (MS)</v>
          </cell>
          <cell r="AE586" t="str">
            <v>03-05-99</v>
          </cell>
        </row>
        <row r="587">
          <cell r="AC587" t="str">
            <v>104156-101</v>
          </cell>
          <cell r="AD587" t="str">
            <v>A INTL TRX (MS)</v>
          </cell>
          <cell r="AE587" t="str">
            <v>03-05-99</v>
          </cell>
        </row>
        <row r="588">
          <cell r="AC588" t="str">
            <v>104166-061</v>
          </cell>
          <cell r="AD588" t="str">
            <v>A MX TWIND 4 (MS)</v>
          </cell>
          <cell r="AE588" t="str">
            <v>03-05-99</v>
          </cell>
        </row>
        <row r="589">
          <cell r="AC589" t="str">
            <v>104193-171</v>
          </cell>
          <cell r="AD589" t="str">
            <v>A TUNED SIROCCO+ (MS)</v>
          </cell>
          <cell r="AE589" t="str">
            <v>03-05-99</v>
          </cell>
        </row>
        <row r="590">
          <cell r="AC590" t="str">
            <v>105157-121</v>
          </cell>
          <cell r="AD590" t="str">
            <v>A MX TRX 4 PLUS NB (WS)</v>
          </cell>
          <cell r="AE590" t="str">
            <v>03-05-99</v>
          </cell>
        </row>
        <row r="591">
          <cell r="AC591" t="str">
            <v>105158-141</v>
          </cell>
          <cell r="AD591" t="str">
            <v>A MX TWIND 4 (WS)</v>
          </cell>
          <cell r="AE591" t="str">
            <v>03-05-99</v>
          </cell>
        </row>
        <row r="592">
          <cell r="AC592" t="str">
            <v>105169-131</v>
          </cell>
          <cell r="AD592" t="str">
            <v>A TUNED SOVEREIGN (WS)</v>
          </cell>
          <cell r="AE592" t="str">
            <v>03-05-99</v>
          </cell>
        </row>
        <row r="593">
          <cell r="AC593" t="str">
            <v>105175-141</v>
          </cell>
          <cell r="AD593" t="str">
            <v>A CONVERGE TRX+ (WS)</v>
          </cell>
          <cell r="AE593" t="str">
            <v>03-05-99</v>
          </cell>
        </row>
        <row r="594">
          <cell r="AC594" t="str">
            <v>173116-071</v>
          </cell>
          <cell r="AD594" t="str">
            <v>A METAL MAX (MS)</v>
          </cell>
          <cell r="AE594" t="str">
            <v>03-05-99</v>
          </cell>
        </row>
        <row r="595">
          <cell r="AC595" t="str">
            <v>604107-111</v>
          </cell>
          <cell r="AD595" t="str">
            <v>A MX 97 (MS)</v>
          </cell>
          <cell r="AE595" t="str">
            <v>03-05-99</v>
          </cell>
        </row>
        <row r="596">
          <cell r="AC596" t="str">
            <v>102122-041</v>
          </cell>
          <cell r="AD596" t="str">
            <v>A MANTRA (MS)</v>
          </cell>
          <cell r="AE596" t="str">
            <v>04-06-99</v>
          </cell>
        </row>
        <row r="597">
          <cell r="AC597" t="str">
            <v>102122-141</v>
          </cell>
          <cell r="AD597" t="str">
            <v>A MANTRA (MS)</v>
          </cell>
          <cell r="AE597" t="str">
            <v>04-06-99</v>
          </cell>
          <cell r="AF597" t="str">
            <v>WHT / FRENCH BLU-ANTHRACITE</v>
          </cell>
        </row>
        <row r="598">
          <cell r="AC598" t="str">
            <v>103075-431</v>
          </cell>
          <cell r="AD598" t="str">
            <v>A ALIGN (WS)</v>
          </cell>
          <cell r="AE598" t="str">
            <v>04-06-99</v>
          </cell>
        </row>
        <row r="599">
          <cell r="AC599" t="str">
            <v>105158-131</v>
          </cell>
          <cell r="AD599" t="str">
            <v>A MX TWIND 4 (WS)</v>
          </cell>
          <cell r="AE599" t="str">
            <v>04-06-99</v>
          </cell>
        </row>
        <row r="600">
          <cell r="AC600" t="str">
            <v>105166-181</v>
          </cell>
          <cell r="AD600" t="str">
            <v>A SKYLON TRX 4 (WS)</v>
          </cell>
          <cell r="AE600" t="str">
            <v>04-06-99</v>
          </cell>
        </row>
        <row r="601">
          <cell r="AC601" t="str">
            <v>173116-171</v>
          </cell>
          <cell r="AD601" t="str">
            <v>A METAL MAX (MS)</v>
          </cell>
          <cell r="AE601" t="str">
            <v>04-06-99</v>
          </cell>
        </row>
        <row r="602">
          <cell r="AC602" t="str">
            <v>604087-441</v>
          </cell>
          <cell r="AD602" t="str">
            <v>A MX 95 LEA (MS)</v>
          </cell>
          <cell r="AE602" t="str">
            <v>04-06-99</v>
          </cell>
        </row>
        <row r="603">
          <cell r="AC603" t="str">
            <v>604120-421</v>
          </cell>
          <cell r="AD603" t="str">
            <v>A MX TWIND 2 LEA (MS)</v>
          </cell>
          <cell r="AE603" t="str">
            <v>04-06-99</v>
          </cell>
        </row>
        <row r="604">
          <cell r="AC604" t="str">
            <v>605056-461</v>
          </cell>
          <cell r="AD604" t="str">
            <v>A MX TWIND 2 (WS)</v>
          </cell>
          <cell r="AE604" t="str">
            <v>04-06-99</v>
          </cell>
        </row>
        <row r="605">
          <cell r="AC605" t="str">
            <v>605118-181</v>
          </cell>
          <cell r="AD605" t="str">
            <v>A MX TWIND 4 (WS)</v>
          </cell>
          <cell r="AE605" t="str">
            <v>04-06-99</v>
          </cell>
        </row>
        <row r="606">
          <cell r="AC606" t="str">
            <v>655034-003</v>
          </cell>
          <cell r="AD606" t="str">
            <v>A MX TWIND 4 BG</v>
          </cell>
          <cell r="AE606" t="str">
            <v>04-06-99</v>
          </cell>
        </row>
        <row r="607">
          <cell r="AC607" t="str">
            <v>604120-041</v>
          </cell>
          <cell r="AD607" t="str">
            <v>A MX TWIND 2 LEA (MS)</v>
          </cell>
          <cell r="AE607" t="str">
            <v>05-07-00</v>
          </cell>
        </row>
        <row r="608">
          <cell r="AC608" t="str">
            <v>102120-141</v>
          </cell>
          <cell r="AD608" t="str">
            <v>A MANTRA (MS)</v>
          </cell>
          <cell r="AE608" t="str">
            <v>05-07-99</v>
          </cell>
        </row>
        <row r="609">
          <cell r="AC609" t="str">
            <v>102122-081</v>
          </cell>
          <cell r="AD609" t="str">
            <v>A MANTRA (MS)</v>
          </cell>
          <cell r="AE609" t="str">
            <v>05-07-99</v>
          </cell>
        </row>
        <row r="610">
          <cell r="AC610" t="str">
            <v>104165-101</v>
          </cell>
          <cell r="AD610" t="str">
            <v>A MX TRX PLUS LEA (MS)</v>
          </cell>
          <cell r="AE610" t="str">
            <v>05-07-99</v>
          </cell>
        </row>
        <row r="611">
          <cell r="AC611" t="str">
            <v>104166-181</v>
          </cell>
          <cell r="AD611" t="str">
            <v>A MX TWIND 4 (MS)</v>
          </cell>
          <cell r="AE611" t="str">
            <v>05-07-99</v>
          </cell>
        </row>
        <row r="612">
          <cell r="AC612" t="str">
            <v>104167-011</v>
          </cell>
          <cell r="AD612" t="str">
            <v>A TOTAL MAX 4+ (MS)</v>
          </cell>
          <cell r="AE612" t="str">
            <v>05-07-99</v>
          </cell>
        </row>
        <row r="613">
          <cell r="AC613" t="str">
            <v>104168-171</v>
          </cell>
          <cell r="AD613" t="str">
            <v>A SKYLON TRX 4 (MS)</v>
          </cell>
          <cell r="AE613" t="str">
            <v>05-07-99</v>
          </cell>
        </row>
        <row r="614">
          <cell r="AC614" t="str">
            <v>105163-201</v>
          </cell>
          <cell r="AD614" t="str">
            <v>A CONVERGE TRX NB (WS)</v>
          </cell>
          <cell r="AE614" t="str">
            <v>05-07-99</v>
          </cell>
        </row>
        <row r="615">
          <cell r="AC615" t="str">
            <v>105166-141</v>
          </cell>
          <cell r="AD615" t="str">
            <v>A SKYLON TRX 4 (WS)</v>
          </cell>
          <cell r="AE615" t="str">
            <v>05-07-99</v>
          </cell>
        </row>
        <row r="616">
          <cell r="AC616" t="str">
            <v>105166-471</v>
          </cell>
          <cell r="AD616" t="str">
            <v>A SKYLON TRX 4 (WS)</v>
          </cell>
          <cell r="AE616" t="str">
            <v>05-07-99</v>
          </cell>
        </row>
        <row r="617">
          <cell r="AC617" t="str">
            <v>105169-181</v>
          </cell>
          <cell r="AD617" t="str">
            <v>A TUNED SOVEREIGN (WS)</v>
          </cell>
          <cell r="AE617" t="str">
            <v>05-07-99</v>
          </cell>
        </row>
        <row r="618">
          <cell r="AC618" t="str">
            <v>604116-061</v>
          </cell>
          <cell r="AD618" t="str">
            <v>A MX 95 (MS)</v>
          </cell>
          <cell r="AE618" t="str">
            <v>05-07-99</v>
          </cell>
        </row>
        <row r="619">
          <cell r="AC619" t="str">
            <v>604140-071</v>
          </cell>
          <cell r="AD619" t="str">
            <v>A MX TWIND 4 (MS)</v>
          </cell>
          <cell r="AE619" t="str">
            <v>05-07-99</v>
          </cell>
        </row>
        <row r="620">
          <cell r="AC620" t="str">
            <v>605098-161</v>
          </cell>
          <cell r="AD620" t="str">
            <v>A MX 95 LEA (WS)</v>
          </cell>
          <cell r="AE620" t="str">
            <v>05-07-99</v>
          </cell>
        </row>
        <row r="621">
          <cell r="AC621" t="str">
            <v>605110-142</v>
          </cell>
          <cell r="AD621" t="str">
            <v>A CONVERGE TRX (WS)</v>
          </cell>
          <cell r="AE621" t="str">
            <v>05-07-99</v>
          </cell>
        </row>
        <row r="622">
          <cell r="AC622" t="str">
            <v>605148-011</v>
          </cell>
          <cell r="AD622" t="str">
            <v>A TUNED SOVEREIGN+ (WS)</v>
          </cell>
          <cell r="AE622" t="str">
            <v>05-07-99</v>
          </cell>
        </row>
        <row r="623">
          <cell r="AC623" t="str">
            <v>673215-161</v>
          </cell>
          <cell r="AD623" t="str">
            <v>A METAL MAX (MS)</v>
          </cell>
          <cell r="AE623" t="str">
            <v>05-07-99</v>
          </cell>
        </row>
        <row r="624">
          <cell r="AC624" t="str">
            <v>674183-141</v>
          </cell>
          <cell r="AD624" t="str">
            <v>A BUTANE MAX (WS)</v>
          </cell>
          <cell r="AE624" t="str">
            <v>05-07-99</v>
          </cell>
        </row>
        <row r="625">
          <cell r="AC625" t="str">
            <v>855009-001</v>
          </cell>
          <cell r="AD625" t="str">
            <v>A MX TWIND 4 BG</v>
          </cell>
          <cell r="AE625" t="str">
            <v>05-07-99</v>
          </cell>
        </row>
        <row r="626">
          <cell r="AC626" t="str">
            <v>102120-441</v>
          </cell>
          <cell r="AD626" t="str">
            <v>A MANTRA (MS)</v>
          </cell>
          <cell r="AE626" t="str">
            <v>06-08-99</v>
          </cell>
        </row>
        <row r="627">
          <cell r="AC627" t="str">
            <v>104136-071</v>
          </cell>
          <cell r="AD627" t="str">
            <v>A MX TRX PLUS (MS)</v>
          </cell>
          <cell r="AE627" t="str">
            <v>06-08-99</v>
          </cell>
        </row>
        <row r="628">
          <cell r="AC628" t="str">
            <v>104167-001</v>
          </cell>
          <cell r="AD628" t="str">
            <v>A TOTAL MAX 4+ (MS)</v>
          </cell>
          <cell r="AE628" t="str">
            <v>06-08-99</v>
          </cell>
        </row>
        <row r="629">
          <cell r="AC629" t="str">
            <v>104168-111</v>
          </cell>
          <cell r="AD629" t="str">
            <v>A SKYLON TRX 4 (MS)</v>
          </cell>
          <cell r="AE629" t="str">
            <v>07-09-00</v>
          </cell>
          <cell r="AF629" t="str">
            <v>WHT / WHT MAX ORANGE-BLK</v>
          </cell>
        </row>
        <row r="630">
          <cell r="AC630" t="str">
            <v>104179-031</v>
          </cell>
          <cell r="AD630" t="str">
            <v>A INTL TRX+ (MS)</v>
          </cell>
          <cell r="AE630" t="str">
            <v>06-08-99</v>
          </cell>
        </row>
        <row r="631">
          <cell r="AC631" t="str">
            <v>104179-171</v>
          </cell>
          <cell r="AD631" t="str">
            <v>A INTL TRX+ (MS)</v>
          </cell>
          <cell r="AE631" t="str">
            <v>06-08-99</v>
          </cell>
        </row>
        <row r="632">
          <cell r="AC632" t="str">
            <v>104179-172</v>
          </cell>
          <cell r="AD632" t="str">
            <v>A INTL TRX+ (MS)</v>
          </cell>
          <cell r="AE632" t="str">
            <v>06-08-99</v>
          </cell>
        </row>
        <row r="633">
          <cell r="AC633" t="str">
            <v>104179-461</v>
          </cell>
          <cell r="AD633" t="str">
            <v>A INTL TRX+ (MS)</v>
          </cell>
          <cell r="AE633" t="str">
            <v>06-08-99</v>
          </cell>
        </row>
        <row r="634">
          <cell r="AC634" t="str">
            <v>105149-472</v>
          </cell>
          <cell r="AD634" t="str">
            <v>A CONVERGE TRX (WS)</v>
          </cell>
          <cell r="AE634" t="str">
            <v>06-08-99</v>
          </cell>
        </row>
        <row r="635">
          <cell r="AC635" t="str">
            <v>105158-161</v>
          </cell>
          <cell r="AD635" t="str">
            <v>A MX TWIND 4 (WS)</v>
          </cell>
          <cell r="AE635" t="str">
            <v>06-08-99</v>
          </cell>
        </row>
        <row r="636">
          <cell r="AC636" t="str">
            <v>105158-181</v>
          </cell>
          <cell r="AD636" t="str">
            <v>A MX TWIND 4 (WS)</v>
          </cell>
          <cell r="AE636" t="str">
            <v>06-08-99</v>
          </cell>
        </row>
        <row r="637">
          <cell r="AC637" t="str">
            <v>105163-001</v>
          </cell>
          <cell r="AD637" t="str">
            <v>A CONVERGE TRX NB (WS)</v>
          </cell>
          <cell r="AE637" t="str">
            <v>06-08-99</v>
          </cell>
        </row>
        <row r="638">
          <cell r="AC638" t="str">
            <v>604109-001</v>
          </cell>
          <cell r="AD638" t="str">
            <v>A MX 95 LEA (MS)</v>
          </cell>
          <cell r="AE638" t="str">
            <v>06-08-99</v>
          </cell>
        </row>
        <row r="639">
          <cell r="AC639" t="str">
            <v>604131-172</v>
          </cell>
          <cell r="AD639" t="str">
            <v>A INTL TRX (MS)</v>
          </cell>
          <cell r="AE639" t="str">
            <v>06-08-99</v>
          </cell>
        </row>
        <row r="640">
          <cell r="AC640" t="str">
            <v>605081-112</v>
          </cell>
          <cell r="AD640" t="str">
            <v>A MX TRX 4 LEA (WS)</v>
          </cell>
          <cell r="AE640" t="str">
            <v>06-08-99</v>
          </cell>
        </row>
        <row r="641">
          <cell r="AC641" t="str">
            <v>605110-152</v>
          </cell>
          <cell r="AD641" t="str">
            <v>A CONVERGE TRX (WS)</v>
          </cell>
          <cell r="AE641" t="str">
            <v>06-08-99</v>
          </cell>
        </row>
        <row r="642">
          <cell r="AC642" t="str">
            <v>655034-141</v>
          </cell>
          <cell r="AD642" t="str">
            <v>A MX TWIND 4 BG</v>
          </cell>
          <cell r="AE642" t="str">
            <v>06-08-99</v>
          </cell>
        </row>
        <row r="643">
          <cell r="AC643" t="str">
            <v>655038-041</v>
          </cell>
          <cell r="AD643" t="str">
            <v>A MX 95 BG</v>
          </cell>
          <cell r="AE643" t="str">
            <v>06-08-99</v>
          </cell>
        </row>
        <row r="644">
          <cell r="AC644" t="str">
            <v>673238-001</v>
          </cell>
          <cell r="AD644" t="str">
            <v>A BUTANE MAX (MS)</v>
          </cell>
          <cell r="AE644" t="str">
            <v>06-08-99</v>
          </cell>
        </row>
        <row r="645">
          <cell r="AC645" t="str">
            <v>673238-101</v>
          </cell>
          <cell r="AD645" t="str">
            <v>A BUTANE MAX (MS)</v>
          </cell>
          <cell r="AE645" t="str">
            <v>06-08-99</v>
          </cell>
        </row>
        <row r="646">
          <cell r="AC646" t="str">
            <v>104168-081</v>
          </cell>
          <cell r="AD646" t="str">
            <v>A SKYLON TRX 4 (MS)</v>
          </cell>
          <cell r="AE646" t="str">
            <v>07-09-99</v>
          </cell>
        </row>
        <row r="647">
          <cell r="AC647" t="str">
            <v>104177-031</v>
          </cell>
          <cell r="AD647" t="str">
            <v>A TUNED SIROCCO (MS)</v>
          </cell>
          <cell r="AE647" t="str">
            <v>07-09-99</v>
          </cell>
        </row>
        <row r="648">
          <cell r="AC648" t="str">
            <v>104181-031</v>
          </cell>
          <cell r="AD648" t="str">
            <v>A INTL TRX+ (MS)</v>
          </cell>
          <cell r="AE648" t="str">
            <v>07-09-99</v>
          </cell>
        </row>
        <row r="649">
          <cell r="AC649" t="str">
            <v>104182-431</v>
          </cell>
          <cell r="AD649" t="str">
            <v>A INTL TRX 2 NB (MS)</v>
          </cell>
          <cell r="AE649" t="str">
            <v>07-09-99</v>
          </cell>
        </row>
        <row r="650">
          <cell r="AC650" t="str">
            <v>104189-171</v>
          </cell>
          <cell r="AD650" t="str">
            <v>A TUNED MAX (MS)</v>
          </cell>
          <cell r="AE650" t="str">
            <v>07-09-99</v>
          </cell>
        </row>
        <row r="651">
          <cell r="AC651" t="str">
            <v>105072-071</v>
          </cell>
          <cell r="AD651" t="str">
            <v>A MX LIGHT 3 (WS)</v>
          </cell>
          <cell r="AE651" t="str">
            <v>07-09-99</v>
          </cell>
        </row>
        <row r="652">
          <cell r="AC652" t="str">
            <v>604132-061</v>
          </cell>
          <cell r="AD652" t="str">
            <v>A TOTAL MAX 3 (MS)</v>
          </cell>
          <cell r="AE652" t="str">
            <v>01-09-11</v>
          </cell>
          <cell r="AF652" t="str">
            <v>M SILVER/VARSITY RED-BLACK</v>
          </cell>
        </row>
        <row r="653">
          <cell r="AC653" t="str">
            <v>605134-171</v>
          </cell>
          <cell r="AD653" t="str">
            <v>A TUNED SOVEREIGN (WS)</v>
          </cell>
          <cell r="AE653" t="str">
            <v>07-09-99</v>
          </cell>
        </row>
        <row r="654">
          <cell r="AC654" t="str">
            <v>655032-131</v>
          </cell>
          <cell r="AD654" t="str">
            <v>A MX TWIND 4+ BG</v>
          </cell>
          <cell r="AE654" t="str">
            <v>07-09-99</v>
          </cell>
        </row>
        <row r="655">
          <cell r="AC655" t="str">
            <v>655032-171</v>
          </cell>
          <cell r="AD655" t="str">
            <v>A MX TWIND 4+ BG</v>
          </cell>
          <cell r="AE655" t="str">
            <v>07-09-99</v>
          </cell>
        </row>
        <row r="656">
          <cell r="AC656" t="str">
            <v>655034-041</v>
          </cell>
          <cell r="AD656" t="str">
            <v>A MX TWIND 4 BG</v>
          </cell>
          <cell r="AE656" t="str">
            <v>07-09-99</v>
          </cell>
        </row>
        <row r="657">
          <cell r="AC657" t="str">
            <v>655034-061</v>
          </cell>
          <cell r="AD657" t="str">
            <v>A MX TWIND 4 BG</v>
          </cell>
          <cell r="AE657" t="str">
            <v>07-09-99</v>
          </cell>
        </row>
        <row r="658">
          <cell r="AC658" t="str">
            <v>655034-061</v>
          </cell>
          <cell r="AD658" t="str">
            <v>A MX TWIND 4 BG</v>
          </cell>
          <cell r="AE658" t="str">
            <v>07-09-99</v>
          </cell>
        </row>
        <row r="659">
          <cell r="AC659" t="str">
            <v>655058-111</v>
          </cell>
          <cell r="AD659" t="str">
            <v>A WORLD MX BG</v>
          </cell>
          <cell r="AE659" t="str">
            <v>07-09-99</v>
          </cell>
        </row>
        <row r="660">
          <cell r="AC660" t="str">
            <v>673215-171</v>
          </cell>
          <cell r="AD660" t="str">
            <v>A METAL MAX (MS)</v>
          </cell>
          <cell r="AE660" t="str">
            <v>07-09-99</v>
          </cell>
        </row>
        <row r="661">
          <cell r="AC661" t="str">
            <v>673238-061</v>
          </cell>
          <cell r="AD661" t="str">
            <v>A BUTANE MAX (MS)</v>
          </cell>
          <cell r="AE661" t="str">
            <v>07-09-99</v>
          </cell>
        </row>
        <row r="662">
          <cell r="AC662" t="str">
            <v>673238-102</v>
          </cell>
          <cell r="AD662" t="str">
            <v>A BUTANE MAX (MS)</v>
          </cell>
          <cell r="AE662" t="str">
            <v>07-09-99</v>
          </cell>
        </row>
        <row r="663">
          <cell r="AC663" t="str">
            <v>104132-331</v>
          </cell>
          <cell r="AD663" t="str">
            <v>A MX TRX 4 NB (MS)</v>
          </cell>
          <cell r="AE663" t="str">
            <v>08-10-99</v>
          </cell>
        </row>
        <row r="664">
          <cell r="AC664" t="str">
            <v>104166-131</v>
          </cell>
          <cell r="AD664" t="str">
            <v>A MX TWIND 4 (MS)</v>
          </cell>
          <cell r="AE664" t="str">
            <v>08-10-99</v>
          </cell>
        </row>
        <row r="665">
          <cell r="AC665" t="str">
            <v>104166-171</v>
          </cell>
          <cell r="AD665" t="str">
            <v>A MX TWIND 4 (MS)</v>
          </cell>
          <cell r="AE665" t="str">
            <v>08-10-99</v>
          </cell>
        </row>
        <row r="666">
          <cell r="AC666" t="str">
            <v>104172-141</v>
          </cell>
          <cell r="AD666" t="str">
            <v>A INTL TRX 2 NB (MS)</v>
          </cell>
          <cell r="AE666" t="str">
            <v>08-10-99</v>
          </cell>
        </row>
        <row r="667">
          <cell r="AC667" t="str">
            <v>104177-061</v>
          </cell>
          <cell r="AD667" t="str">
            <v>A TUNED SIROCCO (MS)</v>
          </cell>
          <cell r="AE667" t="str">
            <v>08-10-99</v>
          </cell>
        </row>
        <row r="668">
          <cell r="AC668" t="str">
            <v>104177-171</v>
          </cell>
          <cell r="AD668" t="str">
            <v>A TUNED SIROCCO (MS)</v>
          </cell>
          <cell r="AE668" t="str">
            <v>08-10-99</v>
          </cell>
        </row>
        <row r="669">
          <cell r="AC669" t="str">
            <v>104184-081</v>
          </cell>
          <cell r="AD669" t="str">
            <v>A TURBULENCE (MS)</v>
          </cell>
          <cell r="AE669" t="str">
            <v>08-10-99</v>
          </cell>
          <cell r="AF669" t="str">
            <v>BLACK / MARAKESH-GRY SLATE-WHT</v>
          </cell>
        </row>
        <row r="670">
          <cell r="AC670" t="str">
            <v>104189-031</v>
          </cell>
          <cell r="AD670" t="str">
            <v>A TUNED MAX (MS)</v>
          </cell>
          <cell r="AE670" t="str">
            <v>08-10-99</v>
          </cell>
        </row>
        <row r="671">
          <cell r="AC671" t="str">
            <v>105162-001</v>
          </cell>
          <cell r="AD671" t="str">
            <v>A TOTAL MAX 4+ (WS)</v>
          </cell>
          <cell r="AE671" t="str">
            <v>08-10-99</v>
          </cell>
        </row>
        <row r="672">
          <cell r="AC672" t="str">
            <v>105162-011</v>
          </cell>
          <cell r="AD672" t="str">
            <v>A TOTAL MAX 4+ (WS)</v>
          </cell>
          <cell r="AE672" t="str">
            <v>08-10-99</v>
          </cell>
        </row>
        <row r="673">
          <cell r="AC673" t="str">
            <v>105169-461</v>
          </cell>
          <cell r="AD673" t="str">
            <v>A TUNED SOVEREIGN (WS)</v>
          </cell>
          <cell r="AE673" t="str">
            <v>08-10-99</v>
          </cell>
        </row>
        <row r="674">
          <cell r="AC674" t="str">
            <v>604074-141</v>
          </cell>
          <cell r="AD674" t="str">
            <v>A MX TRX 3 NB (MS)</v>
          </cell>
          <cell r="AE674" t="str">
            <v>08-10-99</v>
          </cell>
        </row>
        <row r="675">
          <cell r="AC675" t="str">
            <v>604075-141</v>
          </cell>
          <cell r="AD675" t="str">
            <v>A MX TWIND 2 (MS)</v>
          </cell>
          <cell r="AE675" t="str">
            <v>08-10-99</v>
          </cell>
        </row>
        <row r="676">
          <cell r="AC676" t="str">
            <v>604107-761</v>
          </cell>
          <cell r="AD676" t="str">
            <v>A MX 97 (MS)</v>
          </cell>
          <cell r="AE676" t="str">
            <v>01-09-11</v>
          </cell>
          <cell r="AF676" t="str">
            <v>METALLIC GOLD/VARSITY RED</v>
          </cell>
        </row>
        <row r="677">
          <cell r="AC677" t="str">
            <v>604140-005</v>
          </cell>
          <cell r="AD677" t="str">
            <v>A MX TWIND 4 (MS)</v>
          </cell>
          <cell r="AE677" t="str">
            <v>08-10-99</v>
          </cell>
        </row>
        <row r="678">
          <cell r="AC678" t="str">
            <v>655034-001</v>
          </cell>
          <cell r="AD678" t="str">
            <v>A MX TWIND 4 BG</v>
          </cell>
          <cell r="AE678" t="str">
            <v>08-10-99</v>
          </cell>
        </row>
        <row r="679">
          <cell r="AC679" t="str">
            <v>673215-072</v>
          </cell>
          <cell r="AD679" t="str">
            <v>A METAL MAX (MS)</v>
          </cell>
          <cell r="AE679" t="str">
            <v>08-10-99</v>
          </cell>
        </row>
        <row r="680">
          <cell r="AC680" t="str">
            <v>673215-141</v>
          </cell>
          <cell r="AD680" t="str">
            <v>A METAL MAX (MS)</v>
          </cell>
          <cell r="AE680" t="str">
            <v>08-10-99</v>
          </cell>
        </row>
        <row r="681">
          <cell r="AC681" t="str">
            <v>673238-002</v>
          </cell>
          <cell r="AD681" t="str">
            <v>A BUTANE MAX (MS)</v>
          </cell>
          <cell r="AE681" t="str">
            <v>08-10-99</v>
          </cell>
        </row>
        <row r="682">
          <cell r="AC682" t="str">
            <v>673262-141</v>
          </cell>
          <cell r="AD682" t="str">
            <v>A REVERENT (MS)</v>
          </cell>
          <cell r="AE682" t="str">
            <v>08-10-99</v>
          </cell>
        </row>
        <row r="683">
          <cell r="AC683" t="str">
            <v>854023-181</v>
          </cell>
          <cell r="AD683" t="str">
            <v>A TOTAL MAX GG</v>
          </cell>
          <cell r="AE683" t="str">
            <v>08-10-99</v>
          </cell>
        </row>
        <row r="684">
          <cell r="AC684" t="str">
            <v>105147-161</v>
          </cell>
          <cell r="AD684" t="str">
            <v>A CONVERGE TRX (WS)</v>
          </cell>
          <cell r="AE684" t="str">
            <v>09-11-98</v>
          </cell>
        </row>
        <row r="685">
          <cell r="AC685" t="str">
            <v>655034-143</v>
          </cell>
          <cell r="AD685" t="str">
            <v>A MX TWIND 4 BG</v>
          </cell>
          <cell r="AE685" t="str">
            <v>09-11-98</v>
          </cell>
        </row>
        <row r="686">
          <cell r="AC686" t="str">
            <v>103096-131</v>
          </cell>
          <cell r="AD686" t="str">
            <v>A MANTRA (WS)</v>
          </cell>
          <cell r="AE686" t="str">
            <v>09-11-99</v>
          </cell>
        </row>
        <row r="687">
          <cell r="AC687" t="str">
            <v>104177-431</v>
          </cell>
          <cell r="AD687" t="str">
            <v>A TUNED SIROCCO (MS)</v>
          </cell>
          <cell r="AE687" t="str">
            <v>09-11-99</v>
          </cell>
        </row>
        <row r="688">
          <cell r="AC688" t="str">
            <v>104181-172</v>
          </cell>
          <cell r="AD688" t="str">
            <v>A INTL TRX+ (MS)</v>
          </cell>
          <cell r="AE688" t="str">
            <v>09-11-99</v>
          </cell>
        </row>
        <row r="689">
          <cell r="AC689" t="str">
            <v>604128-001</v>
          </cell>
          <cell r="AD689" t="str">
            <v>A MX TWIND  (MS)</v>
          </cell>
          <cell r="AE689" t="str">
            <v>09-11-99</v>
          </cell>
        </row>
        <row r="690">
          <cell r="AC690" t="str">
            <v>604134-002</v>
          </cell>
          <cell r="AD690" t="str">
            <v>A MX TWIND 2 NB (MS)</v>
          </cell>
          <cell r="AE690" t="str">
            <v>09-11-99</v>
          </cell>
        </row>
        <row r="691">
          <cell r="AC691" t="str">
            <v>604140-141</v>
          </cell>
          <cell r="AD691" t="str">
            <v>A MX TWIND 4 (MS)</v>
          </cell>
          <cell r="AE691" t="str">
            <v>09-11-99</v>
          </cell>
        </row>
        <row r="692">
          <cell r="AC692" t="str">
            <v>604154-401</v>
          </cell>
          <cell r="AD692" t="str">
            <v>A INTL TRX+ (MS)</v>
          </cell>
          <cell r="AE692" t="str">
            <v>09-11-99</v>
          </cell>
        </row>
        <row r="693">
          <cell r="AC693" t="str">
            <v>605056-141</v>
          </cell>
          <cell r="AD693" t="str">
            <v>A MX TWIND 2 (WS)</v>
          </cell>
          <cell r="AE693" t="str">
            <v>09-11-99</v>
          </cell>
        </row>
        <row r="694">
          <cell r="AC694" t="str">
            <v>605110-432</v>
          </cell>
          <cell r="AD694" t="str">
            <v>A CONVERGE TRX (WS)</v>
          </cell>
          <cell r="AE694" t="str">
            <v>09-11-99</v>
          </cell>
        </row>
        <row r="695">
          <cell r="AC695" t="str">
            <v>605110-433</v>
          </cell>
          <cell r="AD695" t="str">
            <v>A CONVERGE TRX (WS)</v>
          </cell>
          <cell r="AE695" t="str">
            <v>09-11-99</v>
          </cell>
        </row>
        <row r="696">
          <cell r="AC696" t="str">
            <v>605110-471</v>
          </cell>
          <cell r="AD696" t="str">
            <v>A CONVERGE TRX (WS)</v>
          </cell>
          <cell r="AE696" t="str">
            <v>09-11-99</v>
          </cell>
        </row>
        <row r="697">
          <cell r="AC697" t="str">
            <v>655034-011</v>
          </cell>
          <cell r="AD697" t="str">
            <v>A MX TWIND 4 LEA BG</v>
          </cell>
          <cell r="AE697" t="str">
            <v>09-11-99</v>
          </cell>
        </row>
        <row r="698">
          <cell r="AC698" t="str">
            <v>673215-181</v>
          </cell>
          <cell r="AD698" t="str">
            <v>A METAL MAX (MS)</v>
          </cell>
          <cell r="AE698" t="str">
            <v>09-11-99</v>
          </cell>
        </row>
        <row r="699">
          <cell r="AC699" t="str">
            <v>673219-181</v>
          </cell>
          <cell r="AD699" t="str">
            <v>A METAL MAX (MS)</v>
          </cell>
          <cell r="AE699" t="str">
            <v>09-11-99</v>
          </cell>
        </row>
        <row r="700">
          <cell r="AC700" t="str">
            <v>674183-131</v>
          </cell>
          <cell r="AD700" t="str">
            <v>A BUTANE MAX (WS)</v>
          </cell>
          <cell r="AE700" t="str">
            <v>09-11-99</v>
          </cell>
        </row>
        <row r="701">
          <cell r="AC701" t="str">
            <v>104156-110</v>
          </cell>
          <cell r="AD701" t="str">
            <v>A INTL TRX (MS)</v>
          </cell>
          <cell r="AE701" t="str">
            <v>10-12-98</v>
          </cell>
        </row>
        <row r="702">
          <cell r="AC702" t="str">
            <v>104158-101</v>
          </cell>
          <cell r="AD702" t="str">
            <v>A INTL TRX (MS)</v>
          </cell>
          <cell r="AE702" t="str">
            <v>10-12-98</v>
          </cell>
        </row>
        <row r="703">
          <cell r="AC703" t="str">
            <v>173116-161</v>
          </cell>
          <cell r="AD703" t="str">
            <v>A METAL MAX (MS)</v>
          </cell>
          <cell r="AE703" t="str">
            <v>10-12-98</v>
          </cell>
        </row>
        <row r="704">
          <cell r="AC704" t="str">
            <v>604116-071</v>
          </cell>
          <cell r="AD704" t="str">
            <v>A MX 95 (MS)</v>
          </cell>
          <cell r="AE704" t="str">
            <v>10-12-98</v>
          </cell>
        </row>
        <row r="705">
          <cell r="AC705" t="str">
            <v>604116-081</v>
          </cell>
          <cell r="AD705" t="str">
            <v>A MX 95 (MS)</v>
          </cell>
          <cell r="AE705" t="str">
            <v>10-12-98</v>
          </cell>
        </row>
        <row r="706">
          <cell r="AC706" t="str">
            <v>604116-441</v>
          </cell>
          <cell r="AD706" t="str">
            <v>A MX 95 (MS)</v>
          </cell>
          <cell r="AE706" t="str">
            <v>10-12-98</v>
          </cell>
        </row>
        <row r="707">
          <cell r="AC707" t="str">
            <v>604116-471</v>
          </cell>
          <cell r="AD707" t="str">
            <v>A MX 95 (MS)</v>
          </cell>
          <cell r="AE707" t="str">
            <v>10-12-98</v>
          </cell>
        </row>
        <row r="708">
          <cell r="AC708" t="str">
            <v>604118-042</v>
          </cell>
          <cell r="AD708" t="str">
            <v>A MX 95 (MS)</v>
          </cell>
          <cell r="AE708" t="str">
            <v>01-01-03</v>
          </cell>
          <cell r="AF708" t="str">
            <v>BLACK / HYPER BLUE-WHITE</v>
          </cell>
        </row>
        <row r="709">
          <cell r="AC709" t="str">
            <v>605097-041</v>
          </cell>
          <cell r="AD709" t="str">
            <v>A MX 95 (WS)</v>
          </cell>
          <cell r="AE709" t="str">
            <v>10-12-98</v>
          </cell>
          <cell r="AF709" t="str">
            <v>BLU SHADOW / NEUTRAL GREY-BLK</v>
          </cell>
        </row>
        <row r="710">
          <cell r="AC710" t="str">
            <v>605097-071</v>
          </cell>
          <cell r="AD710" t="str">
            <v>A MX 95 (WS)</v>
          </cell>
          <cell r="AE710" t="str">
            <v>10-12-98</v>
          </cell>
        </row>
        <row r="711">
          <cell r="AC711" t="str">
            <v>105185-061</v>
          </cell>
          <cell r="AD711" t="str">
            <v>A TUNED SOVEREIGN+ (WS)</v>
          </cell>
          <cell r="AE711" t="str">
            <v>10-12-99</v>
          </cell>
        </row>
        <row r="712">
          <cell r="AC712" t="str">
            <v>103055-141</v>
          </cell>
          <cell r="AD712" t="str">
            <v>A MX TRX 4 LEA (WS)</v>
          </cell>
          <cell r="AE712" t="str">
            <v>10-12-99</v>
          </cell>
        </row>
        <row r="713">
          <cell r="AC713" t="str">
            <v>103072-431</v>
          </cell>
          <cell r="AD713" t="str">
            <v>A ALIGN (WS)</v>
          </cell>
          <cell r="AE713" t="str">
            <v>10-12-99</v>
          </cell>
        </row>
        <row r="714">
          <cell r="AC714" t="str">
            <v>103096-061</v>
          </cell>
          <cell r="AD714" t="str">
            <v>A MANTRA (WS)</v>
          </cell>
          <cell r="AE714" t="str">
            <v>10-12-99</v>
          </cell>
        </row>
        <row r="715">
          <cell r="AC715" t="str">
            <v>104158-161</v>
          </cell>
          <cell r="AD715" t="str">
            <v>A INTL TRX (MS)</v>
          </cell>
          <cell r="AE715" t="str">
            <v>10-12-99</v>
          </cell>
        </row>
        <row r="716">
          <cell r="AC716" t="str">
            <v>104166-182</v>
          </cell>
          <cell r="AD716" t="str">
            <v>A MX TWIND 4 (MS)</v>
          </cell>
          <cell r="AE716" t="str">
            <v>10-12-99</v>
          </cell>
        </row>
        <row r="717">
          <cell r="AC717" t="str">
            <v>104168-131</v>
          </cell>
          <cell r="AD717" t="str">
            <v>A SKYLON TRX 4 (MS)</v>
          </cell>
          <cell r="AE717" t="str">
            <v>10-12-99</v>
          </cell>
        </row>
        <row r="718">
          <cell r="AC718" t="str">
            <v>104183-141</v>
          </cell>
          <cell r="AD718" t="str">
            <v>A INTL TRX+ (MS)</v>
          </cell>
          <cell r="AE718" t="str">
            <v>10-12-99</v>
          </cell>
        </row>
        <row r="719">
          <cell r="AC719" t="str">
            <v>104184-062</v>
          </cell>
          <cell r="AD719" t="str">
            <v>A TURBULENCE (MS)</v>
          </cell>
          <cell r="AE719" t="str">
            <v>10-12-99</v>
          </cell>
        </row>
        <row r="720">
          <cell r="AC720" t="str">
            <v>104190-041</v>
          </cell>
          <cell r="AD720" t="str">
            <v>A INTL TRX 2 (MS)</v>
          </cell>
          <cell r="AE720" t="str">
            <v>10-12-99</v>
          </cell>
        </row>
        <row r="721">
          <cell r="AC721" t="str">
            <v>105169-441</v>
          </cell>
          <cell r="AD721" t="str">
            <v>A TUNED SOVEREIGN (WS)</v>
          </cell>
          <cell r="AE721" t="str">
            <v>10-12-99</v>
          </cell>
        </row>
        <row r="722">
          <cell r="AC722" t="str">
            <v>105170-141</v>
          </cell>
          <cell r="AD722" t="str">
            <v>A CONVERGE TRX+ (WS)</v>
          </cell>
          <cell r="AE722" t="str">
            <v>10-12-99</v>
          </cell>
        </row>
        <row r="723">
          <cell r="AC723" t="str">
            <v>105175-131</v>
          </cell>
          <cell r="AD723" t="str">
            <v>A CONVERGE TRX+ (WS)</v>
          </cell>
          <cell r="AE723" t="str">
            <v>10-12-99</v>
          </cell>
        </row>
        <row r="724">
          <cell r="AC724" t="str">
            <v>604131-001</v>
          </cell>
          <cell r="AD724" t="str">
            <v>A INTL TRX (MS)</v>
          </cell>
          <cell r="AE724" t="str">
            <v>10-12-99</v>
          </cell>
        </row>
        <row r="725">
          <cell r="AC725" t="str">
            <v>604131-041</v>
          </cell>
          <cell r="AD725" t="str">
            <v>A INTL TRX (MS)</v>
          </cell>
          <cell r="AE725" t="str">
            <v>10-12-99</v>
          </cell>
        </row>
        <row r="726">
          <cell r="AC726" t="str">
            <v>604131-101</v>
          </cell>
          <cell r="AD726" t="str">
            <v>A INTL TRX (MS)</v>
          </cell>
          <cell r="AE726" t="str">
            <v>10-12-99</v>
          </cell>
        </row>
        <row r="727">
          <cell r="AC727" t="str">
            <v>604140-041</v>
          </cell>
          <cell r="AD727" t="str">
            <v>A MX TWIND 4 (MS)</v>
          </cell>
          <cell r="AE727" t="str">
            <v>10-12-99</v>
          </cell>
        </row>
        <row r="728">
          <cell r="AC728" t="str">
            <v>604140-471</v>
          </cell>
          <cell r="AD728" t="str">
            <v>A MX TWIND 4 (MS)</v>
          </cell>
          <cell r="AE728" t="str">
            <v>10-12-99</v>
          </cell>
          <cell r="AF728" t="str">
            <v>OBSIDIAN / LIGHTTNING-MET SILVER</v>
          </cell>
        </row>
        <row r="729">
          <cell r="AC729" t="str">
            <v>605056-142</v>
          </cell>
          <cell r="AD729" t="str">
            <v>A MX TWIND 2 (WS)</v>
          </cell>
          <cell r="AE729" t="str">
            <v>10-12-99</v>
          </cell>
        </row>
        <row r="730">
          <cell r="AC730" t="str">
            <v>605110-431</v>
          </cell>
          <cell r="AD730" t="str">
            <v>A CONVERGE TRX (WS)</v>
          </cell>
          <cell r="AE730" t="str">
            <v>10-12-99</v>
          </cell>
        </row>
        <row r="731">
          <cell r="AC731" t="str">
            <v>673215-061</v>
          </cell>
          <cell r="AD731" t="str">
            <v>A METAL MAX (MS)</v>
          </cell>
          <cell r="AE731" t="str">
            <v>10-12-99</v>
          </cell>
        </row>
        <row r="732">
          <cell r="AC732" t="str">
            <v>673239-003</v>
          </cell>
          <cell r="AD732" t="str">
            <v>A METAL MAX 2 (MS)</v>
          </cell>
          <cell r="AE732" t="str">
            <v>10-12-99</v>
          </cell>
        </row>
        <row r="733">
          <cell r="AC733" t="str">
            <v>855009-131</v>
          </cell>
          <cell r="AD733" t="str">
            <v>A MX TWIND 4 BG</v>
          </cell>
          <cell r="AE733" t="str">
            <v>10-12-99</v>
          </cell>
        </row>
        <row r="734">
          <cell r="AC734" t="str">
            <v>855013-111</v>
          </cell>
          <cell r="AD734" t="str">
            <v>A MX TWIND 2+ BG</v>
          </cell>
          <cell r="AE734" t="str">
            <v>10-12-99</v>
          </cell>
        </row>
        <row r="735">
          <cell r="AC735" t="str">
            <v>104136-132</v>
          </cell>
          <cell r="AD735" t="str">
            <v>A MX TRX PLUS (MS)</v>
          </cell>
          <cell r="AE735" t="str">
            <v>11-01-98</v>
          </cell>
        </row>
        <row r="736">
          <cell r="AC736" t="str">
            <v>104137-001</v>
          </cell>
          <cell r="AD736" t="str">
            <v>A MX TWIND 3 (MS)</v>
          </cell>
          <cell r="AE736" t="str">
            <v>11-01-98</v>
          </cell>
        </row>
        <row r="737">
          <cell r="AC737" t="str">
            <v>104158-071</v>
          </cell>
          <cell r="AD737" t="str">
            <v>A INTL TRX (MS)</v>
          </cell>
          <cell r="AE737" t="str">
            <v>11-01-98</v>
          </cell>
        </row>
        <row r="738">
          <cell r="AC738" t="str">
            <v>104161-002</v>
          </cell>
          <cell r="AD738" t="str">
            <v>A MX TRX 4 PLUS NB (MS)</v>
          </cell>
          <cell r="AE738" t="str">
            <v>11-01-98</v>
          </cell>
        </row>
        <row r="739">
          <cell r="AC739" t="str">
            <v>105131-133</v>
          </cell>
          <cell r="AD739" t="str">
            <v>A MX TRX PLUS (WS)</v>
          </cell>
          <cell r="AE739" t="str">
            <v>11-01-98</v>
          </cell>
        </row>
        <row r="740">
          <cell r="AC740" t="str">
            <v>105131-142</v>
          </cell>
          <cell r="AD740" t="str">
            <v>A MX TRX PLUS (WS)</v>
          </cell>
          <cell r="AE740" t="str">
            <v>11-01-98</v>
          </cell>
        </row>
        <row r="741">
          <cell r="AC741" t="str">
            <v>105131-415</v>
          </cell>
          <cell r="AD741" t="str">
            <v>A MX TRX PLUS (WS)</v>
          </cell>
          <cell r="AE741" t="str">
            <v>11-01-98</v>
          </cell>
        </row>
        <row r="742">
          <cell r="AC742" t="str">
            <v>105149-181</v>
          </cell>
          <cell r="AD742" t="str">
            <v>A CONVERGE TRX (WS)</v>
          </cell>
          <cell r="AE742" t="str">
            <v>11-01-98</v>
          </cell>
        </row>
        <row r="743">
          <cell r="AC743" t="str">
            <v>173155-102</v>
          </cell>
          <cell r="AD743" t="str">
            <v>A METAL MAX 2 (MS)</v>
          </cell>
          <cell r="AE743" t="str">
            <v>11-01-98</v>
          </cell>
        </row>
        <row r="744">
          <cell r="AC744" t="str">
            <v>604102-001</v>
          </cell>
          <cell r="AD744" t="str">
            <v>A MX TRX 4 LEA (MS)</v>
          </cell>
          <cell r="AE744" t="str">
            <v>11-01-98</v>
          </cell>
        </row>
        <row r="745">
          <cell r="AC745" t="str">
            <v>604116-001</v>
          </cell>
          <cell r="AD745" t="str">
            <v>A MX 95 (MS)</v>
          </cell>
          <cell r="AE745" t="str">
            <v>11-01-98</v>
          </cell>
        </row>
        <row r="746">
          <cell r="AC746" t="str">
            <v>604116-072</v>
          </cell>
          <cell r="AD746" t="str">
            <v>A MX 95 (MS)</v>
          </cell>
          <cell r="AE746" t="str">
            <v>11-01-98</v>
          </cell>
        </row>
        <row r="747">
          <cell r="AC747" t="str">
            <v>605093-181</v>
          </cell>
          <cell r="AD747" t="str">
            <v>A MX TRX PLUS (WS)</v>
          </cell>
          <cell r="AE747" t="str">
            <v>11-01-98</v>
          </cell>
        </row>
        <row r="748">
          <cell r="AC748" t="str">
            <v>605097-031</v>
          </cell>
          <cell r="AD748" t="str">
            <v>A MX 95 (WS)</v>
          </cell>
          <cell r="AE748" t="str">
            <v>11-01-98</v>
          </cell>
        </row>
        <row r="749">
          <cell r="AC749" t="str">
            <v>605118-441</v>
          </cell>
          <cell r="AD749" t="str">
            <v>A MX TWIND 4 (WS)</v>
          </cell>
          <cell r="AE749" t="str">
            <v>11-01-98</v>
          </cell>
        </row>
        <row r="750">
          <cell r="AC750" t="str">
            <v>605148-101</v>
          </cell>
          <cell r="AD750" t="str">
            <v>A TUNED SOVEREIGN+ (WS)</v>
          </cell>
          <cell r="AE750" t="str">
            <v>11-01-98</v>
          </cell>
        </row>
        <row r="751">
          <cell r="AC751" t="str">
            <v>605148-141</v>
          </cell>
          <cell r="AD751" t="str">
            <v>A TUNED SOVEREIGN+ (WS)</v>
          </cell>
          <cell r="AE751" t="str">
            <v>11-01-98</v>
          </cell>
        </row>
        <row r="752">
          <cell r="AC752" t="str">
            <v>673239-001</v>
          </cell>
          <cell r="AD752" t="str">
            <v>A METAL MAX 2 (MS)</v>
          </cell>
          <cell r="AE752" t="str">
            <v>11-01-98</v>
          </cell>
        </row>
        <row r="753">
          <cell r="AC753" t="str">
            <v>673239-002</v>
          </cell>
          <cell r="AD753" t="str">
            <v>A METAL MAX 2 (MS)</v>
          </cell>
          <cell r="AE753" t="str">
            <v>11-01-98</v>
          </cell>
        </row>
        <row r="754">
          <cell r="AC754" t="str">
            <v>673239-401</v>
          </cell>
          <cell r="AD754" t="str">
            <v>A METAL MAX 2 (MS)</v>
          </cell>
          <cell r="AE754" t="str">
            <v>11-01-98</v>
          </cell>
        </row>
        <row r="755">
          <cell r="AC755" t="str">
            <v>673262-001</v>
          </cell>
          <cell r="AD755" t="str">
            <v>A REVERENT (MS)</v>
          </cell>
          <cell r="AE755" t="str">
            <v>11-01-98</v>
          </cell>
        </row>
        <row r="756">
          <cell r="AC756" t="str">
            <v>673262-401</v>
          </cell>
          <cell r="AD756" t="str">
            <v>A REVERENT (MS)</v>
          </cell>
          <cell r="AE756" t="str">
            <v>11-01-98</v>
          </cell>
        </row>
        <row r="757">
          <cell r="AC757" t="str">
            <v>854017-141</v>
          </cell>
          <cell r="AD757" t="str">
            <v>A MX TWIND 4 BG</v>
          </cell>
          <cell r="AE757" t="str">
            <v>11-01-98</v>
          </cell>
        </row>
        <row r="758">
          <cell r="AC758" t="str">
            <v>609022-141</v>
          </cell>
          <cell r="AD758" t="str">
            <v>A MX TWIND B (BG)</v>
          </cell>
          <cell r="AE758" t="str">
            <v>11-01-99</v>
          </cell>
        </row>
        <row r="759">
          <cell r="AC759" t="str">
            <v>104192-042</v>
          </cell>
          <cell r="AD759" t="str">
            <v>A INTL TRX 2 (MS)</v>
          </cell>
          <cell r="AE759" t="str">
            <v>11-01-99</v>
          </cell>
        </row>
        <row r="760">
          <cell r="AC760" t="str">
            <v>104192-171</v>
          </cell>
          <cell r="AD760" t="str">
            <v>A INTL TRX 2 (MS)</v>
          </cell>
          <cell r="AE760" t="str">
            <v>11-01-99</v>
          </cell>
        </row>
        <row r="761">
          <cell r="AC761" t="str">
            <v>105171-171</v>
          </cell>
          <cell r="AD761" t="str">
            <v>A CONVERGE TRX+ (WS)</v>
          </cell>
          <cell r="AE761" t="str">
            <v>11-01-99</v>
          </cell>
        </row>
        <row r="762">
          <cell r="AC762" t="str">
            <v>105175-171</v>
          </cell>
          <cell r="AD762" t="str">
            <v>A CONVERGE TRX+ (WS)</v>
          </cell>
          <cell r="AE762" t="str">
            <v>11-01-99</v>
          </cell>
        </row>
        <row r="763">
          <cell r="AC763" t="str">
            <v>173116-081</v>
          </cell>
          <cell r="AD763" t="str">
            <v>A METAL MAX (MS)</v>
          </cell>
          <cell r="AE763" t="str">
            <v>11-01-99</v>
          </cell>
        </row>
        <row r="764">
          <cell r="AC764" t="str">
            <v>602095-401</v>
          </cell>
          <cell r="AD764" t="str">
            <v>A ALIGN (MS)</v>
          </cell>
          <cell r="AE764" t="str">
            <v>11-01-99</v>
          </cell>
        </row>
        <row r="765">
          <cell r="AC765" t="str">
            <v>604074-121</v>
          </cell>
          <cell r="AD765" t="str">
            <v>A MX TRX 3 NB (MS)</v>
          </cell>
          <cell r="AE765" t="str">
            <v>11-01-99</v>
          </cell>
        </row>
        <row r="766">
          <cell r="AC766" t="str">
            <v>604109-101</v>
          </cell>
          <cell r="AD766" t="str">
            <v>A MX 95 LEA (MS)</v>
          </cell>
          <cell r="AE766" t="str">
            <v>11-01-99</v>
          </cell>
        </row>
        <row r="767">
          <cell r="AC767" t="str">
            <v>604134-071</v>
          </cell>
          <cell r="AD767" t="str">
            <v>A MX TWIND 2 NB (MS)</v>
          </cell>
          <cell r="AE767" t="str">
            <v>11-01-99</v>
          </cell>
        </row>
        <row r="768">
          <cell r="AC768" t="str">
            <v>604140-771</v>
          </cell>
          <cell r="AD768" t="str">
            <v>A MX TWIND 4 (MS)</v>
          </cell>
          <cell r="AE768" t="str">
            <v>11-01-99</v>
          </cell>
        </row>
        <row r="769">
          <cell r="AC769" t="str">
            <v>605068-113</v>
          </cell>
          <cell r="AD769" t="str">
            <v>A MX TRX 4 (WS)</v>
          </cell>
          <cell r="AE769" t="str">
            <v>11-01-99</v>
          </cell>
        </row>
        <row r="770">
          <cell r="AC770" t="str">
            <v>605110-181</v>
          </cell>
          <cell r="AD770" t="str">
            <v>A CONVERGE TRX (WS)</v>
          </cell>
          <cell r="AE770" t="str">
            <v>11-01-99</v>
          </cell>
        </row>
        <row r="771">
          <cell r="AC771" t="str">
            <v>605134-431</v>
          </cell>
          <cell r="AD771" t="str">
            <v>A TUNED SOVEREIGN (WS)</v>
          </cell>
          <cell r="AE771" t="str">
            <v>11-01-99</v>
          </cell>
        </row>
        <row r="772">
          <cell r="AC772" t="str">
            <v>605144-031</v>
          </cell>
          <cell r="AD772" t="str">
            <v>A CONVERGE TRX 2 (WS)</v>
          </cell>
          <cell r="AE772" t="str">
            <v>11-01-99</v>
          </cell>
        </row>
        <row r="773">
          <cell r="AC773" t="str">
            <v>605144-481</v>
          </cell>
          <cell r="AD773" t="str">
            <v>A CONVERGE TRX 2 (WS)</v>
          </cell>
          <cell r="AE773" t="str">
            <v>11-01-99</v>
          </cell>
        </row>
        <row r="774">
          <cell r="AC774" t="str">
            <v>673215-071</v>
          </cell>
          <cell r="AD774" t="str">
            <v>A METAL MAX (MS)</v>
          </cell>
          <cell r="AE774" t="str">
            <v>11-01-99</v>
          </cell>
        </row>
        <row r="775">
          <cell r="AC775" t="str">
            <v>673215-111</v>
          </cell>
          <cell r="AD775" t="str">
            <v>A METAL MAX (MS)</v>
          </cell>
          <cell r="AE775" t="str">
            <v>11-01-99</v>
          </cell>
        </row>
        <row r="776">
          <cell r="AC776" t="str">
            <v>104143-111</v>
          </cell>
          <cell r="AD776" t="str">
            <v>A MX TWIND 2 NB (MS)</v>
          </cell>
          <cell r="AE776" t="str">
            <v>12-02-98</v>
          </cell>
        </row>
        <row r="777">
          <cell r="AC777" t="str">
            <v>104157-103</v>
          </cell>
          <cell r="AD777" t="str">
            <v>A INTL TRX (MS)</v>
          </cell>
          <cell r="AE777" t="str">
            <v>12-02-98</v>
          </cell>
        </row>
        <row r="778">
          <cell r="AC778" t="str">
            <v>104157-110</v>
          </cell>
          <cell r="AD778" t="str">
            <v>A INTL TRX (MS)</v>
          </cell>
          <cell r="AE778" t="str">
            <v>12-02-98</v>
          </cell>
        </row>
        <row r="779">
          <cell r="AC779" t="str">
            <v>104158-482</v>
          </cell>
          <cell r="AD779" t="str">
            <v>A INTL TRX (MS)</v>
          </cell>
          <cell r="AE779" t="str">
            <v>12-02-98</v>
          </cell>
        </row>
        <row r="780">
          <cell r="AC780" t="str">
            <v>105131-401</v>
          </cell>
          <cell r="AD780" t="str">
            <v>A MX TRX PLUS (WS)</v>
          </cell>
          <cell r="AE780" t="str">
            <v>12-02-98</v>
          </cell>
        </row>
        <row r="781">
          <cell r="AC781" t="str">
            <v>105147-431</v>
          </cell>
          <cell r="AD781" t="str">
            <v>A CONVERGE TRX (WS)</v>
          </cell>
          <cell r="AE781" t="str">
            <v>12-02-98</v>
          </cell>
        </row>
        <row r="782">
          <cell r="AC782" t="str">
            <v>105149-151</v>
          </cell>
          <cell r="AD782" t="str">
            <v>A CONVERGE TRX (WS)</v>
          </cell>
          <cell r="AE782" t="str">
            <v>12-02-98</v>
          </cell>
        </row>
        <row r="783">
          <cell r="AC783" t="str">
            <v>105149-431</v>
          </cell>
          <cell r="AD783" t="str">
            <v>A CONVERGE TRX (WS)</v>
          </cell>
          <cell r="AE783" t="str">
            <v>12-02-98</v>
          </cell>
        </row>
        <row r="784">
          <cell r="AC784" t="str">
            <v>105215-431</v>
          </cell>
          <cell r="AD784" t="str">
            <v>A MAX DELUXE (WS)</v>
          </cell>
          <cell r="AE784" t="str">
            <v>12-02-98</v>
          </cell>
        </row>
        <row r="785">
          <cell r="AC785" t="str">
            <v>173116-001</v>
          </cell>
          <cell r="AD785" t="str">
            <v>A METAL MAX (MS)</v>
          </cell>
          <cell r="AE785" t="str">
            <v>12-02-98</v>
          </cell>
        </row>
        <row r="786">
          <cell r="AC786" t="str">
            <v>173199-461</v>
          </cell>
          <cell r="AD786" t="str">
            <v>A METAL MAX NB (MS)</v>
          </cell>
          <cell r="AE786" t="str">
            <v>12-02-98</v>
          </cell>
        </row>
        <row r="787">
          <cell r="AC787" t="str">
            <v>604116-442</v>
          </cell>
          <cell r="AD787" t="str">
            <v>A MX 95 (MS)</v>
          </cell>
          <cell r="AE787" t="str">
            <v>12-02-98</v>
          </cell>
        </row>
        <row r="788">
          <cell r="AC788" t="str">
            <v>604131-111</v>
          </cell>
          <cell r="AD788" t="str">
            <v>A INTL TRX (MS)</v>
          </cell>
          <cell r="AE788" t="str">
            <v>12-02-98</v>
          </cell>
        </row>
        <row r="789">
          <cell r="AC789" t="str">
            <v>604131-171</v>
          </cell>
          <cell r="AD789" t="str">
            <v>A INTL TRX (MS)</v>
          </cell>
          <cell r="AE789" t="str">
            <v>12-02-98</v>
          </cell>
        </row>
        <row r="790">
          <cell r="AC790" t="str">
            <v>604131-441</v>
          </cell>
          <cell r="AD790" t="str">
            <v>A INTL TRX (MS)</v>
          </cell>
          <cell r="AE790" t="str">
            <v>12-02-98</v>
          </cell>
        </row>
        <row r="791">
          <cell r="AC791" t="str">
            <v>605097-181</v>
          </cell>
          <cell r="AD791" t="str">
            <v>A MX 95 (MS)</v>
          </cell>
          <cell r="AE791" t="str">
            <v>12-02-98</v>
          </cell>
        </row>
        <row r="792">
          <cell r="AC792" t="str">
            <v>605097-481</v>
          </cell>
          <cell r="AD792" t="str">
            <v>A MX 95 (WS)</v>
          </cell>
          <cell r="AE792" t="str">
            <v>12-02-98</v>
          </cell>
        </row>
        <row r="793">
          <cell r="AC793" t="str">
            <v>605098-151</v>
          </cell>
          <cell r="AD793" t="str">
            <v>A MX 95 LEA (WS)</v>
          </cell>
          <cell r="AE793" t="str">
            <v>12-02-98</v>
          </cell>
        </row>
        <row r="794">
          <cell r="AC794" t="str">
            <v>605110-071</v>
          </cell>
          <cell r="AD794" t="str">
            <v>A CONVERGE TRX (WS)</v>
          </cell>
          <cell r="AE794" t="str">
            <v>12-02-98</v>
          </cell>
        </row>
        <row r="795">
          <cell r="AC795" t="str">
            <v>655014-001</v>
          </cell>
          <cell r="AD795" t="str">
            <v>A MX TWIND 2 LEA BG</v>
          </cell>
          <cell r="AE795" t="str">
            <v>12-02-98</v>
          </cell>
        </row>
        <row r="796">
          <cell r="AC796" t="str">
            <v>655034-002</v>
          </cell>
          <cell r="AD796" t="str">
            <v>A MX TWIND 4 BG</v>
          </cell>
          <cell r="AE796" t="str">
            <v>12-02-98</v>
          </cell>
        </row>
        <row r="797">
          <cell r="AC797" t="str">
            <v>854017-132</v>
          </cell>
          <cell r="AD797" t="str">
            <v>A MX TWIND 4 BG</v>
          </cell>
          <cell r="AE797" t="str">
            <v>12-02-98</v>
          </cell>
        </row>
        <row r="798">
          <cell r="AC798" t="str">
            <v>855047-101</v>
          </cell>
          <cell r="AD798" t="str">
            <v>A MX TWIND 4 LEA BG</v>
          </cell>
          <cell r="AE798" t="str">
            <v>12-02-99</v>
          </cell>
        </row>
        <row r="799">
          <cell r="AC799" t="str">
            <v>855060-172</v>
          </cell>
          <cell r="AD799" t="str">
            <v>A INTL MAX  BG</v>
          </cell>
          <cell r="AE799" t="str">
            <v>12-02-99</v>
          </cell>
        </row>
        <row r="800">
          <cell r="AC800" t="str">
            <v>855060-461</v>
          </cell>
          <cell r="AD800" t="str">
            <v>A INTL MAX  BG</v>
          </cell>
          <cell r="AE800" t="str">
            <v>12-02-99</v>
          </cell>
        </row>
        <row r="801">
          <cell r="AC801" t="str">
            <v>862026-172</v>
          </cell>
          <cell r="AD801" t="str">
            <v>KID INTL TRX BG</v>
          </cell>
          <cell r="AE801" t="str">
            <v>12-02-99</v>
          </cell>
        </row>
        <row r="802">
          <cell r="AC802" t="str">
            <v>102131-101</v>
          </cell>
          <cell r="AD802" t="str">
            <v>A TURBULENCE LEA (MS)</v>
          </cell>
          <cell r="AE802" t="str">
            <v>12-02-99</v>
          </cell>
          <cell r="AF802" t="str">
            <v>WHT / METALIC SILVER-APOLLO</v>
          </cell>
        </row>
        <row r="803">
          <cell r="AC803" t="str">
            <v>104211-001</v>
          </cell>
          <cell r="AD803" t="str">
            <v>A MX TWIND 4 NB (MS)</v>
          </cell>
          <cell r="AE803" t="str">
            <v>06-08-00</v>
          </cell>
          <cell r="AF803" t="str">
            <v>MED GREY / BLACK-COMET RED</v>
          </cell>
        </row>
        <row r="804">
          <cell r="AC804" t="str">
            <v>655075-001</v>
          </cell>
          <cell r="AD804" t="str">
            <v>A MX TWIND 4+ BG</v>
          </cell>
          <cell r="AE804" t="str">
            <v>08-10-00</v>
          </cell>
          <cell r="AF804" t="str">
            <v>MSILVER / BLK-REFLECTIVESILVER</v>
          </cell>
        </row>
        <row r="805">
          <cell r="AC805" t="str">
            <v>104213-411</v>
          </cell>
          <cell r="AD805" t="str">
            <v>A INTL TRX 2 NB (MS)</v>
          </cell>
          <cell r="AE805" t="str">
            <v>12-02-99</v>
          </cell>
        </row>
        <row r="806">
          <cell r="AC806" t="str">
            <v>605144-441</v>
          </cell>
          <cell r="AD806" t="str">
            <v>A CONVERGE TRX 2 (WS)</v>
          </cell>
          <cell r="AE806" t="str">
            <v>12-02-99</v>
          </cell>
        </row>
        <row r="807">
          <cell r="AC807" t="str">
            <v>104182-101</v>
          </cell>
          <cell r="AD807" t="str">
            <v>A INTL TRX 2 NB (MS)</v>
          </cell>
          <cell r="AE807" t="str">
            <v>12-02-99</v>
          </cell>
        </row>
        <row r="808">
          <cell r="AC808" t="str">
            <v>104182-221</v>
          </cell>
          <cell r="AD808" t="str">
            <v>A INTL TRX 2 NB (MS)</v>
          </cell>
          <cell r="AE808" t="str">
            <v>12-02-99</v>
          </cell>
        </row>
        <row r="809">
          <cell r="AC809" t="str">
            <v>104189-001</v>
          </cell>
          <cell r="AD809" t="str">
            <v>A TUNED MAX (MS)</v>
          </cell>
          <cell r="AE809" t="str">
            <v>12-02-99</v>
          </cell>
        </row>
        <row r="810">
          <cell r="AC810" t="str">
            <v>104189-002</v>
          </cell>
          <cell r="AD810" t="str">
            <v>A TUNED MAX (MS)</v>
          </cell>
          <cell r="AE810" t="str">
            <v>12-02-99</v>
          </cell>
        </row>
        <row r="811">
          <cell r="AC811" t="str">
            <v>104189-081</v>
          </cell>
          <cell r="AD811" t="str">
            <v>A TUNED MAX (MS)</v>
          </cell>
          <cell r="AE811" t="str">
            <v>12-02-99</v>
          </cell>
        </row>
        <row r="812">
          <cell r="AC812" t="str">
            <v>104189-101</v>
          </cell>
          <cell r="AD812" t="str">
            <v>A TUNED MAX (MS)</v>
          </cell>
          <cell r="AE812" t="str">
            <v>12-02-99</v>
          </cell>
        </row>
        <row r="813">
          <cell r="AC813" t="str">
            <v>104190-042</v>
          </cell>
          <cell r="AD813" t="str">
            <v>A INTL TRX 2 (MS)</v>
          </cell>
          <cell r="AE813" t="str">
            <v>12-02-99</v>
          </cell>
        </row>
        <row r="814">
          <cell r="AC814" t="str">
            <v>104192-161</v>
          </cell>
          <cell r="AD814" t="str">
            <v>A MX TRX 2 (MS)</v>
          </cell>
          <cell r="AE814" t="str">
            <v>12-02-99</v>
          </cell>
        </row>
        <row r="815">
          <cell r="AC815" t="str">
            <v>104192-181</v>
          </cell>
          <cell r="AD815" t="str">
            <v>A INTL TRX 2 (MS)</v>
          </cell>
          <cell r="AE815" t="str">
            <v>12-02-99</v>
          </cell>
        </row>
        <row r="816">
          <cell r="AC816" t="str">
            <v>105147-471</v>
          </cell>
          <cell r="AD816" t="str">
            <v>A CONVERGE TRX (WS)</v>
          </cell>
          <cell r="AE816" t="str">
            <v>12-02-99</v>
          </cell>
        </row>
        <row r="817">
          <cell r="AC817" t="str">
            <v>105158-101</v>
          </cell>
          <cell r="AD817" t="str">
            <v>A MX TWIND 4 (WS)</v>
          </cell>
          <cell r="AE817" t="str">
            <v>12-02-99</v>
          </cell>
        </row>
        <row r="818">
          <cell r="AC818" t="str">
            <v>105170-431</v>
          </cell>
          <cell r="AD818" t="str">
            <v>A CONVERGE TRX+ (WS)</v>
          </cell>
          <cell r="AE818" t="str">
            <v>12-02-99</v>
          </cell>
        </row>
        <row r="819">
          <cell r="AC819" t="str">
            <v>604077-211</v>
          </cell>
          <cell r="AD819" t="str">
            <v>A MX TRX 3 (MS)</v>
          </cell>
          <cell r="AE819" t="str">
            <v>12-02-99</v>
          </cell>
        </row>
        <row r="820">
          <cell r="AC820" t="str">
            <v>604077-222</v>
          </cell>
          <cell r="AD820" t="str">
            <v>A MX TRX 3 (MS)</v>
          </cell>
          <cell r="AE820" t="str">
            <v>12-02-99</v>
          </cell>
        </row>
        <row r="821">
          <cell r="AC821" t="str">
            <v>604088-141</v>
          </cell>
          <cell r="AD821" t="str">
            <v>A COOL 3 (MS)</v>
          </cell>
          <cell r="AE821" t="str">
            <v>12-02-99</v>
          </cell>
        </row>
        <row r="822">
          <cell r="AC822" t="str">
            <v>604109-011</v>
          </cell>
          <cell r="AD822" t="str">
            <v>A MX 95 LEA (MS)</v>
          </cell>
          <cell r="AE822" t="str">
            <v>08-10-00</v>
          </cell>
          <cell r="AF822" t="str">
            <v>BLK / WHT</v>
          </cell>
        </row>
        <row r="823">
          <cell r="AC823" t="str">
            <v>604140-111</v>
          </cell>
          <cell r="AD823" t="str">
            <v>A MX TWIND 4 (MS)</v>
          </cell>
          <cell r="AE823" t="str">
            <v>12-02-99</v>
          </cell>
        </row>
        <row r="824">
          <cell r="AC824" t="str">
            <v>855009-182</v>
          </cell>
          <cell r="AD824" t="str">
            <v>A MX TWIND 4 BG</v>
          </cell>
          <cell r="AE824" t="str">
            <v>12-02-99</v>
          </cell>
        </row>
        <row r="825">
          <cell r="AC825" t="str">
            <v>855013-011</v>
          </cell>
          <cell r="AD825" t="str">
            <v>A MX TWIND 2+ BG</v>
          </cell>
          <cell r="AE825" t="str">
            <v>12-02-99</v>
          </cell>
        </row>
        <row r="826">
          <cell r="AC826" t="str">
            <v>104085-281</v>
          </cell>
          <cell r="AD826" t="str">
            <v>A TERRA ALBIS (MS)</v>
          </cell>
          <cell r="AE826" t="str">
            <v>12-02-99</v>
          </cell>
        </row>
        <row r="827">
          <cell r="AC827" t="str">
            <v>855033-011</v>
          </cell>
          <cell r="AD827" t="str">
            <v>A SIROCCO+ BG</v>
          </cell>
        </row>
        <row r="828">
          <cell r="AC828" t="str">
            <v>103096-181</v>
          </cell>
          <cell r="AD828" t="str">
            <v>A MANTRA (WS)</v>
          </cell>
        </row>
        <row r="829">
          <cell r="AC829" t="str">
            <v>103096-431</v>
          </cell>
          <cell r="AD829" t="str">
            <v>A MANTRA (WS)</v>
          </cell>
        </row>
        <row r="830">
          <cell r="AC830" t="str">
            <v>103103-181</v>
          </cell>
          <cell r="AD830" t="str">
            <v>A MANTRA (WS)</v>
          </cell>
        </row>
        <row r="831">
          <cell r="AC831" t="str">
            <v>103172-431</v>
          </cell>
          <cell r="AD831" t="str">
            <v>A ALIGN (MS)</v>
          </cell>
        </row>
        <row r="832">
          <cell r="AC832" t="str">
            <v>103175-171</v>
          </cell>
          <cell r="AD832" t="str">
            <v>A ALIGN (WS)</v>
          </cell>
        </row>
        <row r="833">
          <cell r="AC833" t="str">
            <v>104062-001</v>
          </cell>
          <cell r="AD833" t="str">
            <v>A MX TRX 2 (MS)</v>
          </cell>
        </row>
        <row r="834">
          <cell r="AC834" t="str">
            <v>104062-002</v>
          </cell>
          <cell r="AD834" t="str">
            <v>A MX TRX 2 (MS)</v>
          </cell>
        </row>
        <row r="835">
          <cell r="AC835" t="str">
            <v>104062-003</v>
          </cell>
          <cell r="AD835" t="str">
            <v>A MX TRX 2 (MS)</v>
          </cell>
          <cell r="AE835" t="str">
            <v>01-07-09</v>
          </cell>
          <cell r="AF835" t="str">
            <v>BLACK/MET ZINC</v>
          </cell>
        </row>
        <row r="836">
          <cell r="AC836" t="str">
            <v>104062-164</v>
          </cell>
          <cell r="AD836" t="str">
            <v>A MX TRX 2 (MS)</v>
          </cell>
        </row>
        <row r="837">
          <cell r="AC837" t="str">
            <v>104062-201</v>
          </cell>
          <cell r="AD837" t="str">
            <v>A MX TRX 2 (MS)</v>
          </cell>
        </row>
        <row r="838">
          <cell r="AC838" t="str">
            <v>104062-402</v>
          </cell>
          <cell r="AD838" t="str">
            <v>A MX TRX 2 (MS)</v>
          </cell>
        </row>
        <row r="839">
          <cell r="AC839" t="str">
            <v>104078-061</v>
          </cell>
          <cell r="AD839" t="str">
            <v>A MX LIGHT 3 (MS)</v>
          </cell>
        </row>
        <row r="840">
          <cell r="AC840" t="str">
            <v>104078-141</v>
          </cell>
          <cell r="AD840" t="str">
            <v>A MX LIGHT 3 (MS)</v>
          </cell>
        </row>
        <row r="841">
          <cell r="AC841" t="str">
            <v>104095-061</v>
          </cell>
          <cell r="AD841" t="str">
            <v>A MX TWIND 2 (MS)</v>
          </cell>
        </row>
        <row r="842">
          <cell r="AC842" t="str">
            <v>104095-161</v>
          </cell>
          <cell r="AD842" t="str">
            <v>A MX TWIND 2 (MS)</v>
          </cell>
        </row>
        <row r="843">
          <cell r="AC843" t="str">
            <v>104095-171</v>
          </cell>
          <cell r="AD843" t="str">
            <v>A MX TWIND 2 (MS)</v>
          </cell>
        </row>
        <row r="844">
          <cell r="AC844" t="str">
            <v>104095-172</v>
          </cell>
          <cell r="AD844" t="str">
            <v>A MX TWIND 2 (MS)</v>
          </cell>
        </row>
        <row r="845">
          <cell r="AC845" t="str">
            <v>104095-431</v>
          </cell>
          <cell r="AD845" t="str">
            <v>A MX TWIND 2 (MS)</v>
          </cell>
        </row>
        <row r="846">
          <cell r="AC846" t="str">
            <v>104095-441</v>
          </cell>
          <cell r="AD846" t="str">
            <v>A MX TWIND 2 (MS)</v>
          </cell>
        </row>
        <row r="847">
          <cell r="AC847" t="str">
            <v>104103-181</v>
          </cell>
          <cell r="AD847" t="str">
            <v>A MX TRX LEA (MS)</v>
          </cell>
        </row>
        <row r="848">
          <cell r="AC848" t="str">
            <v>104105-001</v>
          </cell>
          <cell r="AD848" t="str">
            <v>A MX TWIND 2 LEA (MS)</v>
          </cell>
        </row>
        <row r="849">
          <cell r="AC849" t="str">
            <v>104105-141</v>
          </cell>
          <cell r="AD849" t="str">
            <v>A MX TWIND 2 LEA (MS)</v>
          </cell>
        </row>
        <row r="850">
          <cell r="AC850" t="str">
            <v>104105-142</v>
          </cell>
          <cell r="AD850" t="str">
            <v>A MX TWIND 2 LEA (MS)</v>
          </cell>
        </row>
        <row r="851">
          <cell r="AC851" t="str">
            <v>104105-161</v>
          </cell>
          <cell r="AD851" t="str">
            <v>A MX TWIND 2 LEA (MS)</v>
          </cell>
        </row>
        <row r="852">
          <cell r="AC852" t="str">
            <v>104105-481</v>
          </cell>
          <cell r="AD852" t="str">
            <v>A MX TWIND 2 LEA (MS)</v>
          </cell>
        </row>
        <row r="853">
          <cell r="AC853" t="str">
            <v>104109-002</v>
          </cell>
          <cell r="AD853" t="str">
            <v>A MX TRX 4 (MS)</v>
          </cell>
        </row>
        <row r="854">
          <cell r="AC854" t="str">
            <v>104109-101</v>
          </cell>
          <cell r="AD854" t="str">
            <v>A MX TRX 4 (MS)</v>
          </cell>
        </row>
        <row r="855">
          <cell r="AC855" t="str">
            <v>104109-102</v>
          </cell>
          <cell r="AD855" t="str">
            <v>A MX TRX 4 (MS)</v>
          </cell>
        </row>
        <row r="856">
          <cell r="AC856" t="str">
            <v>104109-141</v>
          </cell>
          <cell r="AD856" t="str">
            <v>A MX TRX 4 (MS)</v>
          </cell>
        </row>
        <row r="857">
          <cell r="AC857" t="str">
            <v>104109-142</v>
          </cell>
          <cell r="AD857" t="str">
            <v>A MX TRX 4 (MS)</v>
          </cell>
        </row>
        <row r="858">
          <cell r="AC858" t="str">
            <v>104109-143</v>
          </cell>
          <cell r="AD858" t="str">
            <v>A MX TRX 4 (MS)</v>
          </cell>
        </row>
        <row r="859">
          <cell r="AC859" t="str">
            <v>104109-161</v>
          </cell>
          <cell r="AD859" t="str">
            <v>A MX TRX 4 (MS)</v>
          </cell>
        </row>
        <row r="860">
          <cell r="AC860" t="str">
            <v>104109-171</v>
          </cell>
          <cell r="AD860" t="str">
            <v>A MX TRX 4 (MS)</v>
          </cell>
        </row>
        <row r="861">
          <cell r="AC861" t="str">
            <v>104109-181</v>
          </cell>
          <cell r="AD861" t="str">
            <v>A MX TRX 4 (MS)</v>
          </cell>
        </row>
        <row r="862">
          <cell r="AC862" t="str">
            <v>104110-002</v>
          </cell>
          <cell r="AD862" t="str">
            <v>A MX TRX 4 (MS)</v>
          </cell>
        </row>
        <row r="863">
          <cell r="AC863" t="str">
            <v>104110-071</v>
          </cell>
          <cell r="AD863" t="str">
            <v>A MX TRX 4 (MS)</v>
          </cell>
        </row>
        <row r="864">
          <cell r="AC864" t="str">
            <v>104110-101</v>
          </cell>
          <cell r="AD864" t="str">
            <v>A MX TRX 4 (MS)</v>
          </cell>
        </row>
        <row r="865">
          <cell r="AC865" t="str">
            <v>104110-103</v>
          </cell>
          <cell r="AD865" t="str">
            <v>A MX TRX 4 (MS)</v>
          </cell>
        </row>
        <row r="866">
          <cell r="AC866" t="str">
            <v>104110-142</v>
          </cell>
          <cell r="AD866" t="str">
            <v>A MX TRX 4 (MS)</v>
          </cell>
        </row>
        <row r="867">
          <cell r="AC867" t="str">
            <v>104110-171</v>
          </cell>
          <cell r="AD867" t="str">
            <v>A MX TRX 4 (MS)</v>
          </cell>
        </row>
        <row r="868">
          <cell r="AC868" t="str">
            <v>104110-181</v>
          </cell>
          <cell r="AD868" t="str">
            <v>A MX TRX 4 (MS)</v>
          </cell>
        </row>
        <row r="869">
          <cell r="AC869" t="str">
            <v>104122-141</v>
          </cell>
          <cell r="AD869" t="str">
            <v>A MX LIGHT 4 (MS)</v>
          </cell>
        </row>
        <row r="870">
          <cell r="AC870" t="str">
            <v>104122-171</v>
          </cell>
          <cell r="AD870" t="str">
            <v>A MX LIGHT 4 (MS)</v>
          </cell>
        </row>
        <row r="871">
          <cell r="AC871" t="str">
            <v>104122-172</v>
          </cell>
          <cell r="AD871" t="str">
            <v>A MX LIGHT 4 (MS)</v>
          </cell>
        </row>
        <row r="872">
          <cell r="AC872" t="str">
            <v>104122-481</v>
          </cell>
          <cell r="AD872" t="str">
            <v>A MX LIGHT 4 (MS)</v>
          </cell>
        </row>
        <row r="873">
          <cell r="AC873" t="str">
            <v>104130-101</v>
          </cell>
          <cell r="AD873" t="str">
            <v>A MX TRX PLUS (MS)</v>
          </cell>
        </row>
        <row r="874">
          <cell r="AC874" t="str">
            <v>104130-171</v>
          </cell>
          <cell r="AD874" t="str">
            <v>A MX TRX PLUS (MS)</v>
          </cell>
        </row>
        <row r="875">
          <cell r="AC875" t="str">
            <v>104130-431</v>
          </cell>
          <cell r="AD875" t="str">
            <v>A MX TRX PLUS (MS)</v>
          </cell>
        </row>
        <row r="876">
          <cell r="AC876" t="str">
            <v>104130-442</v>
          </cell>
          <cell r="AD876" t="str">
            <v>A MX TRX PLUS (MS)</v>
          </cell>
        </row>
        <row r="877">
          <cell r="AC877" t="str">
            <v>104130-444</v>
          </cell>
          <cell r="AD877" t="str">
            <v>A MX TRX PLUS (MS)</v>
          </cell>
        </row>
        <row r="878">
          <cell r="AC878" t="str">
            <v>104130-471</v>
          </cell>
          <cell r="AD878" t="str">
            <v>A MX TRX PLUS (MS)</v>
          </cell>
        </row>
        <row r="879">
          <cell r="AC879" t="str">
            <v>104132-471</v>
          </cell>
          <cell r="AD879" t="str">
            <v>A MX TRX 4 NB (MS)</v>
          </cell>
        </row>
        <row r="880">
          <cell r="AC880" t="str">
            <v>104136-101</v>
          </cell>
          <cell r="AD880" t="str">
            <v>A MX TRX PLUS (MS)</v>
          </cell>
        </row>
        <row r="881">
          <cell r="AC881" t="str">
            <v>104193-011</v>
          </cell>
          <cell r="AD881" t="str">
            <v>A TUNED SIROCCO+ (MS)</v>
          </cell>
        </row>
        <row r="882">
          <cell r="AC882" t="str">
            <v>104193-181</v>
          </cell>
          <cell r="AD882" t="str">
            <v>A TUNED SIROCCO+ (MS)</v>
          </cell>
        </row>
        <row r="883">
          <cell r="AC883" t="str">
            <v>104193-431</v>
          </cell>
          <cell r="AD883" t="str">
            <v>A TUNED SIROCCO+ (MS)</v>
          </cell>
        </row>
        <row r="884">
          <cell r="AC884" t="str">
            <v>104198-041</v>
          </cell>
          <cell r="AD884" t="str">
            <v>A INTL TRX 2 (MS)</v>
          </cell>
        </row>
        <row r="885">
          <cell r="AC885" t="str">
            <v>104210-061</v>
          </cell>
          <cell r="AD885" t="str">
            <v>A INTL TRX 2 LEA (MS)</v>
          </cell>
        </row>
        <row r="886">
          <cell r="AC886" t="str">
            <v>104211-041</v>
          </cell>
          <cell r="AD886" t="str">
            <v>A MX TWIND 4 NB (MS)</v>
          </cell>
        </row>
        <row r="887">
          <cell r="AC887" t="str">
            <v>104212-001</v>
          </cell>
          <cell r="AD887" t="str">
            <v>A MX 97 (MS)</v>
          </cell>
        </row>
        <row r="888">
          <cell r="AC888" t="str">
            <v>104213-001</v>
          </cell>
          <cell r="AD888" t="str">
            <v>A INTL TRX 2 NB (MS)</v>
          </cell>
        </row>
        <row r="889">
          <cell r="AC889" t="str">
            <v>104220-481</v>
          </cell>
          <cell r="AD889" t="str">
            <v>A MAX DELUXE (MS)</v>
          </cell>
        </row>
        <row r="890">
          <cell r="AC890" t="str">
            <v>105059-161</v>
          </cell>
          <cell r="AD890" t="str">
            <v>A MX TRX (WS)</v>
          </cell>
        </row>
        <row r="891">
          <cell r="AC891" t="str">
            <v>105063-201</v>
          </cell>
          <cell r="AD891" t="str">
            <v>A CONVERGE TRX NB (WS)</v>
          </cell>
        </row>
        <row r="892">
          <cell r="AC892" t="str">
            <v>105072-161</v>
          </cell>
          <cell r="AD892" t="str">
            <v>A MX LIGHT 3 (WS)</v>
          </cell>
        </row>
        <row r="893">
          <cell r="AC893" t="str">
            <v>105093-041</v>
          </cell>
          <cell r="AD893" t="str">
            <v>A MX TWIND 2 (WS)</v>
          </cell>
        </row>
        <row r="894">
          <cell r="AC894" t="str">
            <v>105093-133</v>
          </cell>
          <cell r="AD894" t="str">
            <v>A MX TWIND 2 (WS)</v>
          </cell>
        </row>
        <row r="895">
          <cell r="AC895" t="str">
            <v>105093-143</v>
          </cell>
          <cell r="AD895" t="str">
            <v>A MX TWIND 2 (WS)</v>
          </cell>
        </row>
        <row r="896">
          <cell r="AC896" t="str">
            <v>105093-161</v>
          </cell>
          <cell r="AD896" t="str">
            <v>A MX TWIND 2 (WS)</v>
          </cell>
        </row>
        <row r="897">
          <cell r="AC897" t="str">
            <v>105093-171</v>
          </cell>
          <cell r="AD897" t="str">
            <v>A MX TWIND 2 (WS)</v>
          </cell>
        </row>
        <row r="898">
          <cell r="AC898" t="str">
            <v>105093-172</v>
          </cell>
          <cell r="AD898" t="str">
            <v>A MX TWIND 2 (WS)</v>
          </cell>
        </row>
        <row r="899">
          <cell r="AC899" t="str">
            <v>105093-431</v>
          </cell>
          <cell r="AD899" t="str">
            <v>A MX TWIND 2 (WS)</v>
          </cell>
        </row>
        <row r="900">
          <cell r="AC900" t="str">
            <v>105093-441</v>
          </cell>
          <cell r="AD900" t="str">
            <v>A MX TWIND 2 (WS)</v>
          </cell>
        </row>
        <row r="901">
          <cell r="AC901" t="str">
            <v>105094-042</v>
          </cell>
          <cell r="AD901" t="str">
            <v>A TOTAL MAX 3 (WS)</v>
          </cell>
          <cell r="AE901" t="str">
            <v>01-09-11</v>
          </cell>
          <cell r="AF901" t="str">
            <v>MET SLV/CHLORINE BL-MDNT NVY</v>
          </cell>
        </row>
        <row r="902">
          <cell r="AC902" t="str">
            <v>105101-001</v>
          </cell>
          <cell r="AD902" t="str">
            <v>A MX TRX (WS)</v>
          </cell>
        </row>
        <row r="903">
          <cell r="AC903" t="str">
            <v>105105-102</v>
          </cell>
          <cell r="AD903" t="str">
            <v>A MX TRX 4 (WS)</v>
          </cell>
        </row>
        <row r="904">
          <cell r="AC904" t="str">
            <v>105105-103</v>
          </cell>
          <cell r="AD904" t="str">
            <v>A MX TRX 4 (WS)</v>
          </cell>
        </row>
        <row r="905">
          <cell r="AC905" t="str">
            <v>105105-141</v>
          </cell>
          <cell r="AD905" t="str">
            <v>A MX TRX 4 (WS)</v>
          </cell>
        </row>
        <row r="906">
          <cell r="AC906" t="str">
            <v>105105-142</v>
          </cell>
          <cell r="AD906" t="str">
            <v>A MX TRX 4 (WS)</v>
          </cell>
        </row>
        <row r="907">
          <cell r="AC907" t="str">
            <v>105105-142</v>
          </cell>
          <cell r="AD907" t="str">
            <v>A MX TRX 4 (WS)</v>
          </cell>
        </row>
        <row r="908">
          <cell r="AC908" t="str">
            <v>105105-161</v>
          </cell>
          <cell r="AD908" t="str">
            <v>A MX TRX 4 (WS)</v>
          </cell>
        </row>
        <row r="909">
          <cell r="AC909" t="str">
            <v>105105-411</v>
          </cell>
          <cell r="AD909" t="str">
            <v>A MX TRX 4 (WS)</v>
          </cell>
        </row>
        <row r="910">
          <cell r="AC910" t="str">
            <v>105105-471</v>
          </cell>
          <cell r="AD910" t="str">
            <v>A MX TRX 4 (WS)</v>
          </cell>
        </row>
        <row r="911">
          <cell r="AC911" t="str">
            <v>105114-102</v>
          </cell>
          <cell r="AD911" t="str">
            <v>A MX TRX 4 (WS)</v>
          </cell>
        </row>
        <row r="912">
          <cell r="AC912" t="str">
            <v>105114-103</v>
          </cell>
          <cell r="AD912" t="str">
            <v>A MX TRX 4 (WS)</v>
          </cell>
        </row>
        <row r="913">
          <cell r="AC913" t="str">
            <v>105114-111</v>
          </cell>
          <cell r="AD913" t="str">
            <v>A MX TRX 4 (WS)</v>
          </cell>
        </row>
        <row r="914">
          <cell r="AC914" t="str">
            <v>105114-141</v>
          </cell>
          <cell r="AD914" t="str">
            <v>A MX TRX 4 (WS)</v>
          </cell>
        </row>
        <row r="915">
          <cell r="AC915" t="str">
            <v>105114-471</v>
          </cell>
          <cell r="AD915" t="str">
            <v>A MX TRX 4 (WS)</v>
          </cell>
        </row>
        <row r="916">
          <cell r="AC916" t="str">
            <v>105120-161</v>
          </cell>
          <cell r="AD916" t="str">
            <v>A MX LIGHT 4 (WS)</v>
          </cell>
        </row>
        <row r="917">
          <cell r="AC917" t="str">
            <v>105120-171</v>
          </cell>
          <cell r="AD917" t="str">
            <v>A MX LIGHT 4 (WS)</v>
          </cell>
        </row>
        <row r="918">
          <cell r="AC918" t="str">
            <v>105120-431</v>
          </cell>
          <cell r="AD918" t="str">
            <v>A MX LIGHT 4 (WS)</v>
          </cell>
        </row>
        <row r="919">
          <cell r="AC919" t="str">
            <v>105126-141</v>
          </cell>
          <cell r="AD919" t="str">
            <v>A MX TRX PLUS (WS)</v>
          </cell>
        </row>
        <row r="920">
          <cell r="AC920" t="str">
            <v>105126-161</v>
          </cell>
          <cell r="AD920" t="str">
            <v>A MX TRX PLUS (WS)</v>
          </cell>
        </row>
        <row r="921">
          <cell r="AC921" t="str">
            <v>105126-411</v>
          </cell>
          <cell r="AD921" t="str">
            <v>A MX TRX PLUS (WS)</v>
          </cell>
        </row>
        <row r="922">
          <cell r="AC922" t="str">
            <v>105126-412</v>
          </cell>
          <cell r="AD922" t="str">
            <v>A MX TRX PLUS (WS)</v>
          </cell>
        </row>
        <row r="923">
          <cell r="AC923" t="str">
            <v>105126-413</v>
          </cell>
          <cell r="AD923" t="str">
            <v>A MX TRX PLUS (WS)</v>
          </cell>
        </row>
        <row r="924">
          <cell r="AC924" t="str">
            <v>105181-141</v>
          </cell>
          <cell r="AD924" t="str">
            <v>A CONVERGE TRX 2 (WS)</v>
          </cell>
        </row>
        <row r="925">
          <cell r="AC925" t="str">
            <v>105183-001</v>
          </cell>
          <cell r="AD925" t="str">
            <v>A STORMY SKYLON (WS)</v>
          </cell>
        </row>
        <row r="926">
          <cell r="AC926" t="str">
            <v>105184-001</v>
          </cell>
          <cell r="AD926" t="str">
            <v>A CONVERGE TRX 2 (WS)</v>
          </cell>
        </row>
        <row r="927">
          <cell r="AC927" t="str">
            <v>105185-081</v>
          </cell>
          <cell r="AD927" t="str">
            <v>A TUNED SOVEREIGN+ (WS)</v>
          </cell>
        </row>
        <row r="928">
          <cell r="AC928" t="str">
            <v>105185-131</v>
          </cell>
          <cell r="AD928" t="str">
            <v>A TUNED SOVEREIGN+ (WS)</v>
          </cell>
        </row>
        <row r="929">
          <cell r="AC929" t="str">
            <v>105185-471</v>
          </cell>
          <cell r="AD929" t="str">
            <v>A TUNED SOVEREIGN+ (WS)</v>
          </cell>
        </row>
        <row r="930">
          <cell r="AC930" t="str">
            <v>105189-041</v>
          </cell>
          <cell r="AD930" t="str">
            <v>A CONVERGE TRX NB (WS)</v>
          </cell>
        </row>
        <row r="931">
          <cell r="AC931" t="str">
            <v>105194-402</v>
          </cell>
          <cell r="AD931" t="str">
            <v>A TOTAL MAX 3 (WS)</v>
          </cell>
        </row>
        <row r="932">
          <cell r="AC932" t="str">
            <v>105199-141</v>
          </cell>
          <cell r="AD932" t="str">
            <v>A MX 97 (WS)</v>
          </cell>
        </row>
        <row r="933">
          <cell r="AC933" t="str">
            <v>173116-141</v>
          </cell>
          <cell r="AD933" t="str">
            <v>A METAL MAX (MS)</v>
          </cell>
        </row>
        <row r="934">
          <cell r="AC934" t="str">
            <v>173116-401</v>
          </cell>
          <cell r="AD934" t="str">
            <v>A METAL MAX (MS)</v>
          </cell>
        </row>
        <row r="935">
          <cell r="AC935" t="str">
            <v>173148-102</v>
          </cell>
          <cell r="AD935" t="str">
            <v>A EDGE MAX (MS)</v>
          </cell>
        </row>
        <row r="936">
          <cell r="AC936" t="str">
            <v>173155-001</v>
          </cell>
          <cell r="AD936" t="str">
            <v>A METAL MAX 2 (MS)</v>
          </cell>
        </row>
        <row r="937">
          <cell r="AC937" t="str">
            <v>173155-001</v>
          </cell>
          <cell r="AD937" t="str">
            <v>A METAL MAX 2 (MS)</v>
          </cell>
        </row>
        <row r="938">
          <cell r="AC938" t="str">
            <v>174125-161</v>
          </cell>
          <cell r="AD938" t="str">
            <v>A METAL MAX (WS)</v>
          </cell>
        </row>
        <row r="939">
          <cell r="AC939" t="str">
            <v>174166-181</v>
          </cell>
          <cell r="AD939" t="str">
            <v>A METAL MAX 2 (WS)</v>
          </cell>
        </row>
        <row r="940">
          <cell r="AC940" t="str">
            <v>604085-141</v>
          </cell>
          <cell r="AD940" t="str">
            <v>A MX 95 LEA (MS)</v>
          </cell>
        </row>
        <row r="941">
          <cell r="AC941" t="str">
            <v>604116-011</v>
          </cell>
          <cell r="AD941" t="str">
            <v>A MX 95 (MS)</v>
          </cell>
        </row>
        <row r="942">
          <cell r="AC942" t="str">
            <v>604116-042</v>
          </cell>
          <cell r="AD942" t="str">
            <v>A MX 95 (MS)</v>
          </cell>
        </row>
        <row r="943">
          <cell r="AC943" t="str">
            <v>604157-001</v>
          </cell>
          <cell r="AD943" t="str">
            <v>A TUNED MAX (MS)</v>
          </cell>
        </row>
        <row r="944">
          <cell r="AC944" t="str">
            <v>604157-101</v>
          </cell>
          <cell r="AD944" t="str">
            <v>A TUNED MAX LEA (MS)</v>
          </cell>
        </row>
        <row r="945">
          <cell r="AC945" t="str">
            <v>604158-011</v>
          </cell>
          <cell r="AD945" t="str">
            <v>A INTL TRX+ LEA (MS)</v>
          </cell>
        </row>
        <row r="946">
          <cell r="AC946" t="str">
            <v>604162-002</v>
          </cell>
          <cell r="AD946" t="str">
            <v>A TUNED SIROCCO (MS)</v>
          </cell>
        </row>
        <row r="947">
          <cell r="AC947" t="str">
            <v>604162-041</v>
          </cell>
          <cell r="AD947" t="str">
            <v>A TUNED SIROCCO (MS)</v>
          </cell>
        </row>
        <row r="948">
          <cell r="AC948" t="str">
            <v>604170-011</v>
          </cell>
          <cell r="AD948" t="str">
            <v>A INTL TRX 2 (MS)</v>
          </cell>
        </row>
        <row r="949">
          <cell r="AC949" t="str">
            <v>604170-041</v>
          </cell>
          <cell r="AD949" t="str">
            <v>A INTL TRX 2 LEA (MS)</v>
          </cell>
        </row>
        <row r="950">
          <cell r="AC950" t="str">
            <v>604170-042</v>
          </cell>
          <cell r="AD950" t="str">
            <v>A INTL TRX 2 (MS)</v>
          </cell>
        </row>
        <row r="951">
          <cell r="AC951" t="str">
            <v>604170-081</v>
          </cell>
          <cell r="AD951" t="str">
            <v>A INTL TRX 2 (MS)</v>
          </cell>
        </row>
        <row r="952">
          <cell r="AC952" t="str">
            <v>604170-101</v>
          </cell>
          <cell r="AD952" t="str">
            <v>A INTL TRX 2 (MS)</v>
          </cell>
        </row>
        <row r="953">
          <cell r="AC953" t="str">
            <v>605097-061</v>
          </cell>
          <cell r="AD953" t="str">
            <v>A MX 95 (WS)</v>
          </cell>
        </row>
        <row r="954">
          <cell r="AC954" t="str">
            <v>605097-062</v>
          </cell>
          <cell r="AD954" t="str">
            <v>A MX 95 (WS)</v>
          </cell>
        </row>
        <row r="955">
          <cell r="AC955" t="str">
            <v>655034-142</v>
          </cell>
          <cell r="AD955" t="str">
            <v>A MX TWIND 4 BG</v>
          </cell>
        </row>
        <row r="956">
          <cell r="AC956" t="str">
            <v>655034-481</v>
          </cell>
          <cell r="AD956" t="str">
            <v>A MX TWIND 4 BG</v>
          </cell>
        </row>
        <row r="957">
          <cell r="AC957" t="str">
            <v>655052-001</v>
          </cell>
          <cell r="AD957" t="str">
            <v>A MX TWIND 2+ LEA BG</v>
          </cell>
        </row>
        <row r="958">
          <cell r="AC958" t="str">
            <v>655052-071</v>
          </cell>
          <cell r="AD958" t="str">
            <v>A MX TWIND 2 LEA BG</v>
          </cell>
        </row>
        <row r="959">
          <cell r="AC959" t="str">
            <v>655052-141</v>
          </cell>
          <cell r="AD959" t="str">
            <v>A MX TWIND 2+ LEA BG</v>
          </cell>
        </row>
        <row r="960">
          <cell r="AC960" t="str">
            <v>655057-001</v>
          </cell>
          <cell r="AD960" t="str">
            <v>A TUNED SIROCCO BG</v>
          </cell>
        </row>
        <row r="961">
          <cell r="AC961" t="str">
            <v>673238-141</v>
          </cell>
          <cell r="AD961" t="str">
            <v>A BUTANE MAX (MS)</v>
          </cell>
        </row>
        <row r="962">
          <cell r="AC962" t="str">
            <v>855013-142</v>
          </cell>
          <cell r="AD962" t="str">
            <v>A MX TWIND 2+ BG</v>
          </cell>
        </row>
        <row r="963">
          <cell r="AC963" t="str">
            <v>855013-441</v>
          </cell>
          <cell r="AD963" t="str">
            <v>A MX TWIND 2+ BG</v>
          </cell>
        </row>
        <row r="964">
          <cell r="AC964" t="str">
            <v>855015-001</v>
          </cell>
          <cell r="AD964" t="str">
            <v>A TOTAL MAX BG</v>
          </cell>
        </row>
        <row r="965">
          <cell r="AC965" t="str">
            <v>855015-011</v>
          </cell>
          <cell r="AD965" t="str">
            <v>A TOTAL MAX BG</v>
          </cell>
        </row>
        <row r="966">
          <cell r="AC966" t="str">
            <v>855028-031</v>
          </cell>
          <cell r="AD966" t="str">
            <v>A TUNED SIROCCO BG</v>
          </cell>
        </row>
        <row r="967">
          <cell r="AC967" t="str">
            <v>855028-061</v>
          </cell>
          <cell r="AD967" t="str">
            <v>A TUNED SIROCCO BG</v>
          </cell>
        </row>
        <row r="968">
          <cell r="AC968" t="str">
            <v>855033-171</v>
          </cell>
          <cell r="AD968" t="str">
            <v>A SIROCCO+ BG</v>
          </cell>
        </row>
        <row r="969">
          <cell r="AC969" t="str">
            <v>855033-181</v>
          </cell>
          <cell r="AD969" t="str">
            <v>A SIROCCO+ BG</v>
          </cell>
        </row>
        <row r="970">
          <cell r="AC970" t="str">
            <v>855033-431</v>
          </cell>
          <cell r="AD970" t="str">
            <v>A SIROCCO+ BG</v>
          </cell>
        </row>
        <row r="971">
          <cell r="AC971" t="str">
            <v>855047-041</v>
          </cell>
          <cell r="AD971" t="str">
            <v>A MX TWIND 4 LEA BG</v>
          </cell>
        </row>
        <row r="972">
          <cell r="AC972" t="str">
            <v>904063-161</v>
          </cell>
          <cell r="AD972" t="str">
            <v>A MX TRX 2 (MS)</v>
          </cell>
        </row>
        <row r="973">
          <cell r="AC973" t="str">
            <v>904089-061</v>
          </cell>
          <cell r="AD973" t="str">
            <v>A MX TRX LEA (MS)</v>
          </cell>
        </row>
        <row r="974">
          <cell r="AC974" t="str">
            <v>104137-141</v>
          </cell>
          <cell r="AD974" t="str">
            <v>A MX TWIND 3 (MS)</v>
          </cell>
        </row>
        <row r="975">
          <cell r="AC975" t="str">
            <v>104137-161</v>
          </cell>
          <cell r="AD975" t="str">
            <v>A MX TWIND 3 (MS)</v>
          </cell>
        </row>
        <row r="976">
          <cell r="AC976" t="str">
            <v>104137-162</v>
          </cell>
          <cell r="AD976" t="str">
            <v>A MX TWIND 3 (MS)</v>
          </cell>
        </row>
        <row r="977">
          <cell r="AC977" t="str">
            <v>104137-411</v>
          </cell>
          <cell r="AD977" t="str">
            <v>A MX TWIND 3 (MS)</v>
          </cell>
        </row>
        <row r="978">
          <cell r="AC978" t="str">
            <v>604111-041</v>
          </cell>
          <cell r="AD978" t="str">
            <v>A MX TWIND 3 (MS)</v>
          </cell>
        </row>
        <row r="979">
          <cell r="AC979" t="str">
            <v>105132-131</v>
          </cell>
          <cell r="AD979" t="str">
            <v>A MX TWIND 3 (WS)</v>
          </cell>
        </row>
        <row r="980">
          <cell r="AC980" t="str">
            <v>105132-161</v>
          </cell>
          <cell r="AD980" t="str">
            <v>A MX TWIND 3 (WS)</v>
          </cell>
        </row>
        <row r="981">
          <cell r="AC981" t="str">
            <v>105132-181</v>
          </cell>
          <cell r="AD981" t="str">
            <v>A MX TWIND 3 (WS)</v>
          </cell>
        </row>
        <row r="982">
          <cell r="AC982" t="str">
            <v>105132-401</v>
          </cell>
          <cell r="AD982" t="str">
            <v>A MX TWIND 3 (WS)</v>
          </cell>
        </row>
        <row r="983">
          <cell r="AC983" t="str">
            <v>105132-411</v>
          </cell>
          <cell r="AD983" t="str">
            <v>A MX TWIND 3 (WS)</v>
          </cell>
        </row>
        <row r="984">
          <cell r="AC984" t="str">
            <v>605092-041</v>
          </cell>
          <cell r="AD984" t="str">
            <v>A MX TWIND 3 (WS)</v>
          </cell>
        </row>
        <row r="985">
          <cell r="AC985" t="str">
            <v>605092-101</v>
          </cell>
          <cell r="AD985" t="str">
            <v>A MX TWIND 3 (WS)</v>
          </cell>
        </row>
        <row r="986">
          <cell r="AC986" t="str">
            <v>605092-411</v>
          </cell>
          <cell r="AD986" t="str">
            <v>A MX TWIND 3 (WS)</v>
          </cell>
        </row>
        <row r="987">
          <cell r="AC987" t="str">
            <v>605092-412</v>
          </cell>
          <cell r="AD987" t="str">
            <v>A MX TWIND 3 (WS)</v>
          </cell>
        </row>
        <row r="988">
          <cell r="AC988" t="str">
            <v>178027-011</v>
          </cell>
          <cell r="AD988" t="str">
            <v>A NOMO MAX (MS)</v>
          </cell>
        </row>
        <row r="989">
          <cell r="AC989" t="str">
            <v>978008-001</v>
          </cell>
          <cell r="AD989" t="str">
            <v>A NOMO MAX (MS)</v>
          </cell>
        </row>
        <row r="990">
          <cell r="AC990" t="str">
            <v>978008-111</v>
          </cell>
          <cell r="AD990" t="str">
            <v>A NOMO MAX (MS)</v>
          </cell>
        </row>
        <row r="991">
          <cell r="AC991" t="str">
            <v>978008-411</v>
          </cell>
          <cell r="AD991" t="str">
            <v>A NOMO MAX (MS)</v>
          </cell>
        </row>
        <row r="992">
          <cell r="AC992" t="str">
            <v>178062-011</v>
          </cell>
          <cell r="AD992" t="str">
            <v>A NOMO MAX 2 (MS)</v>
          </cell>
        </row>
        <row r="993">
          <cell r="AC993" t="str">
            <v>178062-101</v>
          </cell>
          <cell r="AD993" t="str">
            <v>A NOMO MAX 2 (MS)</v>
          </cell>
        </row>
        <row r="994">
          <cell r="AC994" t="str">
            <v>178062-102</v>
          </cell>
          <cell r="AD994" t="str">
            <v>A NOMO MAX 2 (MS)</v>
          </cell>
        </row>
        <row r="995">
          <cell r="AC995" t="str">
            <v>178062-411</v>
          </cell>
          <cell r="AD995" t="str">
            <v>A NOMO MAX 2 (MS)</v>
          </cell>
        </row>
        <row r="996">
          <cell r="AC996" t="str">
            <v>178062-412</v>
          </cell>
          <cell r="AD996" t="str">
            <v>A NOMO MAX 2 (MS)</v>
          </cell>
        </row>
        <row r="997">
          <cell r="AC997" t="str">
            <v>105115-041</v>
          </cell>
          <cell r="AD997" t="str">
            <v>A PERSEUS (WS)</v>
          </cell>
        </row>
        <row r="998">
          <cell r="AC998" t="str">
            <v>105115-110</v>
          </cell>
          <cell r="AD998" t="str">
            <v>A PERSEUS (WS)</v>
          </cell>
        </row>
        <row r="999">
          <cell r="AC999" t="str">
            <v>105115-141</v>
          </cell>
          <cell r="AD999" t="str">
            <v>A PERSEUS (WS)</v>
          </cell>
        </row>
        <row r="1000">
          <cell r="AC1000" t="str">
            <v>105115-161</v>
          </cell>
          <cell r="AD1000" t="str">
            <v>A PERSEUS (WS)</v>
          </cell>
        </row>
        <row r="1001">
          <cell r="AC1001" t="str">
            <v>105115-412</v>
          </cell>
          <cell r="AD1001" t="str">
            <v>A PERSEUS (WS)</v>
          </cell>
        </row>
        <row r="1002">
          <cell r="AC1002" t="str">
            <v>105115-415</v>
          </cell>
          <cell r="AD1002" t="str">
            <v>A PERSEUS (WS)</v>
          </cell>
        </row>
        <row r="1003">
          <cell r="AC1003" t="str">
            <v>605072-411</v>
          </cell>
          <cell r="AD1003" t="str">
            <v>A PERSEUS (WS)</v>
          </cell>
        </row>
        <row r="1004">
          <cell r="AC1004" t="str">
            <v>604104-461</v>
          </cell>
          <cell r="AD1004" t="str">
            <v>A PREMIUM (MS)</v>
          </cell>
        </row>
        <row r="1005">
          <cell r="AC1005" t="str">
            <v>605083-131</v>
          </cell>
          <cell r="AD1005" t="str">
            <v>A PREMIUM (WS)</v>
          </cell>
        </row>
        <row r="1006">
          <cell r="AC1006" t="str">
            <v>104085-071</v>
          </cell>
          <cell r="AD1006" t="str">
            <v>A TERRA ALBIS (MS)</v>
          </cell>
        </row>
        <row r="1007">
          <cell r="AC1007" t="str">
            <v>104085-072</v>
          </cell>
          <cell r="AD1007" t="str">
            <v>A TERRA ALBIS (MS)</v>
          </cell>
        </row>
        <row r="1008">
          <cell r="AC1008" t="str">
            <v>104085-141</v>
          </cell>
          <cell r="AD1008" t="str">
            <v>A TERRA ALBIS (MS)</v>
          </cell>
        </row>
        <row r="1009">
          <cell r="AC1009" t="str">
            <v>104085-371</v>
          </cell>
          <cell r="AD1009" t="str">
            <v>A TERRA ALBIS (MS)</v>
          </cell>
        </row>
        <row r="1010">
          <cell r="AC1010" t="str">
            <v>604073-171</v>
          </cell>
          <cell r="AD1010" t="str">
            <v>A TERRA ALBIS (MS)</v>
          </cell>
        </row>
        <row r="1011">
          <cell r="AC1011" t="str">
            <v>105084-141</v>
          </cell>
          <cell r="AD1011" t="str">
            <v>A TERRA ALBIS (WS)</v>
          </cell>
        </row>
        <row r="1012">
          <cell r="AC1012" t="str">
            <v>105084-461</v>
          </cell>
          <cell r="AD1012" t="str">
            <v>A TERRA ALBIS (WS)</v>
          </cell>
        </row>
        <row r="1013">
          <cell r="AC1013" t="str">
            <v>905045-581</v>
          </cell>
          <cell r="AD1013" t="str">
            <v>A TERRA ALBIS (WS)</v>
          </cell>
        </row>
        <row r="1014">
          <cell r="AC1014" t="str">
            <v>104084-141</v>
          </cell>
          <cell r="AD1014" t="str">
            <v>A TERRA SERTIG (MS)</v>
          </cell>
        </row>
        <row r="1015">
          <cell r="AC1015" t="str">
            <v>104084-671</v>
          </cell>
          <cell r="AD1015" t="str">
            <v>A TERRA SERTIG (MS)</v>
          </cell>
        </row>
        <row r="1016">
          <cell r="AC1016" t="str">
            <v>604108-011</v>
          </cell>
          <cell r="AD1016" t="str">
            <v>A TERRA SERTIG (MS)</v>
          </cell>
        </row>
        <row r="1017">
          <cell r="AC1017" t="str">
            <v>604108-061</v>
          </cell>
          <cell r="AD1017" t="str">
            <v>A TERRA SERTIG (MS)</v>
          </cell>
        </row>
        <row r="1018">
          <cell r="AC1018" t="str">
            <v>105094-041</v>
          </cell>
          <cell r="AD1018" t="str">
            <v>A TOTAL MAX 3 (WS)</v>
          </cell>
          <cell r="AE1018">
            <v>0</v>
          </cell>
          <cell r="AF1018" t="str">
            <v>MET SILVER / POLAR-WHT-OBSIDIAN</v>
          </cell>
        </row>
        <row r="1019">
          <cell r="AC1019" t="str">
            <v>904073-141</v>
          </cell>
          <cell r="AD1019" t="str">
            <v>A TOTAL MAX 2 + (MS)</v>
          </cell>
        </row>
        <row r="1020">
          <cell r="AC1020" t="str">
            <v>104096-061</v>
          </cell>
          <cell r="AD1020" t="str">
            <v>A TOTAL MAX 3 (MS)</v>
          </cell>
          <cell r="AE1020">
            <v>0</v>
          </cell>
          <cell r="AF1020" t="str">
            <v>MET SILVER / VRSTY RED-WHT-BLK</v>
          </cell>
        </row>
        <row r="1021">
          <cell r="AC1021" t="str">
            <v>104096-471</v>
          </cell>
          <cell r="AD1021" t="str">
            <v>A TOTAL MAX 3 (MS)</v>
          </cell>
        </row>
        <row r="1022">
          <cell r="AC1022" t="str">
            <v>904088-071</v>
          </cell>
          <cell r="AD1022" t="str">
            <v>A TOTAL MAX 3 (MS)</v>
          </cell>
        </row>
        <row r="1023">
          <cell r="AC1023" t="str">
            <v>104134-072</v>
          </cell>
          <cell r="AD1023" t="str">
            <v>A TOTAL MAX 4 (MS)</v>
          </cell>
        </row>
        <row r="1024">
          <cell r="AC1024" t="str">
            <v>104134-081</v>
          </cell>
          <cell r="AD1024" t="str">
            <v>A TOTAL MAX 4 (MS)</v>
          </cell>
        </row>
        <row r="1025">
          <cell r="AC1025" t="str">
            <v>104134-411</v>
          </cell>
          <cell r="AD1025" t="str">
            <v>A TOTAL MAX 4 (MS)</v>
          </cell>
        </row>
        <row r="1026">
          <cell r="AC1026" t="str">
            <v>104134-431</v>
          </cell>
          <cell r="AD1026" t="str">
            <v>A TOTAL MAX 4 (MS)</v>
          </cell>
        </row>
        <row r="1027">
          <cell r="AC1027" t="str">
            <v>104134-641</v>
          </cell>
          <cell r="AD1027" t="str">
            <v>A TOTAL MAX 4 (MS)</v>
          </cell>
        </row>
        <row r="1028">
          <cell r="AC1028" t="str">
            <v>105128-001</v>
          </cell>
          <cell r="AD1028" t="str">
            <v>A TOTAL MAX 4 (WS)</v>
          </cell>
        </row>
        <row r="1029">
          <cell r="AC1029" t="str">
            <v>105128-411</v>
          </cell>
          <cell r="AD1029" t="str">
            <v>A TOTAL MAX 4 (WS)</v>
          </cell>
        </row>
        <row r="1030">
          <cell r="AC1030" t="str">
            <v>105128-412</v>
          </cell>
          <cell r="AD1030" t="str">
            <v>A TOTAL MAX 4 (WS)</v>
          </cell>
        </row>
        <row r="1031">
          <cell r="AC1031" t="str">
            <v>105128-471</v>
          </cell>
          <cell r="AD1031" t="str">
            <v>A TOTAL MAX 4 (WS)</v>
          </cell>
        </row>
        <row r="1032">
          <cell r="AC1032" t="str">
            <v>155067-072</v>
          </cell>
          <cell r="AD1032" t="str">
            <v>A TOTAL MAX 4 BG</v>
          </cell>
        </row>
        <row r="1033">
          <cell r="AC1033" t="str">
            <v>155067-081</v>
          </cell>
          <cell r="AD1033" t="str">
            <v>A TOTAL MAX 4 BG</v>
          </cell>
        </row>
        <row r="1034">
          <cell r="AC1034" t="str">
            <v>155067-411</v>
          </cell>
          <cell r="AD1034" t="str">
            <v>A TOTAL MAX 4 BG</v>
          </cell>
        </row>
        <row r="1035">
          <cell r="AC1035" t="str">
            <v>154851-101</v>
          </cell>
          <cell r="AD1035" t="str">
            <v>A TOTAL MAX 4 GG</v>
          </cell>
        </row>
        <row r="1036">
          <cell r="AC1036" t="str">
            <v>154851-412</v>
          </cell>
          <cell r="AD1036" t="str">
            <v>A TOTAL MAX 4 GG</v>
          </cell>
        </row>
        <row r="1037">
          <cell r="AC1037" t="str">
            <v>104097-101</v>
          </cell>
          <cell r="AD1037" t="str">
            <v>A.MX TRX 3+ (MS)</v>
          </cell>
        </row>
        <row r="1038">
          <cell r="AC1038" t="str">
            <v>104097-161</v>
          </cell>
          <cell r="AD1038" t="str">
            <v>A.MX TRX 3+ (MS)</v>
          </cell>
        </row>
        <row r="1039">
          <cell r="AC1039" t="str">
            <v>104097-431</v>
          </cell>
          <cell r="AD1039" t="str">
            <v>A.MX TRX 3+ (MS)</v>
          </cell>
        </row>
        <row r="1040">
          <cell r="AC1040" t="str">
            <v>104098-101</v>
          </cell>
          <cell r="AD1040" t="str">
            <v>A.MX TRX 3+ (MS)</v>
          </cell>
        </row>
        <row r="1041">
          <cell r="AC1041" t="str">
            <v>104098-161</v>
          </cell>
          <cell r="AD1041" t="str">
            <v>A.MX TRX 3+ (MS)</v>
          </cell>
        </row>
        <row r="1042">
          <cell r="AC1042" t="str">
            <v>904094-431</v>
          </cell>
          <cell r="AD1042" t="str">
            <v>A.MX TRX 3+ (MS)</v>
          </cell>
        </row>
        <row r="1043">
          <cell r="AC1043" t="str">
            <v>105088-151</v>
          </cell>
          <cell r="AD1043" t="str">
            <v>A.MX TRX 3 X (WS)</v>
          </cell>
        </row>
        <row r="1044">
          <cell r="AC1044" t="str">
            <v>105096-141</v>
          </cell>
          <cell r="AD1044" t="str">
            <v>A.MX TRX 3 X (WS)</v>
          </cell>
        </row>
        <row r="1045">
          <cell r="AC1045" t="str">
            <v>105096-151</v>
          </cell>
          <cell r="AD1045" t="str">
            <v>A.MX TRX 3 X (WS)</v>
          </cell>
        </row>
        <row r="1046">
          <cell r="AC1046" t="str">
            <v>105096-161</v>
          </cell>
          <cell r="AD1046" t="str">
            <v>A.MX TRX 3 X (WS)</v>
          </cell>
        </row>
        <row r="1047">
          <cell r="AC1047" t="str">
            <v>105106-161</v>
          </cell>
          <cell r="AD1047" t="str">
            <v>A.MX TRX 3 X (WS)</v>
          </cell>
        </row>
        <row r="1048">
          <cell r="AC1048" t="str">
            <v>605075-231</v>
          </cell>
          <cell r="AD1048" t="str">
            <v>A.MX TRX 3 X (WS)</v>
          </cell>
        </row>
        <row r="1049">
          <cell r="AC1049" t="str">
            <v>905046-061</v>
          </cell>
          <cell r="AD1049" t="str">
            <v>A.MX TRX 3 X (WS)</v>
          </cell>
        </row>
        <row r="1050">
          <cell r="AC1050" t="str">
            <v>905046-411</v>
          </cell>
          <cell r="AD1050" t="str">
            <v>A.MX TRX 3 X (WS)</v>
          </cell>
        </row>
        <row r="1051">
          <cell r="AC1051" t="str">
            <v>905046-411</v>
          </cell>
          <cell r="AD1051" t="str">
            <v>A.MX TRX 3 X (WS)</v>
          </cell>
        </row>
        <row r="1052">
          <cell r="AC1052" t="str">
            <v>905052-411</v>
          </cell>
          <cell r="AD1052" t="str">
            <v>A.MX TRX 3 X (WS)</v>
          </cell>
        </row>
        <row r="1053">
          <cell r="AC1053" t="str">
            <v>153311-061</v>
          </cell>
          <cell r="AD1053" t="str">
            <v>A.TERA ALBIS BG</v>
          </cell>
        </row>
        <row r="1054">
          <cell r="AC1054" t="str">
            <v>153311-071</v>
          </cell>
          <cell r="AD1054" t="str">
            <v>A.TERA ALBIS BG</v>
          </cell>
        </row>
        <row r="1055">
          <cell r="AC1055" t="str">
            <v>153311-371</v>
          </cell>
          <cell r="AD1055" t="str">
            <v>A.TERA ALBIS BG</v>
          </cell>
        </row>
        <row r="1056">
          <cell r="AC1056" t="str">
            <v>653330-131</v>
          </cell>
          <cell r="AD1056" t="str">
            <v>A.TERA ALBIS GG</v>
          </cell>
        </row>
        <row r="1057">
          <cell r="AC1057" t="str">
            <v>653330-171</v>
          </cell>
          <cell r="AD1057" t="str">
            <v>A.TERA ALBIS GG</v>
          </cell>
        </row>
        <row r="1058">
          <cell r="AC1058" t="str">
            <v>953130-101</v>
          </cell>
          <cell r="AD1058" t="str">
            <v>A.TERA ALBIS GG</v>
          </cell>
        </row>
        <row r="1059">
          <cell r="AC1059" t="str">
            <v>153535-001</v>
          </cell>
          <cell r="AD1059" t="str">
            <v>A.TERA KIMBIA BG</v>
          </cell>
        </row>
        <row r="1060">
          <cell r="AC1060" t="str">
            <v>104111-041</v>
          </cell>
          <cell r="AD1060" t="str">
            <v>A.TOTAL MAX 3+ (MS)</v>
          </cell>
        </row>
        <row r="1061">
          <cell r="AC1061" t="str">
            <v>104111-071</v>
          </cell>
          <cell r="AD1061" t="str">
            <v>A.TOTAL MAX 3+ (MS)</v>
          </cell>
        </row>
        <row r="1062">
          <cell r="AC1062" t="str">
            <v>104111-181</v>
          </cell>
          <cell r="AD1062" t="str">
            <v>A.TOTAL MAX 3+ (MS)</v>
          </cell>
        </row>
        <row r="1063">
          <cell r="AC1063" t="str">
            <v>104111-462</v>
          </cell>
          <cell r="AD1063" t="str">
            <v>A.TOTAL MAX 3+ (MS)</v>
          </cell>
        </row>
        <row r="1064">
          <cell r="AC1064" t="str">
            <v>105107-131</v>
          </cell>
          <cell r="AD1064" t="str">
            <v>A.TOTAL MAX 3+ (WS)</v>
          </cell>
        </row>
        <row r="1065">
          <cell r="AC1065" t="str">
            <v>105107-141</v>
          </cell>
          <cell r="AD1065" t="str">
            <v>A.TOTAL MAX 3+ (WS)</v>
          </cell>
        </row>
        <row r="1066">
          <cell r="AC1066" t="str">
            <v>105107-171</v>
          </cell>
          <cell r="AD1066" t="str">
            <v>A.TOTAL MAX 3+ (WS)</v>
          </cell>
        </row>
        <row r="1067">
          <cell r="AC1067" t="str">
            <v>104083-142</v>
          </cell>
          <cell r="AD1067" t="str">
            <v>A.WD RNR 3 (MS)</v>
          </cell>
        </row>
        <row r="1068">
          <cell r="AC1068" t="str">
            <v>604067-112</v>
          </cell>
          <cell r="AD1068" t="str">
            <v>A.WD RNR 3 (MS)</v>
          </cell>
        </row>
        <row r="1069">
          <cell r="AC1069" t="str">
            <v>904081-101</v>
          </cell>
          <cell r="AD1069" t="str">
            <v>A.WD RNR 3 (MS)</v>
          </cell>
        </row>
        <row r="1070">
          <cell r="AC1070" t="str">
            <v>904081-141</v>
          </cell>
          <cell r="AD1070" t="str">
            <v>A.WD RNR 3 (MS)</v>
          </cell>
        </row>
        <row r="1071">
          <cell r="AC1071" t="str">
            <v>173135-001</v>
          </cell>
          <cell r="AD1071" t="str">
            <v>A-180 (MS)</v>
          </cell>
        </row>
        <row r="1072">
          <cell r="AC1072" t="str">
            <v>173135-102</v>
          </cell>
          <cell r="AD1072" t="str">
            <v>A-180 (MS)</v>
          </cell>
        </row>
        <row r="1073">
          <cell r="AC1073" t="str">
            <v>173135-141</v>
          </cell>
          <cell r="AD1073" t="str">
            <v>A-180 (MS)</v>
          </cell>
        </row>
        <row r="1074">
          <cell r="AC1074" t="str">
            <v>173135-401</v>
          </cell>
          <cell r="AD1074" t="str">
            <v>A-180 (MS)</v>
          </cell>
        </row>
        <row r="1075">
          <cell r="AC1075" t="str">
            <v>173135-431</v>
          </cell>
          <cell r="AD1075" t="str">
            <v>A-180 (MS)</v>
          </cell>
        </row>
        <row r="1076">
          <cell r="AC1076" t="str">
            <v>173135-671</v>
          </cell>
          <cell r="AD1076" t="str">
            <v>A-180 (MS)</v>
          </cell>
        </row>
        <row r="1077">
          <cell r="AC1077" t="str">
            <v>174144-081</v>
          </cell>
          <cell r="AD1077" t="str">
            <v>A-180 (WS)</v>
          </cell>
        </row>
        <row r="1078">
          <cell r="AC1078" t="str">
            <v>174144-141</v>
          </cell>
          <cell r="AD1078" t="str">
            <v>A-180 (WS)</v>
          </cell>
        </row>
        <row r="1079">
          <cell r="AC1079" t="str">
            <v>174144-142</v>
          </cell>
          <cell r="AD1079" t="str">
            <v>A-180 (WS)</v>
          </cell>
        </row>
        <row r="1080">
          <cell r="AC1080" t="str">
            <v>174144-411</v>
          </cell>
          <cell r="AD1080" t="str">
            <v>A-180 (WS)</v>
          </cell>
        </row>
        <row r="1081">
          <cell r="AC1081" t="str">
            <v>674163-111</v>
          </cell>
          <cell r="AD1081" t="str">
            <v>A-180 (WS)</v>
          </cell>
        </row>
        <row r="1082">
          <cell r="AC1082" t="str">
            <v>105094-072</v>
          </cell>
          <cell r="AD1082" t="str">
            <v>A TOTAL MAX 3 (WS)</v>
          </cell>
        </row>
        <row r="1083">
          <cell r="AC1083" t="str">
            <v>104085-042</v>
          </cell>
          <cell r="AD1083" t="str">
            <v>A TERRA ALBIS (MS)</v>
          </cell>
        </row>
        <row r="1084">
          <cell r="AC1084" t="str">
            <v>104095-141</v>
          </cell>
          <cell r="AD1084" t="str">
            <v>A MX TWIND 2 (MS)</v>
          </cell>
        </row>
        <row r="1085">
          <cell r="AC1085" t="str">
            <v>104098-001</v>
          </cell>
          <cell r="AD1085" t="str">
            <v>A MX TRX (MS)</v>
          </cell>
        </row>
        <row r="1086">
          <cell r="AC1086" t="str">
            <v>104098-061</v>
          </cell>
          <cell r="AD1086" t="str">
            <v>A MX TRX (MS)</v>
          </cell>
        </row>
        <row r="1087">
          <cell r="AC1087" t="str">
            <v>104098-141</v>
          </cell>
          <cell r="AD1087" t="str">
            <v>A MX TRX (MS)</v>
          </cell>
        </row>
        <row r="1088">
          <cell r="AC1088" t="str">
            <v>104105-061</v>
          </cell>
          <cell r="AD1088" t="str">
            <v>A MX TWIND 2 (MS)</v>
          </cell>
        </row>
        <row r="1089">
          <cell r="AC1089" t="str">
            <v>104107-161</v>
          </cell>
          <cell r="AD1089" t="str">
            <v>A MX TWIND 2 (MS)</v>
          </cell>
        </row>
        <row r="1090">
          <cell r="AC1090" t="str">
            <v>104110-102</v>
          </cell>
          <cell r="AD1090" t="str">
            <v>A MX TRX 4 (MS)</v>
          </cell>
        </row>
        <row r="1091">
          <cell r="AC1091" t="str">
            <v>104110-462</v>
          </cell>
          <cell r="AD1091" t="str">
            <v>A MX TRX 4 (MS)</v>
          </cell>
        </row>
        <row r="1092">
          <cell r="AC1092" t="str">
            <v>104111-171</v>
          </cell>
          <cell r="AD1092" t="str">
            <v>A TOTAL MAX (MS)</v>
          </cell>
        </row>
        <row r="1093">
          <cell r="AC1093" t="str">
            <v>104111-461</v>
          </cell>
          <cell r="AD1093" t="str">
            <v>A TOTAL MAX (MS)</v>
          </cell>
        </row>
        <row r="1094">
          <cell r="AC1094" t="str">
            <v>104165-071</v>
          </cell>
          <cell r="AD1094" t="str">
            <v>A TERRA ALBIS (MS)</v>
          </cell>
        </row>
        <row r="1095">
          <cell r="AC1095" t="str">
            <v>104176-131</v>
          </cell>
          <cell r="AD1095" t="str">
            <v>A TOTAL MAX (MS)</v>
          </cell>
        </row>
        <row r="1096">
          <cell r="AC1096" t="str">
            <v>105067-141</v>
          </cell>
          <cell r="AD1096" t="str">
            <v>A PREMIUM (WS)</v>
          </cell>
        </row>
        <row r="1097">
          <cell r="AC1097" t="str">
            <v>105093-131</v>
          </cell>
          <cell r="AD1097" t="str">
            <v>A MX TWIND 2 (WS)</v>
          </cell>
        </row>
        <row r="1098">
          <cell r="AC1098" t="str">
            <v>105096-041</v>
          </cell>
          <cell r="AD1098" t="str">
            <v>A MX TRX (WS)</v>
          </cell>
        </row>
        <row r="1099">
          <cell r="AC1099" t="str">
            <v>105097-161</v>
          </cell>
          <cell r="AD1099" t="str">
            <v>A MX LIGHT 3 (WS)</v>
          </cell>
        </row>
        <row r="1100">
          <cell r="AC1100" t="str">
            <v>105125-271</v>
          </cell>
          <cell r="AD1100" t="str">
            <v>A MX TRX (WS)</v>
          </cell>
        </row>
        <row r="1101">
          <cell r="AC1101" t="str">
            <v>105126-001</v>
          </cell>
          <cell r="AD1101" t="str">
            <v>A MX TRX PLUS (WS)</v>
          </cell>
        </row>
        <row r="1102">
          <cell r="AC1102" t="str">
            <v>105164-415</v>
          </cell>
          <cell r="AD1102" t="str">
            <v>A TERRA ALBIS (WS)</v>
          </cell>
        </row>
        <row r="1103">
          <cell r="AC1103" t="str">
            <v>173135-461</v>
          </cell>
          <cell r="AD1103" t="str">
            <v>A-180 (MS)</v>
          </cell>
        </row>
        <row r="1104">
          <cell r="AC1104" t="str">
            <v>174114-081</v>
          </cell>
          <cell r="AD1104" t="str">
            <v>A-180 (WS)</v>
          </cell>
        </row>
        <row r="1105">
          <cell r="AC1105" t="str">
            <v>174114-411</v>
          </cell>
          <cell r="AD1105" t="str">
            <v>A-180 (WS)</v>
          </cell>
        </row>
        <row r="1106">
          <cell r="AC1106" t="str">
            <v>178062-001</v>
          </cell>
          <cell r="AD1106" t="str">
            <v>A NOMO MAX 2 (MS)</v>
          </cell>
        </row>
        <row r="1107">
          <cell r="AC1107" t="str">
            <v>178062-141</v>
          </cell>
          <cell r="AD1107" t="str">
            <v>A NOMO MAX 2 (MS)</v>
          </cell>
        </row>
        <row r="1108">
          <cell r="AC1108" t="str">
            <v>178062-161</v>
          </cell>
          <cell r="AD1108" t="str">
            <v>A NOMO MAX 2 (MS)</v>
          </cell>
        </row>
        <row r="1109">
          <cell r="AC1109" t="str">
            <v>604110-071</v>
          </cell>
          <cell r="AD1109" t="str">
            <v>A CONVERGE TRX (WS)</v>
          </cell>
        </row>
        <row r="1110">
          <cell r="AC1110" t="str">
            <v>604110-141</v>
          </cell>
          <cell r="AD1110" t="str">
            <v>A CONVERGE TRX (WS)</v>
          </cell>
        </row>
        <row r="1111">
          <cell r="AC1111" t="str">
            <v>605054-461</v>
          </cell>
          <cell r="AD1111" t="str">
            <v>A MX TRX (WS)</v>
          </cell>
        </row>
        <row r="1112">
          <cell r="AC1112" t="str">
            <v>605110-182</v>
          </cell>
          <cell r="AD1112" t="str">
            <v>A CONVERGE TRX (WS)</v>
          </cell>
        </row>
        <row r="1113">
          <cell r="AC1113" t="str">
            <v>904068-071</v>
          </cell>
          <cell r="AD1113" t="str">
            <v>A TOTAL MAX (MS)</v>
          </cell>
        </row>
        <row r="1114">
          <cell r="AC1114" t="str">
            <v>904085-871</v>
          </cell>
          <cell r="AD1114" t="str">
            <v>A TERRA SERTIG (MS)</v>
          </cell>
        </row>
        <row r="1115">
          <cell r="AC1115" t="str">
            <v>905036-061</v>
          </cell>
          <cell r="AD1115" t="str">
            <v>A MX TRX (WS)</v>
          </cell>
        </row>
        <row r="1116">
          <cell r="AC1116" t="str">
            <v>104078-171</v>
          </cell>
          <cell r="AD1116" t="str">
            <v>A MX LIGHT 3 (MS)</v>
          </cell>
        </row>
        <row r="1117">
          <cell r="AC1117" t="str">
            <v>104078-471</v>
          </cell>
          <cell r="AD1117" t="str">
            <v>A MX LIGHT 3 (MS)</v>
          </cell>
        </row>
        <row r="1118">
          <cell r="AC1118" t="str">
            <v>105072-171</v>
          </cell>
          <cell r="AD1118" t="str">
            <v>A MX LIGHT 3 (WS)</v>
          </cell>
        </row>
        <row r="1119">
          <cell r="AC1119" t="str">
            <v>105072-481</v>
          </cell>
          <cell r="AD1119" t="str">
            <v>A MX LIGHT 3 (WS)</v>
          </cell>
        </row>
        <row r="1120">
          <cell r="AC1120" t="str">
            <v>104122-161</v>
          </cell>
          <cell r="AD1120" t="str">
            <v>A MX LIGHT 4 (MS)</v>
          </cell>
        </row>
        <row r="1121">
          <cell r="AC1121" t="str">
            <v>104055-031</v>
          </cell>
          <cell r="AD1121" t="str">
            <v>A MX TRX 2 (MS)</v>
          </cell>
        </row>
        <row r="1122">
          <cell r="AC1122" t="str">
            <v>104055-141</v>
          </cell>
          <cell r="AD1122" t="str">
            <v>A MX TRX 2 (MS)</v>
          </cell>
        </row>
        <row r="1123">
          <cell r="AC1123" t="str">
            <v>104055-161</v>
          </cell>
          <cell r="AD1123" t="str">
            <v>A MX TRX 2 (MS)</v>
          </cell>
        </row>
        <row r="1124">
          <cell r="AC1124" t="str">
            <v>104055-162</v>
          </cell>
          <cell r="AD1124" t="str">
            <v>A MX TRX 2 (MS)</v>
          </cell>
        </row>
        <row r="1125">
          <cell r="AC1125" t="str">
            <v>104055-163</v>
          </cell>
          <cell r="AD1125" t="str">
            <v>A MX TRX 2 (MS)</v>
          </cell>
        </row>
        <row r="1126">
          <cell r="AC1126" t="str">
            <v>104055-401</v>
          </cell>
          <cell r="AD1126" t="str">
            <v>A MX TRX 2 (MS)</v>
          </cell>
        </row>
        <row r="1127">
          <cell r="AC1127" t="str">
            <v>104055-402</v>
          </cell>
          <cell r="AD1127" t="str">
            <v>A MX TRX 2 (MS)</v>
          </cell>
        </row>
        <row r="1128">
          <cell r="AC1128" t="str">
            <v>104062-141</v>
          </cell>
          <cell r="AD1128" t="str">
            <v>A MX TRX 2 (MS)</v>
          </cell>
        </row>
        <row r="1129">
          <cell r="AC1129" t="str">
            <v>104062-401</v>
          </cell>
          <cell r="AD1129" t="str">
            <v>A MX TRX 2 (MS)</v>
          </cell>
        </row>
        <row r="1130">
          <cell r="AC1130" t="str">
            <v>604047-061</v>
          </cell>
          <cell r="AD1130" t="str">
            <v>A MX TRX 2 (MS)</v>
          </cell>
        </row>
        <row r="1131">
          <cell r="AC1131" t="str">
            <v>604047-101</v>
          </cell>
          <cell r="AD1131" t="str">
            <v>A MX TRX 2 (MS)</v>
          </cell>
        </row>
        <row r="1132">
          <cell r="AC1132" t="str">
            <v>604047-112</v>
          </cell>
          <cell r="AD1132" t="str">
            <v>A MX TRX 2 (MS)</v>
          </cell>
        </row>
        <row r="1133">
          <cell r="AC1133" t="str">
            <v>604047-131</v>
          </cell>
          <cell r="AD1133" t="str">
            <v>A MX TRX 2 (MS)</v>
          </cell>
        </row>
        <row r="1134">
          <cell r="AC1134" t="str">
            <v>604047-133</v>
          </cell>
          <cell r="AD1134" t="str">
            <v>A MX TRX 2 (MS)</v>
          </cell>
        </row>
        <row r="1135">
          <cell r="AC1135" t="str">
            <v>604047-411</v>
          </cell>
          <cell r="AD1135" t="str">
            <v>A MX TRX 2 (MS)</v>
          </cell>
        </row>
        <row r="1136">
          <cell r="AC1136" t="str">
            <v>604051-011</v>
          </cell>
          <cell r="AD1136" t="str">
            <v>A MX TRX 2 (MS)</v>
          </cell>
        </row>
        <row r="1137">
          <cell r="AC1137" t="str">
            <v>604051-131</v>
          </cell>
          <cell r="AD1137" t="str">
            <v>A MX TRX 2 (MS)</v>
          </cell>
        </row>
        <row r="1138">
          <cell r="AC1138" t="str">
            <v>604061-011</v>
          </cell>
          <cell r="AD1138" t="str">
            <v>A MX TRX 2 (MS)</v>
          </cell>
        </row>
        <row r="1139">
          <cell r="AC1139" t="str">
            <v>904068-131</v>
          </cell>
          <cell r="AD1139" t="str">
            <v>A MX TRX 2 (MS)</v>
          </cell>
        </row>
        <row r="1140">
          <cell r="AC1140" t="str">
            <v>904068-141</v>
          </cell>
          <cell r="AD1140" t="str">
            <v>A MX TRX 2 (MS)</v>
          </cell>
        </row>
        <row r="1141">
          <cell r="AC1141" t="str">
            <v>904068-161</v>
          </cell>
          <cell r="AD1141" t="str">
            <v>A MX TRX 2 (MS)</v>
          </cell>
        </row>
        <row r="1142">
          <cell r="AC1142" t="str">
            <v>105059-141</v>
          </cell>
          <cell r="AD1142" t="str">
            <v>A MX TRX 2 (WS)</v>
          </cell>
        </row>
        <row r="1143">
          <cell r="AC1143" t="str">
            <v>105059-151</v>
          </cell>
          <cell r="AD1143" t="str">
            <v>A MX TRX 2 (WS)</v>
          </cell>
        </row>
        <row r="1144">
          <cell r="AC1144" t="str">
            <v>105059-341</v>
          </cell>
          <cell r="AD1144" t="str">
            <v>A MX TRX 2 (WS)</v>
          </cell>
        </row>
        <row r="1145">
          <cell r="AC1145" t="str">
            <v>105059-431</v>
          </cell>
          <cell r="AD1145" t="str">
            <v>A MX TRX 2 (WS)</v>
          </cell>
        </row>
        <row r="1146">
          <cell r="AC1146" t="str">
            <v>105059-461</v>
          </cell>
          <cell r="AD1146" t="str">
            <v>A MX TRX 2 (WS)</v>
          </cell>
        </row>
        <row r="1147">
          <cell r="AC1147" t="str">
            <v>105061-141</v>
          </cell>
          <cell r="AD1147" t="str">
            <v>A MX TRX 2 (WS)</v>
          </cell>
        </row>
        <row r="1148">
          <cell r="AC1148" t="str">
            <v>105061-161</v>
          </cell>
          <cell r="AD1148" t="str">
            <v>A MX TRX 2 (WS)</v>
          </cell>
        </row>
        <row r="1149">
          <cell r="AC1149" t="str">
            <v>605033-101</v>
          </cell>
          <cell r="AD1149" t="str">
            <v>A MX TRX 2 (WS)</v>
          </cell>
        </row>
        <row r="1150">
          <cell r="AC1150" t="str">
            <v>605033-131</v>
          </cell>
          <cell r="AD1150" t="str">
            <v>A MX TRX 2 (WS)</v>
          </cell>
        </row>
        <row r="1151">
          <cell r="AC1151" t="str">
            <v>605033-132</v>
          </cell>
          <cell r="AD1151" t="str">
            <v>A MX TRX 2 (WS)</v>
          </cell>
        </row>
        <row r="1152">
          <cell r="AC1152" t="str">
            <v>605033-134</v>
          </cell>
          <cell r="AD1152" t="str">
            <v>A MX TRX 2 (WS)</v>
          </cell>
        </row>
        <row r="1153">
          <cell r="AC1153" t="str">
            <v>605033-141</v>
          </cell>
          <cell r="AD1153" t="str">
            <v>A MX TRX 2 (WS)</v>
          </cell>
        </row>
        <row r="1154">
          <cell r="AC1154" t="str">
            <v>605033-142</v>
          </cell>
          <cell r="AD1154" t="str">
            <v>A MX TRX 2 (WS)</v>
          </cell>
        </row>
        <row r="1155">
          <cell r="AC1155" t="str">
            <v>605033-151</v>
          </cell>
          <cell r="AD1155" t="str">
            <v>A MX TRX 2 (WS)</v>
          </cell>
        </row>
        <row r="1156">
          <cell r="AC1156" t="str">
            <v>605033-161</v>
          </cell>
          <cell r="AD1156" t="str">
            <v>A MX TRX 2 (WS)</v>
          </cell>
        </row>
        <row r="1157">
          <cell r="AC1157" t="str">
            <v>605034-141</v>
          </cell>
          <cell r="AD1157" t="str">
            <v>A MX TRX 2 (WS)</v>
          </cell>
        </row>
        <row r="1158">
          <cell r="AC1158" t="str">
            <v>605040-104</v>
          </cell>
          <cell r="AD1158" t="str">
            <v>A MX TRX 2 (WS)</v>
          </cell>
        </row>
        <row r="1159">
          <cell r="AC1159" t="str">
            <v>104074-101</v>
          </cell>
          <cell r="AD1159" t="str">
            <v>A MX TRX 3 (MS)</v>
          </cell>
        </row>
        <row r="1160">
          <cell r="AC1160" t="str">
            <v>104074-141</v>
          </cell>
          <cell r="AD1160" t="str">
            <v>A MX TRX 3 (MS)</v>
          </cell>
        </row>
        <row r="1161">
          <cell r="AC1161" t="str">
            <v>104074-161</v>
          </cell>
          <cell r="AD1161" t="str">
            <v>A MX TRX 3 (MS)</v>
          </cell>
        </row>
        <row r="1162">
          <cell r="AC1162" t="str">
            <v>104074-481</v>
          </cell>
          <cell r="AD1162" t="str">
            <v>A MX TRX 3 (MS)</v>
          </cell>
        </row>
        <row r="1163">
          <cell r="AC1163" t="str">
            <v>104075-101</v>
          </cell>
          <cell r="AD1163" t="str">
            <v>A MX TRX 3 (MS)</v>
          </cell>
        </row>
        <row r="1164">
          <cell r="AC1164" t="str">
            <v>104075-481</v>
          </cell>
          <cell r="AD1164" t="str">
            <v>A MX TRX 3 (MS)</v>
          </cell>
        </row>
        <row r="1165">
          <cell r="AC1165" t="str">
            <v>604068-141</v>
          </cell>
          <cell r="AD1165" t="str">
            <v>A MX TRX 3 (MS)</v>
          </cell>
        </row>
        <row r="1166">
          <cell r="AC1166" t="str">
            <v>604068-142</v>
          </cell>
          <cell r="AD1166" t="str">
            <v>A MX TRX 3 (MS)</v>
          </cell>
        </row>
        <row r="1167">
          <cell r="AC1167" t="str">
            <v>904070-141</v>
          </cell>
          <cell r="AD1167" t="str">
            <v>A MX TRX 3 (MS)</v>
          </cell>
        </row>
        <row r="1168">
          <cell r="AC1168" t="str">
            <v>904070-461</v>
          </cell>
          <cell r="AD1168" t="str">
            <v>A MX TRX 3 (MS)</v>
          </cell>
        </row>
        <row r="1169">
          <cell r="AC1169" t="str">
            <v>904077-131</v>
          </cell>
          <cell r="AD1169" t="str">
            <v>A MX TRX 3 (MS)</v>
          </cell>
        </row>
        <row r="1170">
          <cell r="AC1170" t="str">
            <v>904077-161</v>
          </cell>
          <cell r="AD1170" t="str">
            <v>A MX TRX 3 (MS)</v>
          </cell>
        </row>
        <row r="1171">
          <cell r="AC1171" t="str">
            <v>904077-461</v>
          </cell>
          <cell r="AD1171" t="str">
            <v>A MX TRX 3 (MS)</v>
          </cell>
        </row>
        <row r="1172">
          <cell r="AC1172" t="str">
            <v>105074-151</v>
          </cell>
          <cell r="AD1172" t="str">
            <v>A MX TRX 3 (WS)</v>
          </cell>
        </row>
        <row r="1173">
          <cell r="AC1173" t="str">
            <v>105074-432</v>
          </cell>
          <cell r="AD1173" t="str">
            <v>A MX TRX 3 (WS)</v>
          </cell>
        </row>
        <row r="1174">
          <cell r="AC1174" t="str">
            <v>105074-441</v>
          </cell>
          <cell r="AD1174" t="str">
            <v>A MX TRX 3 (WS)</v>
          </cell>
        </row>
        <row r="1175">
          <cell r="AC1175" t="str">
            <v>105080-432</v>
          </cell>
          <cell r="AD1175" t="str">
            <v>A MX TRX 3 (WS)</v>
          </cell>
        </row>
        <row r="1176">
          <cell r="AC1176" t="str">
            <v>605048-134</v>
          </cell>
          <cell r="AD1176" t="str">
            <v>A MX TRX 3 (WS)</v>
          </cell>
        </row>
        <row r="1177">
          <cell r="AC1177" t="str">
            <v>605048-142</v>
          </cell>
          <cell r="AD1177" t="str">
            <v>A MX TRX 3 (WS)</v>
          </cell>
        </row>
        <row r="1178">
          <cell r="AC1178" t="str">
            <v>905036-151</v>
          </cell>
          <cell r="AD1178" t="str">
            <v>A MX TRX 3 (WS)</v>
          </cell>
        </row>
        <row r="1179">
          <cell r="AC1179" t="str">
            <v>905036-161</v>
          </cell>
          <cell r="AD1179" t="str">
            <v>A MX TRX 3 (WS)</v>
          </cell>
        </row>
        <row r="1180">
          <cell r="AC1180" t="str">
            <v>905036-441</v>
          </cell>
          <cell r="AD1180" t="str">
            <v>A MX TRX 3 (WS)</v>
          </cell>
        </row>
        <row r="1181">
          <cell r="AC1181" t="str">
            <v>904096-141</v>
          </cell>
          <cell r="AD1181" t="str">
            <v>A MX TRX 4 (MS)</v>
          </cell>
        </row>
        <row r="1182">
          <cell r="AC1182" t="str">
            <v>904096-741</v>
          </cell>
          <cell r="AD1182" t="str">
            <v>A MX TRX 4 (MS)</v>
          </cell>
        </row>
        <row r="1183">
          <cell r="AC1183" t="str">
            <v>105114-142</v>
          </cell>
          <cell r="AD1183" t="str">
            <v>A MX TRX 4 (WS)</v>
          </cell>
        </row>
        <row r="1184">
          <cell r="AC1184" t="str">
            <v>605068-145</v>
          </cell>
          <cell r="AD1184" t="str">
            <v>A MX TRX 4 (WS)</v>
          </cell>
        </row>
        <row r="1185">
          <cell r="AC1185" t="str">
            <v>605068-171</v>
          </cell>
          <cell r="AD1185" t="str">
            <v>A MX TRX 4 (WS)</v>
          </cell>
        </row>
        <row r="1186">
          <cell r="AC1186" t="str">
            <v>605068-413</v>
          </cell>
          <cell r="AD1186" t="str">
            <v>A MX TRX 4 (WS)</v>
          </cell>
        </row>
        <row r="1187">
          <cell r="AC1187" t="str">
            <v>605094-145</v>
          </cell>
          <cell r="AD1187" t="str">
            <v>A MX TRX 4 LEA (WS)</v>
          </cell>
        </row>
        <row r="1188">
          <cell r="AC1188" t="str">
            <v>904089-141</v>
          </cell>
          <cell r="AD1188" t="str">
            <v>A MX TRX LEA (MS)</v>
          </cell>
        </row>
        <row r="1189">
          <cell r="AC1189" t="str">
            <v>104130-131</v>
          </cell>
          <cell r="AD1189" t="str">
            <v>A MX TRX PLUS (MS)</v>
          </cell>
        </row>
        <row r="1190">
          <cell r="AC1190" t="str">
            <v>104130-161</v>
          </cell>
          <cell r="AD1190" t="str">
            <v>A MX TRX PLUS (MS)</v>
          </cell>
        </row>
        <row r="1191">
          <cell r="AC1191" t="str">
            <v>104130-441</v>
          </cell>
          <cell r="AD1191" t="str">
            <v>A MX TRX PLUS (MS)</v>
          </cell>
        </row>
        <row r="1192">
          <cell r="AC1192" t="str">
            <v>104130-443</v>
          </cell>
          <cell r="AD1192" t="str">
            <v>A MX TRX PLUS (MS)</v>
          </cell>
        </row>
        <row r="1193">
          <cell r="AC1193" t="str">
            <v>104136-142</v>
          </cell>
          <cell r="AD1193" t="str">
            <v>A MX TRX PLUS (MS)</v>
          </cell>
        </row>
        <row r="1194">
          <cell r="AC1194" t="str">
            <v>104136-444</v>
          </cell>
          <cell r="AD1194" t="str">
            <v>A MX TRX PLUS (MS)</v>
          </cell>
        </row>
        <row r="1195">
          <cell r="AC1195" t="str">
            <v>604112-131</v>
          </cell>
          <cell r="AD1195" t="str">
            <v>A MX TRX PLUS (MS)</v>
          </cell>
        </row>
        <row r="1196">
          <cell r="AC1196" t="str">
            <v>604112-182</v>
          </cell>
          <cell r="AD1196" t="str">
            <v>A MX TRX PLUS (MS)</v>
          </cell>
        </row>
        <row r="1197">
          <cell r="AC1197" t="str">
            <v>604112-311</v>
          </cell>
          <cell r="AD1197" t="str">
            <v>A MX TRX PLUS (MS)</v>
          </cell>
        </row>
        <row r="1198">
          <cell r="AC1198" t="str">
            <v>904095-081</v>
          </cell>
          <cell r="AD1198" t="str">
            <v>A MX TRX PLUS (MS)</v>
          </cell>
        </row>
        <row r="1199">
          <cell r="AC1199" t="str">
            <v>105126-143</v>
          </cell>
          <cell r="AD1199" t="str">
            <v>A MX TRX PLUS (WS)</v>
          </cell>
        </row>
        <row r="1200">
          <cell r="AC1200" t="str">
            <v>105131-411</v>
          </cell>
          <cell r="AD1200" t="str">
            <v>A MX TRX PLUS (WS)</v>
          </cell>
        </row>
        <row r="1201">
          <cell r="AC1201" t="str">
            <v>605093-112</v>
          </cell>
          <cell r="AD1201" t="str">
            <v>A MX TRX PLUS (WS)</v>
          </cell>
        </row>
        <row r="1202">
          <cell r="AC1202" t="str">
            <v>605093-471</v>
          </cell>
          <cell r="AD1202" t="str">
            <v>A MX TRX PLUS (WS)</v>
          </cell>
        </row>
        <row r="1203">
          <cell r="AC1203" t="str">
            <v>104095-131</v>
          </cell>
          <cell r="AD1203" t="str">
            <v>A MX TWIND 2 (MS)</v>
          </cell>
        </row>
        <row r="1204">
          <cell r="AC1204" t="str">
            <v>104095-601</v>
          </cell>
          <cell r="AD1204" t="str">
            <v>A MX TWIND 2 (MS)</v>
          </cell>
        </row>
        <row r="1205">
          <cell r="AC1205" t="str">
            <v>904080-481</v>
          </cell>
          <cell r="AD1205" t="str">
            <v>A MX TWIND 2 (MS)</v>
          </cell>
        </row>
        <row r="1206">
          <cell r="AC1206" t="str">
            <v>105093-132</v>
          </cell>
          <cell r="AD1206" t="str">
            <v>A MX TWIND 2 (WS)</v>
          </cell>
        </row>
        <row r="1207">
          <cell r="AC1207" t="str">
            <v>104105-162</v>
          </cell>
          <cell r="AD1207" t="str">
            <v>A MX TWIND 2 LEA (MS)</v>
          </cell>
        </row>
        <row r="1208">
          <cell r="AC1208" t="str">
            <v>104137-331</v>
          </cell>
          <cell r="AD1208" t="str">
            <v>A MX TWIND 3 (MS)</v>
          </cell>
        </row>
        <row r="1209">
          <cell r="AC1209" t="str">
            <v>104137-601</v>
          </cell>
          <cell r="AD1209" t="str">
            <v>A MX TWIND 3 (MS)</v>
          </cell>
        </row>
        <row r="1210">
          <cell r="AC1210" t="str">
            <v>604111-331</v>
          </cell>
          <cell r="AD1210" t="str">
            <v>A MX TWIND 3 (MS)</v>
          </cell>
        </row>
        <row r="1211">
          <cell r="AC1211" t="str">
            <v>105132-171</v>
          </cell>
          <cell r="AD1211" t="str">
            <v>A MX TWIND 3 (WS)</v>
          </cell>
        </row>
        <row r="1212">
          <cell r="AC1212" t="str">
            <v>105158-471</v>
          </cell>
          <cell r="AD1212" t="str">
            <v>A MX TWIND 4 (WS)</v>
          </cell>
        </row>
        <row r="1213">
          <cell r="AC1213" t="str">
            <v>178027-141</v>
          </cell>
          <cell r="AD1213" t="str">
            <v>A NOMO MAX (MS)</v>
          </cell>
        </row>
        <row r="1214">
          <cell r="AC1214" t="str">
            <v>178027-411</v>
          </cell>
          <cell r="AD1214" t="str">
            <v>A NOMO MAX (MS)</v>
          </cell>
        </row>
        <row r="1215">
          <cell r="AC1215" t="str">
            <v>978008-141</v>
          </cell>
          <cell r="AD1215" t="str">
            <v>A NOMO MAX (MS)</v>
          </cell>
        </row>
        <row r="1216">
          <cell r="AC1216" t="str">
            <v>604073-131</v>
          </cell>
          <cell r="AD1216" t="str">
            <v>A TERRA ALBIS (MS)</v>
          </cell>
        </row>
        <row r="1217">
          <cell r="AC1217" t="str">
            <v>904086-101</v>
          </cell>
          <cell r="AD1217" t="str">
            <v>A TERRA ALBIS (MS)</v>
          </cell>
        </row>
        <row r="1218">
          <cell r="AC1218" t="str">
            <v>105084-561</v>
          </cell>
          <cell r="AD1218" t="str">
            <v>A TERRA ALBIS (WS)</v>
          </cell>
        </row>
        <row r="1219">
          <cell r="AC1219" t="str">
            <v>104084-161</v>
          </cell>
          <cell r="AD1219" t="str">
            <v>A TERRA SERTIG (MS)</v>
          </cell>
        </row>
        <row r="1220">
          <cell r="AC1220" t="str">
            <v>904085-671</v>
          </cell>
          <cell r="AD1220" t="str">
            <v>A TERRA SERTIG (MS)</v>
          </cell>
        </row>
        <row r="1221">
          <cell r="AC1221" t="str">
            <v>104076-131</v>
          </cell>
          <cell r="AD1221" t="str">
            <v>A TOTAL MAX 2 + (MS)</v>
          </cell>
        </row>
        <row r="1222">
          <cell r="AC1222" t="str">
            <v>104076-401</v>
          </cell>
          <cell r="AD1222" t="str">
            <v>A TOTAL MAX 2 + (MS)</v>
          </cell>
        </row>
        <row r="1223">
          <cell r="AC1223" t="str">
            <v>904073-611</v>
          </cell>
          <cell r="AD1223" t="str">
            <v>A TOTAL MAX 2 + (MS)</v>
          </cell>
        </row>
        <row r="1224">
          <cell r="AC1224" t="str">
            <v>105077-161</v>
          </cell>
          <cell r="AD1224" t="str">
            <v>A TOTAL MAX 2 + (WS)</v>
          </cell>
        </row>
        <row r="1225">
          <cell r="AC1225" t="str">
            <v>105077-411</v>
          </cell>
          <cell r="AD1225" t="str">
            <v>A TOTAL MAX 2 + (WS)</v>
          </cell>
        </row>
        <row r="1226">
          <cell r="AC1226" t="str">
            <v>605106-411</v>
          </cell>
          <cell r="AD1226" t="str">
            <v>A TOTAL MAX 4 (WMS)</v>
          </cell>
        </row>
        <row r="1227">
          <cell r="AC1227" t="str">
            <v>904061-101</v>
          </cell>
          <cell r="AD1227" t="str">
            <v>A.CENTURION (MS)</v>
          </cell>
        </row>
        <row r="1228">
          <cell r="AC1228" t="str">
            <v>971011-061</v>
          </cell>
          <cell r="AD1228" t="str">
            <v>A.COND.5 (MS)</v>
          </cell>
        </row>
        <row r="1229">
          <cell r="AC1229" t="str">
            <v>971011-101</v>
          </cell>
          <cell r="AD1229" t="str">
            <v>A.COND.5 (MS)</v>
          </cell>
        </row>
        <row r="1230">
          <cell r="AC1230" t="str">
            <v>971011-141</v>
          </cell>
          <cell r="AD1230" t="str">
            <v>A.COND.5 (MS)</v>
          </cell>
        </row>
        <row r="1231">
          <cell r="AC1231" t="str">
            <v>971011-471</v>
          </cell>
          <cell r="AD1231" t="str">
            <v>A.COND.5 (MS)</v>
          </cell>
        </row>
        <row r="1232">
          <cell r="AC1232" t="str">
            <v>971013-151</v>
          </cell>
          <cell r="AD1232" t="str">
            <v>A.COND.5 (MS)</v>
          </cell>
        </row>
        <row r="1233">
          <cell r="AC1233" t="str">
            <v>130635-001</v>
          </cell>
          <cell r="AD1233" t="str">
            <v>A.FLIGHT MAX (MS)</v>
          </cell>
        </row>
        <row r="1234">
          <cell r="AC1234" t="str">
            <v>130635-101</v>
          </cell>
          <cell r="AD1234" t="str">
            <v>A.FLIGHT MAX (MS)</v>
          </cell>
        </row>
        <row r="1235">
          <cell r="AC1235" t="str">
            <v>130635-111</v>
          </cell>
          <cell r="AD1235" t="str">
            <v>A.FLIGHT MAX (MS)</v>
          </cell>
        </row>
        <row r="1236">
          <cell r="AC1236" t="str">
            <v>430208-111</v>
          </cell>
          <cell r="AD1236" t="str">
            <v>A.FLIGHT MAX (MS)</v>
          </cell>
        </row>
        <row r="1237">
          <cell r="AC1237" t="str">
            <v>430208-112</v>
          </cell>
          <cell r="AD1237" t="str">
            <v>A.FLIGHT MAX (MS)</v>
          </cell>
        </row>
        <row r="1238">
          <cell r="AC1238" t="str">
            <v>430208-113</v>
          </cell>
          <cell r="AD1238" t="str">
            <v>A.FLIGHT MAX (MS)</v>
          </cell>
        </row>
        <row r="1239">
          <cell r="AC1239" t="str">
            <v>430208-114</v>
          </cell>
          <cell r="AD1239" t="str">
            <v>A.FLIGHT MAX (MS)</v>
          </cell>
        </row>
        <row r="1240">
          <cell r="AC1240" t="str">
            <v>430208-115</v>
          </cell>
          <cell r="AD1240" t="str">
            <v>A.FLIGHT MAX (MS)</v>
          </cell>
        </row>
        <row r="1241">
          <cell r="AC1241" t="str">
            <v>630232-101</v>
          </cell>
          <cell r="AD1241" t="str">
            <v>A.FLIGHT MAX (MS)</v>
          </cell>
        </row>
        <row r="1242">
          <cell r="AC1242" t="str">
            <v>178008-101</v>
          </cell>
          <cell r="AD1242" t="str">
            <v>A.GRIFFEY MAX (MS)</v>
          </cell>
        </row>
        <row r="1243">
          <cell r="AC1243" t="str">
            <v>178008-311</v>
          </cell>
          <cell r="AD1243" t="str">
            <v>A.GRIFFEY MAX (MS)</v>
          </cell>
        </row>
        <row r="1244">
          <cell r="AC1244" t="str">
            <v>178008-401</v>
          </cell>
          <cell r="AD1244" t="str">
            <v>A.GRIFFEY MAX (MS)</v>
          </cell>
        </row>
        <row r="1245">
          <cell r="AC1245" t="str">
            <v>978002-101</v>
          </cell>
          <cell r="AD1245" t="str">
            <v>A.GRIFFEY MAX (MS)</v>
          </cell>
        </row>
        <row r="1246">
          <cell r="AC1246" t="str">
            <v>855034-041</v>
          </cell>
          <cell r="AD1246" t="str">
            <v>A.INT'L TRIAX 2 BG</v>
          </cell>
        </row>
        <row r="1247">
          <cell r="AC1247" t="str">
            <v>855034-181</v>
          </cell>
          <cell r="AD1247" t="str">
            <v>A.INT'L TRIAX 2 BG</v>
          </cell>
        </row>
        <row r="1248">
          <cell r="AC1248" t="str">
            <v>904036-103</v>
          </cell>
          <cell r="AD1248" t="str">
            <v>A.MAX TRIAX (MS)</v>
          </cell>
        </row>
        <row r="1249">
          <cell r="AC1249" t="str">
            <v>904043-001</v>
          </cell>
          <cell r="AD1249" t="str">
            <v>A.MAX TRIAX (MS)</v>
          </cell>
        </row>
        <row r="1250">
          <cell r="AC1250" t="str">
            <v>904043-011</v>
          </cell>
          <cell r="AD1250" t="str">
            <v>A.MAX TRIAX (MS)</v>
          </cell>
        </row>
        <row r="1251">
          <cell r="AC1251" t="str">
            <v>904044-411</v>
          </cell>
          <cell r="AD1251" t="str">
            <v>A.MAX TRIAX+ (MS)</v>
          </cell>
        </row>
        <row r="1252">
          <cell r="AC1252" t="str">
            <v>905030-151</v>
          </cell>
          <cell r="AD1252" t="str">
            <v>A.MAX TRIAX X (WS)</v>
          </cell>
        </row>
        <row r="1253">
          <cell r="AC1253" t="str">
            <v>104071-051</v>
          </cell>
          <cell r="AD1253" t="str">
            <v>A.TOTAL MAX 2 (MS)</v>
          </cell>
        </row>
        <row r="1254">
          <cell r="AC1254" t="str">
            <v>104071-141</v>
          </cell>
          <cell r="AD1254" t="str">
            <v>A.TOTAL MAX 2 (MS)</v>
          </cell>
        </row>
        <row r="1255">
          <cell r="AC1255" t="str">
            <v>105070-141</v>
          </cell>
          <cell r="AD1255" t="str">
            <v>A.TOTAL MAX 2 (WS)</v>
          </cell>
        </row>
        <row r="1256">
          <cell r="AC1256" t="str">
            <v>105070-131</v>
          </cell>
          <cell r="AD1256" t="str">
            <v>A.TOTAL MAX 2 (WS)</v>
          </cell>
        </row>
        <row r="1257">
          <cell r="AC1257" t="str">
            <v>104111-042</v>
          </cell>
          <cell r="AD1257" t="str">
            <v>A.TOTAL MAX 3+ (MS)</v>
          </cell>
        </row>
        <row r="1258">
          <cell r="AC1258" t="str">
            <v>104069-041</v>
          </cell>
          <cell r="AD1258" t="str">
            <v>A.WD RNR 2 + (MS)</v>
          </cell>
        </row>
        <row r="1259">
          <cell r="AC1259" t="str">
            <v>104069-101</v>
          </cell>
          <cell r="AD1259" t="str">
            <v>A.WD RNR 2 + (MS)</v>
          </cell>
        </row>
        <row r="1260">
          <cell r="AC1260" t="str">
            <v>104069-141</v>
          </cell>
          <cell r="AD1260" t="str">
            <v>A.WD RNR 2 + (MS)</v>
          </cell>
        </row>
        <row r="1261">
          <cell r="AC1261" t="str">
            <v>104069-161</v>
          </cell>
          <cell r="AD1261" t="str">
            <v>A.WD RNR 2 + (MS)</v>
          </cell>
        </row>
        <row r="1262">
          <cell r="AC1262" t="str">
            <v>104069-311</v>
          </cell>
          <cell r="AD1262" t="str">
            <v>A.WD RNR 2 + (MS)</v>
          </cell>
        </row>
        <row r="1263">
          <cell r="AC1263" t="str">
            <v>904054-141</v>
          </cell>
          <cell r="AD1263" t="str">
            <v>A.WD RNR 2 + (MS)</v>
          </cell>
        </row>
        <row r="1264">
          <cell r="AC1264" t="str">
            <v>105069-141</v>
          </cell>
          <cell r="AD1264" t="str">
            <v>A.WD RNR 2 + (WS)</v>
          </cell>
        </row>
        <row r="1265">
          <cell r="AC1265" t="str">
            <v>105069-151</v>
          </cell>
          <cell r="AD1265" t="str">
            <v>A.WD RNR 2 + (WS)</v>
          </cell>
        </row>
        <row r="1266">
          <cell r="AC1266" t="str">
            <v>105069-311</v>
          </cell>
          <cell r="AD1266" t="str">
            <v>A.WD RNR 2 + (WS)</v>
          </cell>
        </row>
        <row r="1267">
          <cell r="AC1267" t="str">
            <v>104083-101</v>
          </cell>
          <cell r="AD1267" t="str">
            <v>A.WD RNR 3 (MS)</v>
          </cell>
        </row>
        <row r="1268">
          <cell r="AC1268" t="str">
            <v>104083-102</v>
          </cell>
          <cell r="AD1268" t="str">
            <v>A.WD RNR 3 (MS)</v>
          </cell>
        </row>
        <row r="1269">
          <cell r="AC1269" t="str">
            <v>104083-141</v>
          </cell>
          <cell r="AD1269" t="str">
            <v>A.WD RNR 3 (MS)</v>
          </cell>
        </row>
        <row r="1270">
          <cell r="AC1270" t="str">
            <v>104083-371</v>
          </cell>
          <cell r="AD1270" t="str">
            <v>A.WD RNR 3 (MS)</v>
          </cell>
        </row>
        <row r="1271">
          <cell r="AC1271" t="str">
            <v>104083-411</v>
          </cell>
          <cell r="AD1271" t="str">
            <v>A.WD RNR 3 (MS)</v>
          </cell>
        </row>
        <row r="1272">
          <cell r="AC1272" t="str">
            <v>604067-101</v>
          </cell>
          <cell r="AD1272" t="str">
            <v>A.WD RNR 3 (MS)</v>
          </cell>
        </row>
        <row r="1273">
          <cell r="AC1273" t="str">
            <v>604067-102</v>
          </cell>
          <cell r="AD1273" t="str">
            <v>A.WD RNR 3 (MS)</v>
          </cell>
        </row>
        <row r="1274">
          <cell r="AC1274" t="str">
            <v>904081-102</v>
          </cell>
          <cell r="AD1274" t="str">
            <v>A.WD RNR 3 (MS)</v>
          </cell>
        </row>
        <row r="1275">
          <cell r="AC1275" t="str">
            <v>904081-412</v>
          </cell>
          <cell r="AD1275" t="str">
            <v>A.WD RNR 3 (MS)</v>
          </cell>
        </row>
        <row r="1276">
          <cell r="AC1276" t="str">
            <v>904082-011</v>
          </cell>
          <cell r="AD1276" t="str">
            <v>A.WD RNR 3 (MS)</v>
          </cell>
        </row>
        <row r="1277">
          <cell r="AC1277" t="str">
            <v>904082-101</v>
          </cell>
          <cell r="AD1277" t="str">
            <v>A.WD RNR 3 (MS)</v>
          </cell>
        </row>
        <row r="1278">
          <cell r="AC1278" t="str">
            <v>904082-131</v>
          </cell>
          <cell r="AD1278" t="str">
            <v>A.WD RNR 3 (MS)</v>
          </cell>
        </row>
        <row r="1279">
          <cell r="AC1279" t="str">
            <v>904082-141</v>
          </cell>
          <cell r="AD1279" t="str">
            <v>A.WD RNR 3 (MS)</v>
          </cell>
        </row>
        <row r="1280">
          <cell r="AC1280" t="str">
            <v>904082-411</v>
          </cell>
          <cell r="AD1280" t="str">
            <v>A.WD RNR 3 (MS)</v>
          </cell>
        </row>
        <row r="1281">
          <cell r="AC1281" t="str">
            <v>904082-412</v>
          </cell>
          <cell r="AD1281" t="str">
            <v>A.WD RNR 3 (MS)</v>
          </cell>
        </row>
        <row r="1282">
          <cell r="AC1282" t="str">
            <v>105081-011</v>
          </cell>
          <cell r="AD1282" t="str">
            <v>A.WD RNR 3 (WS)</v>
          </cell>
        </row>
        <row r="1283">
          <cell r="AC1283" t="str">
            <v>105081-111</v>
          </cell>
          <cell r="AD1283" t="str">
            <v>A.WD RNR 3 (WS)</v>
          </cell>
        </row>
        <row r="1284">
          <cell r="AC1284" t="str">
            <v>105081-131</v>
          </cell>
          <cell r="AD1284" t="str">
            <v>A.WD RNR 3 (WS)</v>
          </cell>
        </row>
        <row r="1285">
          <cell r="AC1285" t="str">
            <v>105081-141</v>
          </cell>
          <cell r="AD1285" t="str">
            <v>A.WD RNR 3 (WS)</v>
          </cell>
        </row>
        <row r="1286">
          <cell r="AC1286" t="str">
            <v>105081-142</v>
          </cell>
          <cell r="AD1286" t="str">
            <v>A.WD RNR 3 (WS)</v>
          </cell>
        </row>
        <row r="1287">
          <cell r="AC1287" t="str">
            <v>105081-143</v>
          </cell>
          <cell r="AD1287" t="str">
            <v>A.WD RNR 3 (WS)</v>
          </cell>
        </row>
        <row r="1288">
          <cell r="AC1288" t="str">
            <v>105081-411</v>
          </cell>
          <cell r="AD1288" t="str">
            <v>A.WD RNR 3 (WS)</v>
          </cell>
        </row>
        <row r="1289">
          <cell r="AC1289" t="str">
            <v>605052-101</v>
          </cell>
          <cell r="AD1289" t="str">
            <v>A.WD RNR 3 (WS)</v>
          </cell>
        </row>
        <row r="1290">
          <cell r="AC1290" t="str">
            <v>605052-111</v>
          </cell>
          <cell r="AD1290" t="str">
            <v>A.WD RNR 3 (WS)</v>
          </cell>
        </row>
        <row r="1291">
          <cell r="AC1291" t="str">
            <v>605052-131</v>
          </cell>
          <cell r="AD1291" t="str">
            <v>A.WD RNR 3 (WS)</v>
          </cell>
        </row>
        <row r="1292">
          <cell r="AC1292" t="str">
            <v>605052-141</v>
          </cell>
          <cell r="AD1292" t="str">
            <v>A.WD RNR 3 (WS)</v>
          </cell>
        </row>
        <row r="1293">
          <cell r="AC1293" t="str">
            <v>605052-142</v>
          </cell>
          <cell r="AD1293" t="str">
            <v>A.WD RNR 3 (WS)</v>
          </cell>
        </row>
        <row r="1294">
          <cell r="AC1294" t="str">
            <v>605052-143</v>
          </cell>
          <cell r="AD1294" t="str">
            <v>A.WD RNR 3 (WS)</v>
          </cell>
        </row>
        <row r="1295">
          <cell r="AC1295" t="str">
            <v>905040-141</v>
          </cell>
          <cell r="AD1295" t="str">
            <v>A.WD RNR 3 (WS)</v>
          </cell>
        </row>
        <row r="1296">
          <cell r="AC1296" t="str">
            <v>905040-151</v>
          </cell>
          <cell r="AD1296" t="str">
            <v>A.WD RNR 3 (WS)</v>
          </cell>
        </row>
        <row r="1297">
          <cell r="AC1297" t="str">
            <v>905040-611</v>
          </cell>
          <cell r="AD1297" t="str">
            <v>A.WD RNR 3 (WS)</v>
          </cell>
        </row>
        <row r="1298">
          <cell r="AC1298" t="str">
            <v>104047-051</v>
          </cell>
          <cell r="AD1298" t="str">
            <v>A.WD. RNR 2 (MS)</v>
          </cell>
        </row>
        <row r="1299">
          <cell r="AC1299" t="str">
            <v>104047-101</v>
          </cell>
          <cell r="AD1299" t="str">
            <v>A.WD. RNR 2 (MS)</v>
          </cell>
        </row>
        <row r="1300">
          <cell r="AC1300" t="str">
            <v>104047-142</v>
          </cell>
          <cell r="AD1300" t="str">
            <v>A.WD. RNR 2 (MS)</v>
          </cell>
        </row>
        <row r="1301">
          <cell r="AC1301" t="str">
            <v>104047-412</v>
          </cell>
          <cell r="AD1301" t="str">
            <v>A.WD. RNR 2 (MS)</v>
          </cell>
        </row>
        <row r="1302">
          <cell r="AC1302" t="str">
            <v>104047-413</v>
          </cell>
          <cell r="AD1302" t="str">
            <v>A.WD. RNR 2 (MS)</v>
          </cell>
        </row>
        <row r="1303">
          <cell r="AC1303" t="str">
            <v>904037-151</v>
          </cell>
          <cell r="AD1303" t="str">
            <v>A.WD. RNR 2 (MS)</v>
          </cell>
        </row>
        <row r="1304">
          <cell r="AC1304" t="str">
            <v>904037-161</v>
          </cell>
          <cell r="AD1304" t="str">
            <v>A.WD. RNR 2 (MS)</v>
          </cell>
        </row>
        <row r="1305">
          <cell r="AC1305" t="str">
            <v>105049-101</v>
          </cell>
          <cell r="AD1305" t="str">
            <v>A.WD. RNR 2 (WS)</v>
          </cell>
        </row>
        <row r="1306">
          <cell r="AC1306" t="str">
            <v>105049-132</v>
          </cell>
          <cell r="AD1306" t="str">
            <v>A.WD. RNR 2 (WS)</v>
          </cell>
        </row>
        <row r="1307">
          <cell r="AC1307" t="str">
            <v>105049-142</v>
          </cell>
          <cell r="AD1307" t="str">
            <v>A.WD. RNR 2 (WS)</v>
          </cell>
        </row>
        <row r="1308">
          <cell r="AC1308" t="str">
            <v>105049-161</v>
          </cell>
          <cell r="AD1308" t="str">
            <v>A.WD. RNR 2 (WS)</v>
          </cell>
        </row>
        <row r="1309">
          <cell r="AC1309" t="str">
            <v>105049-451</v>
          </cell>
          <cell r="AD1309" t="str">
            <v>A.WD. RNR 2 (WS)</v>
          </cell>
        </row>
        <row r="1310">
          <cell r="AC1310" t="str">
            <v>905020-111</v>
          </cell>
          <cell r="AD1310" t="str">
            <v>A.WD. RNR 2 (WS)</v>
          </cell>
        </row>
        <row r="1311">
          <cell r="AC1311" t="str">
            <v>905020-141</v>
          </cell>
          <cell r="AD1311" t="str">
            <v>A.WD. RNR 2 (WS)</v>
          </cell>
        </row>
        <row r="1312">
          <cell r="AC1312" t="str">
            <v xml:space="preserve"> 173135-461</v>
          </cell>
          <cell r="AD1312" t="str">
            <v>A-180 (MS)</v>
          </cell>
        </row>
        <row r="1313">
          <cell r="AC1313" t="str">
            <v>173135-101</v>
          </cell>
          <cell r="AD1313" t="str">
            <v>A-180 (MS)</v>
          </cell>
        </row>
        <row r="1314">
          <cell r="AC1314" t="str">
            <v>174144-011</v>
          </cell>
          <cell r="AD1314" t="str">
            <v>A-180 (WS)</v>
          </cell>
        </row>
        <row r="1315">
          <cell r="AC1315" t="str">
            <v>174144-101</v>
          </cell>
          <cell r="AD1315" t="str">
            <v>A-180 (WS)</v>
          </cell>
        </row>
        <row r="1316">
          <cell r="AC1316" t="str">
            <v>174144-412</v>
          </cell>
          <cell r="AD1316" t="str">
            <v>A-180 (WS)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Cover"/>
      <sheetName val="Index"/>
      <sheetName val="Schedule Sheet"/>
      <sheetName val="Material Specifications 2"/>
      <sheetName val="Material Specifications"/>
      <sheetName val="Cutting Dies"/>
      <sheetName val="Logo Specification"/>
      <sheetName val="Skiving Instructions"/>
      <sheetName val="Pre-Buffing"/>
      <sheetName val="Marking Locations"/>
      <sheetName val="Reinf Placement"/>
      <sheetName val="Strap Specification"/>
      <sheetName val="Computer Stitching  (2)"/>
      <sheetName val="Stitching Over View"/>
      <sheetName val="Stitching Instructions (2)"/>
      <sheetName val="Outsole Color (2)"/>
      <sheetName val="Outsole Spec"/>
      <sheetName val="Outsole Preform "/>
      <sheetName val="Back Part Molding Spec."/>
      <sheetName val="Upper Measurement Specification"/>
      <sheetName val="Assembly Bonding Process (2)"/>
      <sheetName val="Assembly"/>
      <sheetName val="Socklinner Support"/>
      <sheetName val="Assembly Bonding Process"/>
      <sheetName val="Sheet1"/>
      <sheetName val="Mold Efficiency Form"/>
      <sheetName val="Raw Data Sheet"/>
      <sheetName val="3-I.Phân tích chuẩn bị may"/>
      <sheetName val="表格"/>
      <sheetName val="Sum"/>
      <sheetName val="STINSONBP"/>
      <sheetName val="Du_lieu"/>
      <sheetName val="Lists"/>
      <sheetName val="제조공정도5"/>
      <sheetName val="#REF"/>
      <sheetName val="Sheet2"/>
      <sheetName val="LIST OF CHANGSHIN STAFF"/>
      <sheetName val="Shox NZ M'S"/>
      <sheetName val="Puck-Shox Navina"/>
      <sheetName val="Shox NZ"/>
      <sheetName val=" Wedge "/>
      <sheetName val="#REF!"/>
      <sheetName val="8-I.Phân tích ma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utting"/>
      <sheetName val="Cutting (2)"/>
      <sheetName val="Cutting (3)"/>
      <sheetName val="Molding Piece Schedule "/>
      <sheetName val="Logo Specification"/>
      <sheetName val="Upper Molded Component Proc "/>
      <sheetName val="Sockliner Sublimation Proce "/>
      <sheetName val="Upper HF Welding Proc. Spec"/>
      <sheetName val="Strap Specification"/>
      <sheetName val="Reinforcement Placement"/>
      <sheetName val="Reinforcement Placement (2)"/>
      <sheetName val="Skiving Instruction"/>
      <sheetName val="Skiving Instruction (2)"/>
      <sheetName val="Pre-Buffing Specification "/>
      <sheetName val="Marking Location"/>
      <sheetName val="Marking Location (2)"/>
      <sheetName val="Stitching Overview Sketch"/>
      <sheetName val="Stitching Instruction "/>
      <sheetName val="Stitching Instruction(2)"/>
      <sheetName val="Stitching Instruction (3)"/>
      <sheetName val="Stitching Instruction (5)"/>
      <sheetName val="Stitching Instruction (4)"/>
      <sheetName val="Stitching Instruction (6)"/>
      <sheetName val="Stitching Instruction (7)"/>
      <sheetName val="Stitching Instruction (8)"/>
      <sheetName val="Phylon Midsole Spec. "/>
      <sheetName val="PHYLON CSS CONFIRMATION "/>
      <sheetName val="Outsole Color Schedule "/>
      <sheetName val="Outsole Preform Specificati "/>
      <sheetName val="Outssole Pressing Process"/>
      <sheetName val="Sockliner Specification "/>
      <sheetName val="Stockfit"/>
      <sheetName val="Assembly "/>
      <sheetName val="Stock Fitting Process "/>
      <sheetName val="Assembling Process "/>
      <sheetName val="Production Checklist "/>
      <sheetName val="Upper Measurement Spec. "/>
      <sheetName val="Sheet1"/>
      <sheetName val="제조공정도5"/>
      <sheetName val="Mold Efficiency Form"/>
      <sheetName val="3-I.Phân tích chuẩn bị may"/>
      <sheetName val="Detail -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utting"/>
      <sheetName val="Cutting (2)"/>
      <sheetName val="Cutting (3)"/>
      <sheetName val="Molding Piece Schedule "/>
      <sheetName val="Logo Specification"/>
      <sheetName val="Upper Molded Component Proc "/>
      <sheetName val="Sockliner Sublimation Proce "/>
      <sheetName val="Upper HF Welding Proc. Spec"/>
      <sheetName val="Strap Specification"/>
      <sheetName val="Reinforcement Placement"/>
      <sheetName val="Reinforcement Placement (2)"/>
      <sheetName val="Skiving Instruction"/>
      <sheetName val="Skiving Instruction (2)"/>
      <sheetName val="Pre-Buffing Specification "/>
      <sheetName val="Marking Location"/>
      <sheetName val="Marking Location (2)"/>
      <sheetName val="Stitching Overview Sketch"/>
      <sheetName val="Stitching Instruction "/>
      <sheetName val="Stitching Instruction(2)"/>
      <sheetName val="Stitching Instruction (3)"/>
      <sheetName val="Stitching Instruction (5)"/>
      <sheetName val="Stitching Instruction (4)"/>
      <sheetName val="Stitching Instruction (6)"/>
      <sheetName val="Stitching Instruction (7)"/>
      <sheetName val="Stitching Instruction (8)"/>
      <sheetName val="Phylon Midsole Spec. "/>
      <sheetName val="PHYLON CSS CONFIRMATION "/>
      <sheetName val="Outsole Color Schedule "/>
      <sheetName val="Outsole Preform Specificati "/>
      <sheetName val="Outssole Pressing Process"/>
      <sheetName val="Sockliner Specification "/>
      <sheetName val="Stockfit"/>
      <sheetName val="Assembly "/>
      <sheetName val="Stock Fitting Process "/>
      <sheetName val="Assembling Process "/>
      <sheetName val="Production Checklist "/>
      <sheetName val="Upper Measurement Spec. "/>
      <sheetName val="Sheet1"/>
      <sheetName val="제조공정도5"/>
      <sheetName val="Mold Efficiency Form"/>
      <sheetName val="3-I.Phân tích chuẩn bị 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rading"/>
      <sheetName val="Raw Data Sheet"/>
      <sheetName val="JetStreamGS(KDR227-M2-C2)"/>
      <sheetName val="Sheet1"/>
      <sheetName val="heso"/>
      <sheetName val="Raw_Data_Sheet"/>
      <sheetName val="Raw_Data_Sheet1"/>
      <sheetName val="Mold Efficiency Form"/>
      <sheetName val="Raw_Data_Sheet2"/>
      <sheetName val="dropdowns"/>
      <sheetName val="DropDown"/>
      <sheetName val="APACHE"/>
      <sheetName val="CLU"/>
      <sheetName val="EVN"/>
      <sheetName val="HSD"/>
      <sheetName val="FLU"/>
      <sheetName val="Perhitungan Jaminan"/>
      <sheetName val="3-I.Phân tích chuẩn bị may"/>
      <sheetName val="Supplier List"/>
      <sheetName val="Raw_Data_Sheet3"/>
      <sheetName val="Mold_Efficiency_Form"/>
      <sheetName val="Perhitungan_Jaminan"/>
      <sheetName val="Supplier_List"/>
      <sheetName val="3-I_Phân_tích_chuẩn_bị_may"/>
      <sheetName val="Raw_Data_Sheet4"/>
      <sheetName val="Mold_Efficiency_Form1"/>
      <sheetName val="Perhitungan_Jaminan1"/>
      <sheetName val="Supplier_List1"/>
      <sheetName val="3-I_Phân_tích_chuẩn_bị_may1"/>
      <sheetName val="list 12-02 &amp; 01-03"/>
      <sheetName val="SUMMARY "/>
      <sheetName val="klht"/>
    </sheetNames>
    <sheetDataSet>
      <sheetData sheetId="0"/>
      <sheetData sheetId="1"/>
      <sheetData sheetId="2">
        <row r="75">
          <cell r="A75" t="str">
            <v>Model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>
        <row r="75">
          <cell r="A75" t="str">
            <v>Model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75">
          <cell r="A75" t="str">
            <v>Model</v>
          </cell>
        </row>
      </sheetData>
      <sheetData sheetId="21"/>
      <sheetData sheetId="22"/>
      <sheetData sheetId="23"/>
      <sheetData sheetId="24"/>
      <sheetData sheetId="25">
        <row r="75">
          <cell r="A75" t="str">
            <v>Model</v>
          </cell>
        </row>
      </sheetData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#REF"/>
      <sheetName val="Resume"/>
      <sheetName val="Raw Data Sheet"/>
      <sheetName val="MATERIAL SPEC."/>
      <sheetName val="fty fill in"/>
      <sheetName val="Upper Molded Cmmponent Proc."/>
      <sheetName val="Stitching Instruation (4)"/>
      <sheetName val="Stitchine Instruction"/>
      <sheetName val="PROGRESS"/>
      <sheetName val="JUNI LOAD PLAN"/>
      <sheetName val="Finding"/>
      <sheetName val="Sheet2"/>
      <sheetName val="Material_SpecificationsWO_"/>
      <sheetName val="Material_Specifications_ME"/>
      <sheetName val="Molding_Piece_Schedule"/>
      <sheetName val="Logo_Specification"/>
      <sheetName val="Upper_Injected_Component_Proc_"/>
      <sheetName val="Upper_Molded_Component_Proc_"/>
      <sheetName val="Upper_HF_Welding_Proc__Spec"/>
      <sheetName val="Strap_Specification"/>
      <sheetName val="Reinforcement_Placement"/>
      <sheetName val="Skiving_Instruction"/>
      <sheetName val="Pre-Buffing_Specification"/>
      <sheetName val="Marking_Location"/>
      <sheetName val="Computer_Stitching_Schedule"/>
      <sheetName val="Stitching_Overview_Sketch"/>
      <sheetName val="Stitching_Instruction"/>
      <sheetName val="Stitching_Instruction_(2)"/>
      <sheetName val="Stitching_Instruction_(3)"/>
      <sheetName val="Stitching_Instruction_(4)"/>
      <sheetName val="Stitching_Instruction_(5)"/>
      <sheetName val="Stitching_Instruction_(6)"/>
      <sheetName val="CMP_PHYLON_CSS_CONFIRMATION"/>
      <sheetName val="Phylon_Midsole_Spec_III"/>
      <sheetName val="PU_CSS_CONFIRMATION_(2)"/>
      <sheetName val="PU_CSS_Schedules"/>
      <sheetName val="PU_Midsole_Spec_I"/>
      <sheetName val="Outsole_Preform_Specification"/>
      <sheetName val="Outssole_Pressing_Process"/>
      <sheetName val="Sockliner_Specification"/>
      <sheetName val="Airbag_&amp;_Prefit_Bonding_PFC"/>
      <sheetName val="Stockfit_Bonding_PFC"/>
      <sheetName val="Assembly_Bonding_PFC"/>
      <sheetName val="Assembling_Process"/>
      <sheetName val="Production_Checklist"/>
      <sheetName val="Upper_Measurement_Spec_"/>
      <sheetName val="Upper_Weight_Control"/>
      <sheetName val="Blank_Form"/>
      <sheetName val="PHYLON_CSS"/>
      <sheetName val="PHYLON_CSS_SCHEDULES"/>
      <sheetName val="PHYLON_CSS_CONFIRMATION"/>
      <sheetName val="Raw_Data_Sheet"/>
      <sheetName val="MATERIAL_SPEC_"/>
      <sheetName val="fty_fill_in"/>
      <sheetName val="Upper_Molded_Cmmponent_Proc_"/>
      <sheetName val="Stitching_Instruation_(4)"/>
      <sheetName val="JUNI_LOAD_PLAN"/>
      <sheetName val="Stitchine_Instruction"/>
      <sheetName val="Sheet1"/>
      <sheetName val="Assembly (2)"/>
      <sheetName val="#REF!"/>
      <sheetName val="Tables"/>
      <sheetName val="KPI-Desember"/>
      <sheetName val="PL(동주)"/>
      <sheetName val="Material_SpecificationsWO_1"/>
      <sheetName val="Material_Specifications_ME1"/>
      <sheetName val="Molding_Piece_Schedule1"/>
      <sheetName val="Logo_Specification1"/>
      <sheetName val="Upper_Injected_Component_Proc_1"/>
      <sheetName val="Upper_Molded_Component_Proc_1"/>
      <sheetName val="Upper_HF_Welding_Proc__Spec1"/>
      <sheetName val="Strap_Specification1"/>
      <sheetName val="Reinforcement_Placement1"/>
      <sheetName val="Skiving_Instruction1"/>
      <sheetName val="Pre-Buffing_Specification1"/>
      <sheetName val="Marking_Location1"/>
      <sheetName val="Computer_Stitching_Schedule1"/>
      <sheetName val="Stitching_Overview_Sketch1"/>
      <sheetName val="Stitching_Instruction1"/>
      <sheetName val="Stitching_Instruction_(2)1"/>
      <sheetName val="Stitching_Instruction_(3)1"/>
      <sheetName val="Stitching_Instruction_(4)1"/>
      <sheetName val="Stitching_Instruction_(5)1"/>
      <sheetName val="Stitching_Instruction_(6)1"/>
      <sheetName val="CMP_PHYLON_CSS_CONFIRMATION1"/>
      <sheetName val="Phylon_Midsole_Spec_III1"/>
      <sheetName val="PU_CSS_CONFIRMATION_(2)1"/>
      <sheetName val="PU_CSS_Schedules1"/>
      <sheetName val="PU_Midsole_Spec_I1"/>
      <sheetName val="Outsole_Preform_Specification1"/>
      <sheetName val="Outssole_Pressing_Process1"/>
      <sheetName val="Sockliner_Specification1"/>
      <sheetName val="Airbag_&amp;_Prefit_Bonding_PFC1"/>
      <sheetName val="Stockfit_Bonding_PFC1"/>
      <sheetName val="Assembly_Bonding_PFC1"/>
      <sheetName val="Assembling_Process1"/>
      <sheetName val="Production_Checklist1"/>
      <sheetName val="Upper_Measurement_Spec_1"/>
      <sheetName val="Upper_Weight_Control1"/>
      <sheetName val="Blank_Form1"/>
      <sheetName val="PHYLON_CSS1"/>
      <sheetName val="PHYLON_CSS_SCHEDULES1"/>
      <sheetName val="PHYLON_CSS_CONFIRMATION1"/>
      <sheetName val="Raw_Data_Sheet1"/>
      <sheetName val="MATERIAL_SPEC_1"/>
      <sheetName val="fty_fill_in1"/>
      <sheetName val="Upper_Molded_Cmmponent_Proc_1"/>
      <sheetName val="Stitching_Instruation_(4)1"/>
      <sheetName val="Stitchine_Instruction1"/>
      <sheetName val="JUNI_LOAD_PLAN1"/>
      <sheetName val="Mold Audit"/>
      <sheetName val="output per jam"/>
      <sheetName val="MLT "/>
      <sheetName val="daily BEP"/>
      <sheetName val="Data"/>
      <sheetName val="output_per_jam"/>
      <sheetName val="MLT_"/>
      <sheetName val="daily_BEP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75">
          <cell r="A75">
            <v>17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#REF"/>
      <sheetName val="Resume"/>
      <sheetName val="Raw Data Sheet"/>
      <sheetName val="MATERIAL SPEC."/>
      <sheetName val="fty fill in"/>
      <sheetName val="Upper Molded Cmmponent Proc."/>
      <sheetName val="Stitching Instruation (4)"/>
      <sheetName val="Stitchine Instruction"/>
      <sheetName val="PROGRESS"/>
      <sheetName val="JUNI LOAD PLAN"/>
      <sheetName val="Finding"/>
      <sheetName val="Sheet2"/>
      <sheetName val="Material_SpecificationsWO_"/>
      <sheetName val="Material_Specifications_ME"/>
      <sheetName val="Molding_Piece_Schedule"/>
      <sheetName val="Logo_Specification"/>
      <sheetName val="Upper_Injected_Component_Proc_"/>
      <sheetName val="Upper_Molded_Component_Proc_"/>
      <sheetName val="Upper_HF_Welding_Proc__Spec"/>
      <sheetName val="Strap_Specification"/>
      <sheetName val="Reinforcement_Placement"/>
      <sheetName val="Skiving_Instruction"/>
      <sheetName val="Pre-Buffing_Specification"/>
      <sheetName val="Marking_Location"/>
      <sheetName val="Computer_Stitching_Schedule"/>
      <sheetName val="Stitching_Overview_Sketch"/>
      <sheetName val="Stitching_Instruction"/>
      <sheetName val="Stitching_Instruction_(2)"/>
      <sheetName val="Stitching_Instruction_(3)"/>
      <sheetName val="Stitching_Instruction_(4)"/>
      <sheetName val="Stitching_Instruction_(5)"/>
      <sheetName val="Stitching_Instruction_(6)"/>
      <sheetName val="CMP_PHYLON_CSS_CONFIRMATION"/>
      <sheetName val="Phylon_Midsole_Spec_III"/>
      <sheetName val="PU_CSS_CONFIRMATION_(2)"/>
      <sheetName val="PU_CSS_Schedules"/>
      <sheetName val="PU_Midsole_Spec_I"/>
      <sheetName val="Outsole_Preform_Specification"/>
      <sheetName val="Outssole_Pressing_Process"/>
      <sheetName val="Sockliner_Specification"/>
      <sheetName val="Airbag_&amp;_Prefit_Bonding_PFC"/>
      <sheetName val="Stockfit_Bonding_PFC"/>
      <sheetName val="Assembly_Bonding_PFC"/>
      <sheetName val="Assembling_Process"/>
      <sheetName val="Production_Checklist"/>
      <sheetName val="Upper_Measurement_Spec_"/>
      <sheetName val="Upper_Weight_Control"/>
      <sheetName val="Blank_Form"/>
      <sheetName val="PHYLON_CSS"/>
      <sheetName val="PHYLON_CSS_SCHEDULES"/>
      <sheetName val="PHYLON_CSS_CONFIRMATION"/>
      <sheetName val="Raw_Data_Sheet"/>
      <sheetName val="MATERIAL_SPEC_"/>
      <sheetName val="fty_fill_in"/>
      <sheetName val="Upper_Molded_Cmmponent_Proc_"/>
      <sheetName val="Stitching_Instruation_(4)"/>
      <sheetName val="JUNI_LOAD_PLAN"/>
      <sheetName val="Stitchine_Instruction"/>
      <sheetName val="Sheet1"/>
      <sheetName val="Assembly (2)"/>
      <sheetName val="#REF!"/>
      <sheetName val="Tables"/>
      <sheetName val="KPI-Desember"/>
      <sheetName val="PL(동주)"/>
      <sheetName val="Material_SpecificationsWO_1"/>
      <sheetName val="Material_Specifications_ME1"/>
      <sheetName val="Molding_Piece_Schedule1"/>
      <sheetName val="Logo_Specification1"/>
      <sheetName val="Upper_Injected_Component_Proc_1"/>
      <sheetName val="Upper_Molded_Component_Proc_1"/>
      <sheetName val="Upper_HF_Welding_Proc__Spec1"/>
      <sheetName val="Strap_Specification1"/>
      <sheetName val="Reinforcement_Placement1"/>
      <sheetName val="Skiving_Instruction1"/>
      <sheetName val="Pre-Buffing_Specification1"/>
      <sheetName val="Marking_Location1"/>
      <sheetName val="Computer_Stitching_Schedule1"/>
      <sheetName val="Stitching_Overview_Sketch1"/>
      <sheetName val="Stitching_Instruction1"/>
      <sheetName val="Stitching_Instruction_(2)1"/>
      <sheetName val="Stitching_Instruction_(3)1"/>
      <sheetName val="Stitching_Instruction_(4)1"/>
      <sheetName val="Stitching_Instruction_(5)1"/>
      <sheetName val="Stitching_Instruction_(6)1"/>
      <sheetName val="CMP_PHYLON_CSS_CONFIRMATION1"/>
      <sheetName val="Phylon_Midsole_Spec_III1"/>
      <sheetName val="PU_CSS_CONFIRMATION_(2)1"/>
      <sheetName val="PU_CSS_Schedules1"/>
      <sheetName val="PU_Midsole_Spec_I1"/>
      <sheetName val="Outsole_Preform_Specification1"/>
      <sheetName val="Outssole_Pressing_Process1"/>
      <sheetName val="Sockliner_Specification1"/>
      <sheetName val="Airbag_&amp;_Prefit_Bonding_PFC1"/>
      <sheetName val="Stockfit_Bonding_PFC1"/>
      <sheetName val="Assembly_Bonding_PFC1"/>
      <sheetName val="Assembling_Process1"/>
      <sheetName val="Production_Checklist1"/>
      <sheetName val="Upper_Measurement_Spec_1"/>
      <sheetName val="Upper_Weight_Control1"/>
      <sheetName val="Blank_Form1"/>
      <sheetName val="PHYLON_CSS1"/>
      <sheetName val="PHYLON_CSS_SCHEDULES1"/>
      <sheetName val="PHYLON_CSS_CONFIRMATION1"/>
      <sheetName val="Raw_Data_Sheet1"/>
      <sheetName val="MATERIAL_SPEC_1"/>
      <sheetName val="fty_fill_in1"/>
      <sheetName val="Upper_Molded_Cmmponent_Proc_1"/>
      <sheetName val="Stitching_Instruation_(4)1"/>
      <sheetName val="Stitchine_Instruction1"/>
      <sheetName val="JUNI_LOAD_PLAN1"/>
      <sheetName val="Mold Audit"/>
      <sheetName val="output per jam"/>
      <sheetName val="MLT "/>
      <sheetName val="daily BEP"/>
      <sheetName val="Data"/>
      <sheetName val="output_per_jam"/>
      <sheetName val="MLT_"/>
      <sheetName val="daily_B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75">
          <cell r="A75">
            <v>17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8D Form (2)"/>
      <sheetName val="Sheet1"/>
      <sheetName val="針車 may"/>
    </sheetNames>
    <sheetDataSet>
      <sheetData sheetId="0"/>
      <sheetData sheetId="1">
        <row r="2">
          <cell r="A2" t="str">
            <v>AQL / Factory Warehouse audit</v>
          </cell>
        </row>
        <row r="3">
          <cell r="A3" t="str">
            <v>Customer</v>
          </cell>
        </row>
        <row r="4">
          <cell r="A4" t="str">
            <v>Fit Test</v>
          </cell>
        </row>
        <row r="5">
          <cell r="A5" t="str">
            <v>NB Assy Line Audit</v>
          </cell>
        </row>
        <row r="6">
          <cell r="A6" t="str">
            <v>NB USA Factory</v>
          </cell>
        </row>
        <row r="7">
          <cell r="A7" t="str">
            <v xml:space="preserve">NB USA Warehouse  Audit </v>
          </cell>
        </row>
        <row r="8">
          <cell r="A8" t="str">
            <v>Wear Test</v>
          </cell>
        </row>
        <row r="12">
          <cell r="A12" t="str">
            <v>No</v>
          </cell>
        </row>
        <row r="13">
          <cell r="A13" t="str">
            <v>Yes</v>
          </cell>
        </row>
        <row r="14">
          <cell r="A14" t="str">
            <v>In Process</v>
          </cell>
        </row>
      </sheetData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8D Form (2)"/>
      <sheetName val="Sheet1"/>
      <sheetName val="針車 may"/>
    </sheetNames>
    <sheetDataSet>
      <sheetData sheetId="0"/>
      <sheetData sheetId="1">
        <row r="2">
          <cell r="A2" t="str">
            <v>AQL / Factory Warehouse audit</v>
          </cell>
        </row>
        <row r="3">
          <cell r="A3" t="str">
            <v>Customer</v>
          </cell>
        </row>
        <row r="4">
          <cell r="A4" t="str">
            <v>Fit Test</v>
          </cell>
        </row>
        <row r="5">
          <cell r="A5" t="str">
            <v>NB Assy Line Audit</v>
          </cell>
        </row>
        <row r="6">
          <cell r="A6" t="str">
            <v>NB USA Factory</v>
          </cell>
        </row>
        <row r="7">
          <cell r="A7" t="str">
            <v>NB USA Warehouse  Audit</v>
          </cell>
        </row>
        <row r="8">
          <cell r="A8" t="str">
            <v>Wear Test</v>
          </cell>
        </row>
        <row r="12">
          <cell r="A12" t="str">
            <v>No</v>
          </cell>
        </row>
        <row r="13">
          <cell r="A13" t="str">
            <v>Yes</v>
          </cell>
        </row>
        <row r="14">
          <cell r="A14" t="str">
            <v>In Process</v>
          </cell>
        </row>
      </sheetData>
      <sheetData sheetId="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Material Lamination Process"/>
      <sheetName val="Cutting"/>
      <sheetName val="Perf Schedule"/>
      <sheetName val="Upper Molded Component Spec."/>
      <sheetName val="Logo Specification "/>
      <sheetName val="Reinf Placement"/>
      <sheetName val="Skiving Instruction"/>
      <sheetName val="Pre-Buffing"/>
      <sheetName val="Marking Location "/>
      <sheetName val="Best Pratice Schedule"/>
      <sheetName val="Stitching Overview Sketch"/>
      <sheetName val="Stitching Instruction"/>
      <sheetName val="Computer Stitching Schedule"/>
      <sheetName val="Midsole Color Schedules.."/>
      <sheetName val="Skiving Midsole"/>
      <sheetName val="Outsole Color Schedule"/>
      <sheetName val="Outsole Preform Specification"/>
      <sheetName val="Outssole Pressing Process"/>
      <sheetName val="Outsole Trimming Process"/>
      <sheetName val="Outsole Degreasing Process"/>
      <sheetName val="sf"/>
      <sheetName val="Stock Fit Process "/>
      <sheetName val="ass"/>
      <sheetName val="Assembling Process   "/>
      <sheetName val="Back Part Molding Spec "/>
      <sheetName val="Sockliner Specification"/>
      <sheetName val="Marking&amp;Primer of Insole"/>
      <sheetName val="Upper Measurement Spec."/>
      <sheetName val="Production Checklist"/>
      <sheetName val="IDS StickLength  History"/>
      <sheetName val="IDS StickLength  History (2)"/>
      <sheetName val="Eva Midsole Process"/>
      <sheetName val="Summary"/>
      <sheetName val="Material Cover "/>
      <sheetName val="Material Specifications  (2)"/>
      <sheetName val="#REF"/>
      <sheetName val="Sheet1"/>
      <sheetName val="NAME"/>
      <sheetName val="Sheet1 (2)"/>
      <sheetName val="BMB319.Z.PF"/>
      <sheetName val="IBASE"/>
      <sheetName val="Vietnam Report"/>
      <sheetName val="Mold Efficiency Form"/>
      <sheetName val="Raw 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Material Lamination Process"/>
      <sheetName val="Cutting"/>
      <sheetName val="Perf Schedule"/>
      <sheetName val="Upper Molded Component Spec."/>
      <sheetName val="Logo Specification "/>
      <sheetName val="Reinf Placement"/>
      <sheetName val="Skiving Instruction"/>
      <sheetName val="Pre-Buffing"/>
      <sheetName val="Marking Location "/>
      <sheetName val="Best Pratice Schedule"/>
      <sheetName val="Stitching Overview Sketch"/>
      <sheetName val="Stitching Instruction"/>
      <sheetName val="Computer Stitching Schedule"/>
      <sheetName val="Midsole Color Schedules.."/>
      <sheetName val="Skiving Midsole"/>
      <sheetName val="Outsole Color Schedule"/>
      <sheetName val="Outsole Preform Specification"/>
      <sheetName val="Outssole Pressing Process"/>
      <sheetName val="Outsole Trimming Process"/>
      <sheetName val="Outsole Degreasing Process"/>
      <sheetName val="sf"/>
      <sheetName val="Stock Fit Process "/>
      <sheetName val="ass"/>
      <sheetName val="Assembling Process   "/>
      <sheetName val="Back Part Molding Spec "/>
      <sheetName val="Sockliner Specification"/>
      <sheetName val="Marking&amp;Primer of Insole"/>
      <sheetName val="Upper Measurement Spec."/>
      <sheetName val="Production Checklist"/>
      <sheetName val="IDS StickLength  History"/>
      <sheetName val="IDS StickLength  History (2)"/>
      <sheetName val="Eva Midsole Process"/>
      <sheetName val="Summary"/>
      <sheetName val="Material Cover "/>
      <sheetName val="Material Specifications  (2)"/>
      <sheetName val="#REF"/>
      <sheetName val="Sheet1"/>
      <sheetName val="NAME"/>
      <sheetName val="Sheet1 (2)"/>
      <sheetName val="BMB319.Z.PF"/>
      <sheetName val="IBASE"/>
      <sheetName val="Vietnam Report"/>
      <sheetName val="Mold Efficiency Form"/>
      <sheetName val="Raw 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Input"/>
      <sheetName val="Model"/>
      <sheetName val="Machine"/>
      <sheetName val="LPC TEMPLATE (설명)"/>
      <sheetName val="LPC TEMPLATE"/>
      <sheetName val="LPC Idea List (단계별 작성)"/>
      <sheetName val="Summary"/>
      <sheetName val="CUT"/>
      <sheetName val="SKV"/>
      <sheetName val="BFF"/>
      <sheetName val="PMK"/>
      <sheetName val="SMK"/>
      <sheetName val="RFA"/>
      <sheetName val="Pre(Others)"/>
      <sheetName val="CST"/>
      <sheetName val="STT"/>
      <sheetName val="PRT"/>
      <sheetName val="Stacking Tongue"/>
      <sheetName val="Stacking"/>
      <sheetName val="NSW"/>
      <sheetName val="Pre-STF"/>
      <sheetName val="STF"/>
      <sheetName val="ASS (2)"/>
      <sheetName val="ASS"/>
      <sheetName val="OS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83">
          <cell r="B83" t="str">
            <v>법인지표</v>
          </cell>
          <cell r="C83">
            <v>0.5</v>
          </cell>
        </row>
        <row r="84">
          <cell r="B84" t="str">
            <v xml:space="preserve"> 모델 평균 PPH</v>
          </cell>
          <cell r="C84">
            <v>0.49603174603174605</v>
          </cell>
        </row>
        <row r="85">
          <cell r="B85" t="str">
            <v>PR</v>
          </cell>
          <cell r="C85" t="str">
            <v/>
          </cell>
        </row>
        <row r="86">
          <cell r="B86" t="str">
            <v>PRO</v>
          </cell>
          <cell r="C86" t="str">
            <v/>
          </cell>
        </row>
        <row r="87">
          <cell r="B87" t="str">
            <v>KAPM</v>
          </cell>
          <cell r="C87" t="str">
            <v/>
          </cell>
        </row>
        <row r="88">
          <cell r="B88" t="str">
            <v>RFC</v>
          </cell>
          <cell r="C88" t="str">
            <v/>
          </cell>
        </row>
        <row r="89">
          <cell r="B89" t="str">
            <v>Z</v>
          </cell>
          <cell r="C89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Input"/>
      <sheetName val="Model"/>
      <sheetName val="Machine"/>
      <sheetName val="LPC TEMPLATE (설명)"/>
      <sheetName val="LPC TEMPLATE"/>
      <sheetName val="LPC Idea List (단계별 작성)"/>
      <sheetName val="Summary"/>
      <sheetName val="CUT"/>
      <sheetName val="SKV"/>
      <sheetName val="BFF"/>
      <sheetName val="PMK"/>
      <sheetName val="SMK"/>
      <sheetName val="RFA"/>
      <sheetName val="Pre(Others)"/>
      <sheetName val="CST"/>
      <sheetName val="STT"/>
      <sheetName val="PRT"/>
      <sheetName val="Stacking Tongue"/>
      <sheetName val="Stacking"/>
      <sheetName val="NSW"/>
      <sheetName val="Pre-STF"/>
      <sheetName val="STF"/>
      <sheetName val="ASS (2)"/>
      <sheetName val="ASS"/>
      <sheetName val="OS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83">
          <cell r="B83" t="str">
            <v>법인지표</v>
          </cell>
          <cell r="C83">
            <v>0.5</v>
          </cell>
        </row>
        <row r="84">
          <cell r="B84" t="str">
            <v>모델 평균 PPH</v>
          </cell>
          <cell r="C84">
            <v>0.49603174603174605</v>
          </cell>
        </row>
        <row r="85">
          <cell r="B85" t="str">
            <v>PR</v>
          </cell>
        </row>
        <row r="86">
          <cell r="B86" t="str">
            <v>PRO</v>
          </cell>
        </row>
        <row r="87">
          <cell r="B87" t="str">
            <v>KAPM</v>
          </cell>
        </row>
        <row r="88">
          <cell r="B88" t="str">
            <v>RFC</v>
          </cell>
        </row>
        <row r="89">
          <cell r="B89" t="str">
            <v>Z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15 ALL"/>
      <sheetName val="Sheet1"/>
      <sheetName val="ALL"/>
      <sheetName val="2nd report"/>
      <sheetName val="SA"/>
      <sheetName val="MKT"/>
      <sheetName val="shoe destroy"/>
      <sheetName val="1st report"/>
      <sheetName val="new Total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Art#</v>
          </cell>
          <cell r="B1" t="str">
            <v>SMPL size</v>
          </cell>
        </row>
        <row r="2">
          <cell r="A2" t="str">
            <v>F98293</v>
          </cell>
          <cell r="B2">
            <v>8.5</v>
          </cell>
          <cell r="C2" t="str">
            <v>Philip</v>
          </cell>
        </row>
        <row r="3">
          <cell r="A3" t="str">
            <v>F98294</v>
          </cell>
          <cell r="B3">
            <v>8.5</v>
          </cell>
          <cell r="C3" t="str">
            <v>Philip</v>
          </cell>
        </row>
        <row r="4">
          <cell r="A4" t="str">
            <v>F98295</v>
          </cell>
          <cell r="B4">
            <v>8.5</v>
          </cell>
          <cell r="C4" t="str">
            <v>Philip</v>
          </cell>
        </row>
        <row r="5">
          <cell r="A5" t="str">
            <v>F98274</v>
          </cell>
          <cell r="B5">
            <v>5.5</v>
          </cell>
          <cell r="C5" t="str">
            <v>Sophia</v>
          </cell>
        </row>
        <row r="6">
          <cell r="A6" t="str">
            <v>F98275</v>
          </cell>
          <cell r="B6">
            <v>5.5</v>
          </cell>
          <cell r="C6" t="str">
            <v>Sophia</v>
          </cell>
        </row>
        <row r="7">
          <cell r="A7" t="str">
            <v>F98276</v>
          </cell>
          <cell r="B7">
            <v>5.5</v>
          </cell>
          <cell r="C7" t="str">
            <v>Sophia</v>
          </cell>
        </row>
        <row r="8">
          <cell r="A8" t="str">
            <v>F98277</v>
          </cell>
          <cell r="B8">
            <v>5.5</v>
          </cell>
          <cell r="C8" t="str">
            <v>Sophia</v>
          </cell>
        </row>
        <row r="9">
          <cell r="A9" t="str">
            <v>F98635</v>
          </cell>
          <cell r="B9">
            <v>5.5</v>
          </cell>
          <cell r="C9" t="str">
            <v>Sophia</v>
          </cell>
        </row>
        <row r="10">
          <cell r="A10" t="str">
            <v>F98636</v>
          </cell>
          <cell r="B10">
            <v>5.5</v>
          </cell>
          <cell r="C10" t="str">
            <v>Sophia</v>
          </cell>
        </row>
        <row r="11">
          <cell r="A11" t="str">
            <v>F98637</v>
          </cell>
          <cell r="B11">
            <v>5.5</v>
          </cell>
          <cell r="C11" t="str">
            <v>Sophia</v>
          </cell>
        </row>
        <row r="12">
          <cell r="A12" t="str">
            <v>F98632</v>
          </cell>
          <cell r="B12">
            <v>5.5</v>
          </cell>
          <cell r="C12" t="str">
            <v>Sophia</v>
          </cell>
        </row>
        <row r="13">
          <cell r="A13" t="str">
            <v>F98633</v>
          </cell>
          <cell r="B13">
            <v>5.5</v>
          </cell>
          <cell r="C13" t="str">
            <v>Sophia</v>
          </cell>
        </row>
        <row r="14">
          <cell r="A14" t="str">
            <v>F98634</v>
          </cell>
          <cell r="B14">
            <v>5.5</v>
          </cell>
          <cell r="C14" t="str">
            <v>Sophia</v>
          </cell>
        </row>
        <row r="15">
          <cell r="A15" t="str">
            <v>F98818</v>
          </cell>
          <cell r="B15" t="str">
            <v>5.5</v>
          </cell>
          <cell r="C15" t="str">
            <v>Sophia</v>
          </cell>
        </row>
        <row r="16">
          <cell r="A16" t="str">
            <v>F98819</v>
          </cell>
          <cell r="B16" t="str">
            <v>5.5</v>
          </cell>
          <cell r="C16" t="str">
            <v>Sophia</v>
          </cell>
        </row>
        <row r="17">
          <cell r="A17" t="str">
            <v>F98822</v>
          </cell>
          <cell r="B17" t="str">
            <v>5.5</v>
          </cell>
          <cell r="C17" t="str">
            <v>Sophia</v>
          </cell>
        </row>
        <row r="18">
          <cell r="A18" t="str">
            <v>F98823</v>
          </cell>
          <cell r="B18" t="str">
            <v>5.5</v>
          </cell>
          <cell r="C18" t="str">
            <v>Sophia</v>
          </cell>
        </row>
        <row r="19">
          <cell r="A19" t="str">
            <v>F98824</v>
          </cell>
          <cell r="B19" t="str">
            <v>5.5</v>
          </cell>
          <cell r="C19" t="str">
            <v>Sophia</v>
          </cell>
        </row>
        <row r="20">
          <cell r="A20" t="str">
            <v>F98825</v>
          </cell>
          <cell r="B20" t="str">
            <v>5.5</v>
          </cell>
          <cell r="C20" t="str">
            <v>Sophia</v>
          </cell>
        </row>
        <row r="21">
          <cell r="A21" t="str">
            <v>F98321</v>
          </cell>
          <cell r="B21">
            <v>8.5</v>
          </cell>
          <cell r="C21" t="str">
            <v>Philip</v>
          </cell>
        </row>
        <row r="22">
          <cell r="A22" t="str">
            <v>F98322</v>
          </cell>
          <cell r="B22">
            <v>8.5</v>
          </cell>
          <cell r="C22" t="str">
            <v>Philip</v>
          </cell>
        </row>
        <row r="23">
          <cell r="A23" t="str">
            <v>F98323</v>
          </cell>
          <cell r="B23">
            <v>8.5</v>
          </cell>
          <cell r="C23" t="str">
            <v>Philip</v>
          </cell>
        </row>
        <row r="24">
          <cell r="A24" t="str">
            <v>F98509</v>
          </cell>
          <cell r="B24" t="str">
            <v>5.5K</v>
          </cell>
          <cell r="C24" t="str">
            <v>Jimmy</v>
          </cell>
        </row>
        <row r="25">
          <cell r="A25" t="str">
            <v>F98510</v>
          </cell>
          <cell r="B25" t="str">
            <v>5.5K</v>
          </cell>
          <cell r="C25" t="str">
            <v>Jimmy</v>
          </cell>
        </row>
        <row r="26">
          <cell r="A26" t="str">
            <v>F98511</v>
          </cell>
          <cell r="B26" t="str">
            <v>5.5K</v>
          </cell>
          <cell r="C26" t="str">
            <v>Jimmy</v>
          </cell>
        </row>
        <row r="27">
          <cell r="A27" t="str">
            <v>F98506</v>
          </cell>
          <cell r="B27">
            <v>3</v>
          </cell>
          <cell r="C27" t="str">
            <v>Jimmy</v>
          </cell>
        </row>
        <row r="28">
          <cell r="A28" t="str">
            <v>F98507</v>
          </cell>
          <cell r="B28">
            <v>3</v>
          </cell>
          <cell r="C28" t="str">
            <v>Jimmy</v>
          </cell>
        </row>
        <row r="29">
          <cell r="A29" t="str">
            <v>F98508</v>
          </cell>
          <cell r="B29">
            <v>3</v>
          </cell>
          <cell r="C29" t="str">
            <v>Jimmy</v>
          </cell>
        </row>
        <row r="30">
          <cell r="A30" t="str">
            <v>F98326</v>
          </cell>
          <cell r="B30">
            <v>8.5</v>
          </cell>
          <cell r="C30" t="str">
            <v>Philip</v>
          </cell>
        </row>
        <row r="31">
          <cell r="A31" t="str">
            <v>F98324</v>
          </cell>
          <cell r="B31">
            <v>8.5</v>
          </cell>
          <cell r="C31" t="str">
            <v>Philip</v>
          </cell>
        </row>
        <row r="32">
          <cell r="A32" t="str">
            <v>F98325</v>
          </cell>
          <cell r="B32">
            <v>8.5</v>
          </cell>
          <cell r="C32" t="str">
            <v>Philip</v>
          </cell>
        </row>
        <row r="33">
          <cell r="A33" t="str">
            <v>F98731</v>
          </cell>
          <cell r="B33">
            <v>8.5</v>
          </cell>
          <cell r="C33" t="str">
            <v>Philip</v>
          </cell>
        </row>
        <row r="34">
          <cell r="A34" t="str">
            <v>F98732</v>
          </cell>
          <cell r="B34">
            <v>8.5</v>
          </cell>
          <cell r="C34" t="str">
            <v>Philip</v>
          </cell>
        </row>
        <row r="35">
          <cell r="A35" t="str">
            <v>F98651</v>
          </cell>
          <cell r="B35">
            <v>5.5</v>
          </cell>
          <cell r="C35" t="str">
            <v>Sophia</v>
          </cell>
        </row>
        <row r="36">
          <cell r="A36" t="str">
            <v>F98652</v>
          </cell>
          <cell r="B36">
            <v>5.5</v>
          </cell>
          <cell r="C36" t="str">
            <v>Sophia</v>
          </cell>
        </row>
        <row r="37">
          <cell r="A37" t="str">
            <v>F98653</v>
          </cell>
          <cell r="B37">
            <v>5.5</v>
          </cell>
          <cell r="C37" t="str">
            <v>Sophia</v>
          </cell>
        </row>
        <row r="38">
          <cell r="A38" t="str">
            <v>F98654</v>
          </cell>
          <cell r="B38">
            <v>5.5</v>
          </cell>
          <cell r="C38" t="str">
            <v>Sophia</v>
          </cell>
        </row>
        <row r="39">
          <cell r="A39" t="str">
            <v>F98655</v>
          </cell>
          <cell r="B39">
            <v>5.5</v>
          </cell>
          <cell r="C39" t="str">
            <v>Sophia</v>
          </cell>
        </row>
        <row r="40">
          <cell r="A40" t="str">
            <v>F98656</v>
          </cell>
          <cell r="B40">
            <v>5.5</v>
          </cell>
          <cell r="C40" t="str">
            <v>Sophia</v>
          </cell>
        </row>
        <row r="41">
          <cell r="A41" t="str">
            <v>F98603</v>
          </cell>
          <cell r="B41" t="str">
            <v>5.5</v>
          </cell>
          <cell r="C41" t="str">
            <v>Sophia</v>
          </cell>
        </row>
        <row r="42">
          <cell r="A42" t="str">
            <v>F98557</v>
          </cell>
          <cell r="B42">
            <v>8.5</v>
          </cell>
          <cell r="C42" t="str">
            <v>Philip</v>
          </cell>
        </row>
        <row r="43">
          <cell r="A43" t="str">
            <v>F98558</v>
          </cell>
          <cell r="B43">
            <v>8.5</v>
          </cell>
          <cell r="C43" t="str">
            <v>Philip</v>
          </cell>
        </row>
        <row r="44">
          <cell r="A44" t="str">
            <v>F98559</v>
          </cell>
          <cell r="B44">
            <v>8.5</v>
          </cell>
          <cell r="C44" t="str">
            <v>Philip</v>
          </cell>
        </row>
        <row r="45">
          <cell r="A45" t="str">
            <v>F98867</v>
          </cell>
          <cell r="B45" t="str">
            <v>5.5K</v>
          </cell>
          <cell r="C45" t="str">
            <v>Jimmy</v>
          </cell>
        </row>
        <row r="46">
          <cell r="A46" t="str">
            <v>F98868</v>
          </cell>
          <cell r="B46" t="str">
            <v>5.5K</v>
          </cell>
          <cell r="C46" t="str">
            <v>Jimmy</v>
          </cell>
        </row>
        <row r="47">
          <cell r="A47" t="str">
            <v>F98869</v>
          </cell>
          <cell r="B47" t="str">
            <v>5.5K</v>
          </cell>
          <cell r="C47" t="str">
            <v>Jimmy</v>
          </cell>
        </row>
        <row r="48">
          <cell r="A48" t="str">
            <v>F98495</v>
          </cell>
          <cell r="B48">
            <v>8.5</v>
          </cell>
          <cell r="C48" t="str">
            <v>Philip</v>
          </cell>
        </row>
        <row r="49">
          <cell r="A49" t="str">
            <v>F98496</v>
          </cell>
          <cell r="B49">
            <v>8.5</v>
          </cell>
          <cell r="C49" t="str">
            <v>Philip</v>
          </cell>
        </row>
        <row r="50">
          <cell r="A50" t="str">
            <v>F98581</v>
          </cell>
          <cell r="B50">
            <v>8.5</v>
          </cell>
          <cell r="C50" t="str">
            <v>Philip</v>
          </cell>
        </row>
        <row r="51">
          <cell r="A51" t="str">
            <v>F98582</v>
          </cell>
          <cell r="B51">
            <v>8.5</v>
          </cell>
          <cell r="C51" t="str">
            <v>Philip</v>
          </cell>
        </row>
        <row r="52">
          <cell r="A52" t="str">
            <v>F98832</v>
          </cell>
          <cell r="B52" t="str">
            <v>5.5</v>
          </cell>
          <cell r="C52" t="str">
            <v>Sophia</v>
          </cell>
        </row>
        <row r="53">
          <cell r="A53" t="str">
            <v>F98833</v>
          </cell>
          <cell r="B53" t="str">
            <v>5.5</v>
          </cell>
          <cell r="C53" t="str">
            <v>Sophia</v>
          </cell>
        </row>
        <row r="54">
          <cell r="A54" t="str">
            <v>F98834</v>
          </cell>
          <cell r="B54" t="str">
            <v>5.5</v>
          </cell>
          <cell r="C54" t="str">
            <v>Sophia</v>
          </cell>
        </row>
        <row r="55">
          <cell r="A55" t="str">
            <v>F98835</v>
          </cell>
          <cell r="B55" t="str">
            <v>5.5</v>
          </cell>
          <cell r="C55" t="str">
            <v>Sophia</v>
          </cell>
        </row>
        <row r="56">
          <cell r="A56" t="str">
            <v>F98836</v>
          </cell>
          <cell r="B56" t="str">
            <v>5.5</v>
          </cell>
          <cell r="C56" t="str">
            <v>Sophia</v>
          </cell>
        </row>
        <row r="57">
          <cell r="A57" t="str">
            <v>F98837</v>
          </cell>
          <cell r="B57" t="str">
            <v>5.5</v>
          </cell>
          <cell r="C57" t="str">
            <v>Sophia</v>
          </cell>
        </row>
        <row r="58">
          <cell r="A58" t="str">
            <v>F98554</v>
          </cell>
          <cell r="B58">
            <v>8.5</v>
          </cell>
          <cell r="C58" t="str">
            <v>Philip</v>
          </cell>
        </row>
        <row r="59">
          <cell r="A59" t="str">
            <v>F98555</v>
          </cell>
          <cell r="B59">
            <v>8.5</v>
          </cell>
          <cell r="C59" t="str">
            <v>Philip</v>
          </cell>
        </row>
        <row r="60">
          <cell r="A60" t="str">
            <v>F98556</v>
          </cell>
          <cell r="B60">
            <v>8.5</v>
          </cell>
          <cell r="C60" t="str">
            <v>Philip</v>
          </cell>
        </row>
        <row r="61">
          <cell r="A61" t="str">
            <v>F98330</v>
          </cell>
          <cell r="B61">
            <v>8.5</v>
          </cell>
          <cell r="C61" t="str">
            <v>Philip</v>
          </cell>
        </row>
        <row r="62">
          <cell r="A62" t="str">
            <v>F98331</v>
          </cell>
          <cell r="B62">
            <v>8.5</v>
          </cell>
          <cell r="C62" t="str">
            <v>Philip</v>
          </cell>
        </row>
        <row r="63">
          <cell r="A63" t="str">
            <v>F98332</v>
          </cell>
          <cell r="B63">
            <v>8.5</v>
          </cell>
          <cell r="C63" t="str">
            <v>Philip</v>
          </cell>
        </row>
        <row r="64">
          <cell r="A64" t="str">
            <v>F98336</v>
          </cell>
          <cell r="B64">
            <v>8.5</v>
          </cell>
          <cell r="C64" t="str">
            <v>Philip</v>
          </cell>
        </row>
        <row r="65">
          <cell r="A65" t="str">
            <v>F98337</v>
          </cell>
          <cell r="B65">
            <v>8.5</v>
          </cell>
          <cell r="C65" t="str">
            <v>Philip</v>
          </cell>
        </row>
        <row r="66">
          <cell r="A66" t="str">
            <v>F98338</v>
          </cell>
          <cell r="B66">
            <v>8.5</v>
          </cell>
          <cell r="C66" t="str">
            <v>Philip</v>
          </cell>
        </row>
        <row r="67">
          <cell r="A67" t="str">
            <v>F98339</v>
          </cell>
          <cell r="B67">
            <v>8.5</v>
          </cell>
          <cell r="C67" t="str">
            <v>Philip</v>
          </cell>
        </row>
        <row r="68">
          <cell r="A68" t="str">
            <v>F98342</v>
          </cell>
          <cell r="B68">
            <v>8.5</v>
          </cell>
          <cell r="C68" t="str">
            <v>Philip</v>
          </cell>
        </row>
        <row r="69">
          <cell r="A69" t="str">
            <v>F98343</v>
          </cell>
          <cell r="B69">
            <v>8.5</v>
          </cell>
          <cell r="C69" t="str">
            <v>Philip</v>
          </cell>
        </row>
        <row r="70">
          <cell r="A70" t="str">
            <v>F98344</v>
          </cell>
          <cell r="B70">
            <v>8.5</v>
          </cell>
          <cell r="C70" t="str">
            <v>Philip</v>
          </cell>
        </row>
        <row r="71">
          <cell r="A71" t="str">
            <v>F98350</v>
          </cell>
          <cell r="B71">
            <v>8.5</v>
          </cell>
          <cell r="C71" t="str">
            <v>Philip</v>
          </cell>
        </row>
        <row r="72">
          <cell r="A72" t="str">
            <v>F98351</v>
          </cell>
          <cell r="B72">
            <v>8.5</v>
          </cell>
          <cell r="C72" t="str">
            <v>Philip</v>
          </cell>
        </row>
        <row r="73">
          <cell r="A73" t="str">
            <v>F98352</v>
          </cell>
          <cell r="B73">
            <v>8.5</v>
          </cell>
          <cell r="C73" t="str">
            <v>Philip</v>
          </cell>
        </row>
        <row r="74">
          <cell r="A74" t="str">
            <v>F98623</v>
          </cell>
          <cell r="B74">
            <v>5.5</v>
          </cell>
          <cell r="C74" t="str">
            <v>Sophia</v>
          </cell>
        </row>
        <row r="75">
          <cell r="A75" t="str">
            <v>F98624</v>
          </cell>
          <cell r="B75">
            <v>5.5</v>
          </cell>
          <cell r="C75" t="str">
            <v>Sophia</v>
          </cell>
        </row>
        <row r="76">
          <cell r="A76" t="str">
            <v>F98345</v>
          </cell>
          <cell r="B76">
            <v>8.5</v>
          </cell>
          <cell r="C76" t="str">
            <v>Philip</v>
          </cell>
        </row>
        <row r="77">
          <cell r="A77" t="str">
            <v>F98346</v>
          </cell>
          <cell r="B77">
            <v>8.5</v>
          </cell>
          <cell r="C77" t="str">
            <v>Philip</v>
          </cell>
        </row>
        <row r="78">
          <cell r="A78" t="str">
            <v>F98347</v>
          </cell>
          <cell r="B78">
            <v>8.5</v>
          </cell>
          <cell r="C78" t="str">
            <v>Philip</v>
          </cell>
        </row>
        <row r="79">
          <cell r="A79" t="str">
            <v>F98348</v>
          </cell>
          <cell r="B79">
            <v>8.5</v>
          </cell>
          <cell r="C79" t="str">
            <v>Philip</v>
          </cell>
        </row>
        <row r="80">
          <cell r="A80" t="str">
            <v>F98349</v>
          </cell>
          <cell r="B80">
            <v>8.5</v>
          </cell>
          <cell r="C80" t="str">
            <v>Philip</v>
          </cell>
        </row>
        <row r="81">
          <cell r="A81" t="str">
            <v>F98521</v>
          </cell>
          <cell r="B81" t="str">
            <v>5.5K</v>
          </cell>
          <cell r="C81" t="str">
            <v>Jimmy</v>
          </cell>
        </row>
        <row r="82">
          <cell r="A82" t="str">
            <v>F98604</v>
          </cell>
          <cell r="B82" t="str">
            <v>5.5K</v>
          </cell>
          <cell r="C82" t="str">
            <v>Jimmy</v>
          </cell>
        </row>
        <row r="83">
          <cell r="A83" t="str">
            <v>F98605</v>
          </cell>
          <cell r="B83" t="str">
            <v>5.5K</v>
          </cell>
          <cell r="C83" t="str">
            <v>Jimmy</v>
          </cell>
        </row>
        <row r="84">
          <cell r="A84" t="str">
            <v>F98522</v>
          </cell>
          <cell r="B84" t="str">
            <v>5.5K</v>
          </cell>
          <cell r="C84" t="str">
            <v>Jimmy</v>
          </cell>
        </row>
        <row r="85">
          <cell r="A85" t="str">
            <v>F98523</v>
          </cell>
          <cell r="B85" t="str">
            <v>5.5K</v>
          </cell>
          <cell r="C85" t="str">
            <v>Jimmy</v>
          </cell>
        </row>
        <row r="86">
          <cell r="A86" t="str">
            <v>F98626</v>
          </cell>
          <cell r="B86">
            <v>5.5</v>
          </cell>
          <cell r="C86" t="str">
            <v>Sophia</v>
          </cell>
        </row>
        <row r="87">
          <cell r="A87" t="str">
            <v>F98627</v>
          </cell>
          <cell r="B87">
            <v>5.5</v>
          </cell>
          <cell r="C87" t="str">
            <v>Sophia</v>
          </cell>
        </row>
        <row r="88">
          <cell r="A88" t="str">
            <v>F98628</v>
          </cell>
          <cell r="B88">
            <v>5.5</v>
          </cell>
          <cell r="C88" t="str">
            <v>Sophia</v>
          </cell>
        </row>
        <row r="89">
          <cell r="A89" t="str">
            <v>F98629</v>
          </cell>
          <cell r="B89">
            <v>5.5</v>
          </cell>
          <cell r="C89" t="str">
            <v>Sophia</v>
          </cell>
        </row>
        <row r="90">
          <cell r="A90" t="str">
            <v>F98630</v>
          </cell>
          <cell r="B90">
            <v>5.5</v>
          </cell>
          <cell r="C90" t="str">
            <v>Sophia</v>
          </cell>
        </row>
        <row r="91">
          <cell r="A91" t="str">
            <v>F98631</v>
          </cell>
          <cell r="B91">
            <v>5.5</v>
          </cell>
          <cell r="C91" t="str">
            <v>Sophia</v>
          </cell>
        </row>
        <row r="92">
          <cell r="A92" t="str">
            <v>F98512</v>
          </cell>
          <cell r="B92">
            <v>8.5</v>
          </cell>
          <cell r="C92" t="str">
            <v>Philip</v>
          </cell>
        </row>
        <row r="93">
          <cell r="A93" t="str">
            <v>F98513</v>
          </cell>
          <cell r="B93">
            <v>8.5</v>
          </cell>
          <cell r="C93" t="str">
            <v>Philip</v>
          </cell>
        </row>
        <row r="94">
          <cell r="A94" t="str">
            <v>F98517</v>
          </cell>
          <cell r="B94">
            <v>8.5</v>
          </cell>
          <cell r="C94" t="str">
            <v>Philip</v>
          </cell>
        </row>
        <row r="95">
          <cell r="A95" t="str">
            <v>F98518</v>
          </cell>
          <cell r="B95">
            <v>8.5</v>
          </cell>
          <cell r="C95" t="str">
            <v>Philip</v>
          </cell>
        </row>
        <row r="96">
          <cell r="A96" t="str">
            <v>F98864</v>
          </cell>
          <cell r="B96" t="str">
            <v>5.5K</v>
          </cell>
          <cell r="C96" t="str">
            <v>Jimmy</v>
          </cell>
        </row>
        <row r="97">
          <cell r="A97" t="str">
            <v>F98865</v>
          </cell>
          <cell r="B97" t="str">
            <v>5.5K</v>
          </cell>
          <cell r="C97" t="str">
            <v>Jimmy</v>
          </cell>
        </row>
        <row r="98">
          <cell r="A98" t="str">
            <v>F98866</v>
          </cell>
          <cell r="B98" t="str">
            <v>5.5K</v>
          </cell>
          <cell r="C98" t="str">
            <v>Jimmy</v>
          </cell>
        </row>
        <row r="99">
          <cell r="A99" t="str">
            <v>F98534</v>
          </cell>
          <cell r="B99" t="str">
            <v>5.5K</v>
          </cell>
          <cell r="C99" t="str">
            <v>Jimmy</v>
          </cell>
        </row>
        <row r="100">
          <cell r="A100" t="str">
            <v>F98537</v>
          </cell>
          <cell r="B100" t="str">
            <v>5.5K</v>
          </cell>
          <cell r="C100" t="str">
            <v>Jimmy</v>
          </cell>
        </row>
        <row r="101">
          <cell r="A101" t="str">
            <v>F98538</v>
          </cell>
          <cell r="B101" t="str">
            <v>5.5K</v>
          </cell>
          <cell r="C101" t="str">
            <v>Jimmy</v>
          </cell>
        </row>
        <row r="102">
          <cell r="A102" t="str">
            <v>F98535</v>
          </cell>
          <cell r="B102" t="str">
            <v>5.5K</v>
          </cell>
          <cell r="C102" t="str">
            <v>Jimmy</v>
          </cell>
        </row>
        <row r="103">
          <cell r="A103" t="str">
            <v>F98536</v>
          </cell>
          <cell r="B103" t="str">
            <v>5.5K</v>
          </cell>
          <cell r="C103" t="str">
            <v>Jimmy</v>
          </cell>
        </row>
        <row r="104">
          <cell r="A104" t="str">
            <v>F98642</v>
          </cell>
          <cell r="B104">
            <v>5.5</v>
          </cell>
          <cell r="C104" t="str">
            <v>Sophia</v>
          </cell>
        </row>
        <row r="105">
          <cell r="A105" t="str">
            <v>F98643</v>
          </cell>
          <cell r="B105">
            <v>5.5</v>
          </cell>
          <cell r="C105" t="str">
            <v>Sophia</v>
          </cell>
        </row>
        <row r="106">
          <cell r="A106" t="str">
            <v>F98524</v>
          </cell>
          <cell r="B106">
            <v>3</v>
          </cell>
          <cell r="C106" t="str">
            <v>Jimmy</v>
          </cell>
        </row>
        <row r="107">
          <cell r="A107" t="str">
            <v>F98525</v>
          </cell>
          <cell r="B107">
            <v>3</v>
          </cell>
          <cell r="C107" t="str">
            <v>Jimmy</v>
          </cell>
        </row>
        <row r="108">
          <cell r="A108" t="str">
            <v>F98569</v>
          </cell>
          <cell r="B108">
            <v>8.5</v>
          </cell>
          <cell r="C108" t="str">
            <v>Philip</v>
          </cell>
        </row>
        <row r="109">
          <cell r="A109" t="str">
            <v>F98570</v>
          </cell>
          <cell r="B109">
            <v>8.5</v>
          </cell>
          <cell r="C109" t="str">
            <v>Philip</v>
          </cell>
        </row>
        <row r="110">
          <cell r="A110" t="str">
            <v>F98571</v>
          </cell>
          <cell r="B110">
            <v>8.5</v>
          </cell>
          <cell r="C110" t="str">
            <v>Philip</v>
          </cell>
        </row>
        <row r="111">
          <cell r="A111" t="str">
            <v>F98533</v>
          </cell>
          <cell r="B111">
            <v>3</v>
          </cell>
          <cell r="C111" t="str">
            <v>Jimmy</v>
          </cell>
        </row>
        <row r="112">
          <cell r="A112" t="str">
            <v>F98529</v>
          </cell>
          <cell r="B112">
            <v>3</v>
          </cell>
          <cell r="C112" t="str">
            <v>Jimmy</v>
          </cell>
        </row>
        <row r="113">
          <cell r="A113" t="str">
            <v>F98530</v>
          </cell>
          <cell r="B113">
            <v>3</v>
          </cell>
          <cell r="C113" t="str">
            <v>Jimmy</v>
          </cell>
        </row>
        <row r="114">
          <cell r="A114" t="str">
            <v>F98531</v>
          </cell>
          <cell r="B114">
            <v>3</v>
          </cell>
          <cell r="C114" t="str">
            <v>Jimmy</v>
          </cell>
        </row>
        <row r="115">
          <cell r="A115" t="str">
            <v>F98532</v>
          </cell>
          <cell r="B115">
            <v>3</v>
          </cell>
          <cell r="C115" t="str">
            <v>Jimmy</v>
          </cell>
        </row>
        <row r="116">
          <cell r="A116" t="str">
            <v>F98640</v>
          </cell>
          <cell r="B116">
            <v>5.5</v>
          </cell>
          <cell r="C116" t="str">
            <v>Sophia</v>
          </cell>
        </row>
        <row r="117">
          <cell r="A117" t="str">
            <v>F98641</v>
          </cell>
          <cell r="B117">
            <v>5.5</v>
          </cell>
          <cell r="C117" t="str">
            <v>Sophia</v>
          </cell>
        </row>
        <row r="118">
          <cell r="A118" t="str">
            <v>F98638</v>
          </cell>
          <cell r="B118">
            <v>5.5</v>
          </cell>
          <cell r="C118" t="str">
            <v>Sophia</v>
          </cell>
        </row>
        <row r="119">
          <cell r="A119" t="str">
            <v>F98639</v>
          </cell>
          <cell r="B119">
            <v>5.5</v>
          </cell>
          <cell r="C119" t="str">
            <v>Sophia</v>
          </cell>
        </row>
        <row r="120">
          <cell r="A120" t="str">
            <v>F98403</v>
          </cell>
          <cell r="B120">
            <v>8.5</v>
          </cell>
          <cell r="C120" t="str">
            <v>Philip</v>
          </cell>
        </row>
        <row r="121">
          <cell r="A121" t="str">
            <v>F98404</v>
          </cell>
          <cell r="B121">
            <v>8.5</v>
          </cell>
          <cell r="C121" t="str">
            <v>Philip</v>
          </cell>
        </row>
        <row r="122">
          <cell r="A122" t="str">
            <v>F98405</v>
          </cell>
          <cell r="B122">
            <v>8.5</v>
          </cell>
          <cell r="C122" t="str">
            <v>Philip</v>
          </cell>
        </row>
        <row r="123">
          <cell r="A123" t="str">
            <v>F98406</v>
          </cell>
          <cell r="B123">
            <v>8.5</v>
          </cell>
          <cell r="C123" t="str">
            <v>Philip</v>
          </cell>
        </row>
        <row r="124">
          <cell r="A124" t="str">
            <v>F98544</v>
          </cell>
          <cell r="B124" t="str">
            <v>11.5K</v>
          </cell>
          <cell r="C124" t="str">
            <v>Jimmy</v>
          </cell>
        </row>
        <row r="125">
          <cell r="A125" t="str">
            <v>F98547</v>
          </cell>
          <cell r="B125" t="str">
            <v>11.5K</v>
          </cell>
          <cell r="C125" t="str">
            <v>Jimmy</v>
          </cell>
        </row>
        <row r="126">
          <cell r="A126" t="str">
            <v>F98548</v>
          </cell>
          <cell r="B126" t="str">
            <v>11.5K</v>
          </cell>
          <cell r="C126" t="str">
            <v>Jimmy</v>
          </cell>
        </row>
        <row r="127">
          <cell r="A127" t="str">
            <v>F98545</v>
          </cell>
          <cell r="B127" t="str">
            <v>11.5K</v>
          </cell>
          <cell r="C127" t="str">
            <v>Jimmy</v>
          </cell>
        </row>
        <row r="128">
          <cell r="A128" t="str">
            <v>F98546</v>
          </cell>
          <cell r="B128" t="str">
            <v>11.5K</v>
          </cell>
          <cell r="C128" t="str">
            <v>Jimmy</v>
          </cell>
        </row>
        <row r="129">
          <cell r="A129" t="str">
            <v>F98549</v>
          </cell>
          <cell r="B129" t="str">
            <v>5.5K</v>
          </cell>
          <cell r="C129" t="str">
            <v>Jimmy</v>
          </cell>
        </row>
        <row r="130">
          <cell r="A130" t="str">
            <v>F98550</v>
          </cell>
          <cell r="B130" t="str">
            <v>5.5K</v>
          </cell>
          <cell r="C130" t="str">
            <v>Jimmy</v>
          </cell>
        </row>
        <row r="131">
          <cell r="A131" t="str">
            <v>F98551</v>
          </cell>
          <cell r="B131" t="str">
            <v>5.5K</v>
          </cell>
          <cell r="C131" t="str">
            <v>Jimmy</v>
          </cell>
        </row>
        <row r="132">
          <cell r="A132" t="str">
            <v>F98552</v>
          </cell>
          <cell r="B132" t="str">
            <v>5.5K</v>
          </cell>
          <cell r="C132" t="str">
            <v>Jimmy</v>
          </cell>
        </row>
        <row r="133">
          <cell r="A133" t="str">
            <v>F98553</v>
          </cell>
          <cell r="B133" t="str">
            <v>5.5K</v>
          </cell>
          <cell r="C133" t="str">
            <v>Jimmy</v>
          </cell>
        </row>
        <row r="134">
          <cell r="A134" t="str">
            <v>F98539</v>
          </cell>
          <cell r="B134">
            <v>3</v>
          </cell>
          <cell r="C134" t="str">
            <v>Jimmy</v>
          </cell>
        </row>
        <row r="135">
          <cell r="A135" t="str">
            <v>F98542</v>
          </cell>
          <cell r="B135">
            <v>3</v>
          </cell>
          <cell r="C135" t="str">
            <v>Jimmy</v>
          </cell>
        </row>
        <row r="136">
          <cell r="A136" t="str">
            <v>F98543</v>
          </cell>
          <cell r="B136">
            <v>3</v>
          </cell>
          <cell r="C136" t="str">
            <v>Jimmy</v>
          </cell>
        </row>
        <row r="137">
          <cell r="A137" t="str">
            <v>F98540</v>
          </cell>
          <cell r="B137">
            <v>3</v>
          </cell>
          <cell r="C137" t="str">
            <v>Jimmy</v>
          </cell>
        </row>
        <row r="138">
          <cell r="A138" t="str">
            <v>F98541</v>
          </cell>
          <cell r="B138">
            <v>3</v>
          </cell>
          <cell r="C138" t="str">
            <v>Jimmy</v>
          </cell>
        </row>
        <row r="139">
          <cell r="A139" t="str">
            <v>F98397</v>
          </cell>
          <cell r="B139">
            <v>8.5</v>
          </cell>
          <cell r="C139" t="str">
            <v>Philip</v>
          </cell>
        </row>
        <row r="140">
          <cell r="A140" t="str">
            <v>F98398</v>
          </cell>
          <cell r="B140">
            <v>8.5</v>
          </cell>
          <cell r="C140" t="str">
            <v>Philip</v>
          </cell>
        </row>
        <row r="141">
          <cell r="A141" t="str">
            <v>F98459</v>
          </cell>
          <cell r="B141">
            <v>3</v>
          </cell>
          <cell r="C141" t="str">
            <v>Jimmy</v>
          </cell>
        </row>
        <row r="142">
          <cell r="A142" t="str">
            <v>F98460</v>
          </cell>
          <cell r="B142">
            <v>3</v>
          </cell>
          <cell r="C142" t="str">
            <v>Jimmy</v>
          </cell>
        </row>
        <row r="143">
          <cell r="A143" t="str">
            <v>F98306</v>
          </cell>
          <cell r="B143">
            <v>8.5</v>
          </cell>
          <cell r="C143" t="str">
            <v>Philip</v>
          </cell>
        </row>
        <row r="144">
          <cell r="A144" t="str">
            <v>F98924</v>
          </cell>
          <cell r="B144">
            <v>8.5</v>
          </cell>
          <cell r="C144" t="str">
            <v>Philip</v>
          </cell>
        </row>
        <row r="145">
          <cell r="A145" t="str">
            <v>F98923</v>
          </cell>
          <cell r="B145">
            <v>8.5</v>
          </cell>
          <cell r="C145" t="str">
            <v>Philip</v>
          </cell>
        </row>
        <row r="146">
          <cell r="A146" t="str">
            <v>F98307</v>
          </cell>
          <cell r="B146">
            <v>8.5</v>
          </cell>
          <cell r="C146" t="str">
            <v>Philip</v>
          </cell>
        </row>
        <row r="147">
          <cell r="A147" t="str">
            <v>F98308</v>
          </cell>
          <cell r="B147">
            <v>8.5</v>
          </cell>
          <cell r="C147" t="str">
            <v>Philip</v>
          </cell>
        </row>
        <row r="148">
          <cell r="A148" t="str">
            <v>F98303</v>
          </cell>
          <cell r="B148">
            <v>8.5</v>
          </cell>
          <cell r="C148" t="str">
            <v>Philip</v>
          </cell>
        </row>
        <row r="149">
          <cell r="A149" t="str">
            <v>F98304</v>
          </cell>
          <cell r="B149">
            <v>8.5</v>
          </cell>
          <cell r="C149" t="str">
            <v>Philip</v>
          </cell>
        </row>
        <row r="150">
          <cell r="A150" t="str">
            <v>F98305</v>
          </cell>
          <cell r="B150">
            <v>8.5</v>
          </cell>
          <cell r="C150" t="str">
            <v>Philip</v>
          </cell>
        </row>
        <row r="151">
          <cell r="A151" t="str">
            <v>F98456</v>
          </cell>
          <cell r="B151">
            <v>3</v>
          </cell>
          <cell r="C151" t="str">
            <v>Jimmy</v>
          </cell>
        </row>
        <row r="152">
          <cell r="A152" t="str">
            <v>F98454</v>
          </cell>
          <cell r="B152">
            <v>3</v>
          </cell>
          <cell r="C152" t="str">
            <v>Jimmy</v>
          </cell>
        </row>
        <row r="153">
          <cell r="A153" t="str">
            <v>F98455</v>
          </cell>
          <cell r="B153">
            <v>3</v>
          </cell>
          <cell r="C153" t="str">
            <v>Jimmy</v>
          </cell>
        </row>
        <row r="154">
          <cell r="A154" t="str">
            <v>F98283</v>
          </cell>
          <cell r="B154">
            <v>5.5</v>
          </cell>
          <cell r="C154" t="str">
            <v>Sophia</v>
          </cell>
        </row>
        <row r="155">
          <cell r="A155" t="str">
            <v>F98284</v>
          </cell>
          <cell r="B155">
            <v>5.5</v>
          </cell>
          <cell r="C155" t="str">
            <v>Sophia</v>
          </cell>
        </row>
        <row r="156">
          <cell r="A156" t="str">
            <v>F98327</v>
          </cell>
          <cell r="B156">
            <v>5.5</v>
          </cell>
          <cell r="C156" t="str">
            <v>Sophia</v>
          </cell>
        </row>
        <row r="157">
          <cell r="A157" t="str">
            <v>F98299</v>
          </cell>
          <cell r="B157">
            <v>8.5</v>
          </cell>
          <cell r="C157" t="str">
            <v>Philip</v>
          </cell>
        </row>
        <row r="158">
          <cell r="A158" t="str">
            <v>F98300</v>
          </cell>
          <cell r="B158">
            <v>8.5</v>
          </cell>
          <cell r="C158" t="str">
            <v>Philip</v>
          </cell>
        </row>
        <row r="159">
          <cell r="A159" t="str">
            <v>F98301</v>
          </cell>
          <cell r="B159">
            <v>8.5</v>
          </cell>
          <cell r="C159" t="str">
            <v>Philip</v>
          </cell>
        </row>
        <row r="160">
          <cell r="A160" t="str">
            <v>F98302</v>
          </cell>
          <cell r="B160">
            <v>8.5</v>
          </cell>
          <cell r="C160" t="str">
            <v>Philip</v>
          </cell>
        </row>
        <row r="161">
          <cell r="A161" t="str">
            <v>F98278</v>
          </cell>
          <cell r="B161" t="str">
            <v>U</v>
          </cell>
          <cell r="C161" t="str">
            <v>Philip</v>
          </cell>
        </row>
        <row r="162">
          <cell r="A162" t="str">
            <v>F98353</v>
          </cell>
          <cell r="B162">
            <v>8.5</v>
          </cell>
          <cell r="C162" t="str">
            <v>Philip</v>
          </cell>
        </row>
        <row r="163">
          <cell r="A163" t="str">
            <v>F98354</v>
          </cell>
          <cell r="B163">
            <v>8.5</v>
          </cell>
          <cell r="C163" t="str">
            <v>Philip</v>
          </cell>
        </row>
        <row r="164">
          <cell r="A164" t="str">
            <v>F98355</v>
          </cell>
          <cell r="B164">
            <v>8.5</v>
          </cell>
          <cell r="C164" t="str">
            <v>Philip</v>
          </cell>
        </row>
        <row r="165">
          <cell r="A165" t="str">
            <v>F98356</v>
          </cell>
          <cell r="B165">
            <v>8.5</v>
          </cell>
          <cell r="C165" t="str">
            <v>Philip</v>
          </cell>
        </row>
        <row r="166">
          <cell r="A166" t="str">
            <v>F98357</v>
          </cell>
          <cell r="B166">
            <v>8.5</v>
          </cell>
          <cell r="C166" t="str">
            <v>Philip</v>
          </cell>
        </row>
        <row r="167">
          <cell r="A167" t="str">
            <v>F98358</v>
          </cell>
          <cell r="B167">
            <v>8.5</v>
          </cell>
          <cell r="C167" t="str">
            <v>Philip</v>
          </cell>
        </row>
        <row r="168">
          <cell r="A168" t="str">
            <v>F98359</v>
          </cell>
          <cell r="B168">
            <v>8.5</v>
          </cell>
          <cell r="C168" t="str">
            <v>Philip</v>
          </cell>
        </row>
        <row r="169">
          <cell r="A169" t="str">
            <v>F98360</v>
          </cell>
          <cell r="B169">
            <v>8.5</v>
          </cell>
          <cell r="C169" t="str">
            <v>Philip</v>
          </cell>
        </row>
        <row r="170">
          <cell r="A170" t="str">
            <v>F98361</v>
          </cell>
          <cell r="B170">
            <v>8.5</v>
          </cell>
          <cell r="C170" t="str">
            <v>Philip</v>
          </cell>
        </row>
        <row r="171">
          <cell r="A171" t="str">
            <v>F98362</v>
          </cell>
          <cell r="B171">
            <v>8.5</v>
          </cell>
          <cell r="C171" t="str">
            <v>Philip</v>
          </cell>
        </row>
        <row r="172">
          <cell r="A172" t="str">
            <v>F98366</v>
          </cell>
          <cell r="B172">
            <v>8.5</v>
          </cell>
          <cell r="C172" t="str">
            <v>Philip</v>
          </cell>
        </row>
        <row r="173">
          <cell r="A173" t="str">
            <v>F98367</v>
          </cell>
          <cell r="B173">
            <v>8.5</v>
          </cell>
          <cell r="C173" t="str">
            <v>Philip</v>
          </cell>
        </row>
        <row r="174">
          <cell r="A174" t="str">
            <v>F98363</v>
          </cell>
          <cell r="B174">
            <v>8.5</v>
          </cell>
          <cell r="C174" t="str">
            <v>Philip</v>
          </cell>
        </row>
        <row r="175">
          <cell r="A175" t="str">
            <v>F98364</v>
          </cell>
          <cell r="B175">
            <v>8.5</v>
          </cell>
          <cell r="C175" t="str">
            <v>Philip</v>
          </cell>
        </row>
        <row r="176">
          <cell r="A176" t="str">
            <v>F98365</v>
          </cell>
          <cell r="B176">
            <v>8.5</v>
          </cell>
          <cell r="C176" t="str">
            <v>Philip</v>
          </cell>
        </row>
        <row r="177">
          <cell r="A177" t="str">
            <v>F98376</v>
          </cell>
          <cell r="B177">
            <v>8.5</v>
          </cell>
          <cell r="C177" t="str">
            <v>Philip</v>
          </cell>
        </row>
        <row r="178">
          <cell r="A178" t="str">
            <v>F98377</v>
          </cell>
          <cell r="B178">
            <v>8.5</v>
          </cell>
          <cell r="C178" t="str">
            <v>Philip</v>
          </cell>
        </row>
        <row r="179">
          <cell r="A179" t="str">
            <v>F98373</v>
          </cell>
          <cell r="B179">
            <v>8.5</v>
          </cell>
          <cell r="C179" t="str">
            <v>Philip</v>
          </cell>
        </row>
        <row r="180">
          <cell r="A180" t="str">
            <v>F98374</v>
          </cell>
          <cell r="B180">
            <v>8.5</v>
          </cell>
          <cell r="C180" t="str">
            <v>Philip</v>
          </cell>
        </row>
        <row r="181">
          <cell r="A181" t="str">
            <v>F98375</v>
          </cell>
          <cell r="B181">
            <v>8.5</v>
          </cell>
          <cell r="C181" t="str">
            <v>Philip</v>
          </cell>
        </row>
        <row r="182">
          <cell r="A182" t="str">
            <v>F98592</v>
          </cell>
          <cell r="B182" t="str">
            <v>5.5</v>
          </cell>
          <cell r="C182" t="str">
            <v>Sophia</v>
          </cell>
        </row>
        <row r="183">
          <cell r="A183" t="str">
            <v>F98593</v>
          </cell>
          <cell r="B183" t="str">
            <v>5.5</v>
          </cell>
          <cell r="C183" t="str">
            <v>Sophia</v>
          </cell>
        </row>
        <row r="184">
          <cell r="A184" t="str">
            <v>F98591</v>
          </cell>
          <cell r="B184" t="str">
            <v>5.5</v>
          </cell>
          <cell r="C184" t="str">
            <v>Sophia</v>
          </cell>
        </row>
        <row r="185">
          <cell r="A185" t="str">
            <v>F98368</v>
          </cell>
          <cell r="B185">
            <v>8.5</v>
          </cell>
          <cell r="C185" t="str">
            <v>Philip</v>
          </cell>
        </row>
        <row r="186">
          <cell r="A186" t="str">
            <v>F98369</v>
          </cell>
          <cell r="B186">
            <v>8.5</v>
          </cell>
          <cell r="C186" t="str">
            <v>Philip</v>
          </cell>
        </row>
        <row r="187">
          <cell r="A187" t="str">
            <v>F98370</v>
          </cell>
          <cell r="B187">
            <v>8.5</v>
          </cell>
          <cell r="C187" t="str">
            <v>Philip</v>
          </cell>
        </row>
        <row r="188">
          <cell r="A188" t="str">
            <v>F98371</v>
          </cell>
          <cell r="B188">
            <v>8.5</v>
          </cell>
          <cell r="C188" t="str">
            <v>Philip</v>
          </cell>
        </row>
        <row r="189">
          <cell r="A189" t="str">
            <v>F98372</v>
          </cell>
          <cell r="B189">
            <v>8.5</v>
          </cell>
          <cell r="C189" t="str">
            <v>Philip</v>
          </cell>
        </row>
        <row r="190">
          <cell r="A190" t="str">
            <v>F98885</v>
          </cell>
          <cell r="B190">
            <v>5.5</v>
          </cell>
          <cell r="C190" t="str">
            <v>Sophia</v>
          </cell>
        </row>
        <row r="191">
          <cell r="A191" t="str">
            <v>F98886</v>
          </cell>
          <cell r="B191">
            <v>5.5</v>
          </cell>
          <cell r="C191" t="str">
            <v>Sophia</v>
          </cell>
        </row>
        <row r="192">
          <cell r="A192" t="str">
            <v>F98887</v>
          </cell>
          <cell r="B192">
            <v>5.5</v>
          </cell>
          <cell r="C192" t="str">
            <v>Sophia</v>
          </cell>
        </row>
        <row r="193">
          <cell r="A193" t="str">
            <v>F98289</v>
          </cell>
          <cell r="B193">
            <v>8.5</v>
          </cell>
          <cell r="C193" t="str">
            <v>Philip</v>
          </cell>
        </row>
        <row r="194">
          <cell r="A194" t="str">
            <v>F98287</v>
          </cell>
          <cell r="B194">
            <v>8.5</v>
          </cell>
          <cell r="C194" t="str">
            <v>Philip</v>
          </cell>
        </row>
        <row r="195">
          <cell r="A195" t="str">
            <v>F98288</v>
          </cell>
          <cell r="B195">
            <v>8.5</v>
          </cell>
          <cell r="C195" t="str">
            <v>Philip</v>
          </cell>
        </row>
        <row r="196">
          <cell r="A196" t="str">
            <v>F98272</v>
          </cell>
          <cell r="B196">
            <v>8.5</v>
          </cell>
          <cell r="C196" t="str">
            <v>Philip</v>
          </cell>
        </row>
        <row r="197">
          <cell r="A197" t="str">
            <v>F98271</v>
          </cell>
          <cell r="B197">
            <v>8.5</v>
          </cell>
          <cell r="C197" t="str">
            <v>Philip</v>
          </cell>
        </row>
        <row r="198">
          <cell r="A198" t="str">
            <v>F98273</v>
          </cell>
          <cell r="B198">
            <v>8.5</v>
          </cell>
          <cell r="C198" t="str">
            <v>Philip</v>
          </cell>
        </row>
        <row r="199">
          <cell r="A199" t="str">
            <v>F98281</v>
          </cell>
          <cell r="B199">
            <v>5.5</v>
          </cell>
          <cell r="C199" t="str">
            <v>Sophia</v>
          </cell>
        </row>
        <row r="200">
          <cell r="A200" t="str">
            <v>F98282</v>
          </cell>
          <cell r="B200">
            <v>5.5</v>
          </cell>
          <cell r="C200" t="str">
            <v>Sophia</v>
          </cell>
        </row>
        <row r="201">
          <cell r="A201" t="str">
            <v>F98279</v>
          </cell>
          <cell r="B201">
            <v>5.5</v>
          </cell>
          <cell r="C201" t="str">
            <v>Sophia</v>
          </cell>
        </row>
        <row r="202">
          <cell r="A202" t="str">
            <v>F98291</v>
          </cell>
          <cell r="B202">
            <v>8.5</v>
          </cell>
          <cell r="C202" t="str">
            <v>Philip</v>
          </cell>
        </row>
        <row r="203">
          <cell r="A203" t="str">
            <v>F98292</v>
          </cell>
          <cell r="B203">
            <v>8.5</v>
          </cell>
          <cell r="C203" t="str">
            <v>Philip</v>
          </cell>
        </row>
        <row r="204">
          <cell r="A204" t="str">
            <v>F98625</v>
          </cell>
          <cell r="B204">
            <v>5.5</v>
          </cell>
          <cell r="C204" t="str">
            <v>Sophia</v>
          </cell>
        </row>
        <row r="205">
          <cell r="A205" t="str">
            <v>F98465</v>
          </cell>
          <cell r="B205">
            <v>3</v>
          </cell>
          <cell r="C205" t="str">
            <v>Jimmy</v>
          </cell>
        </row>
        <row r="206">
          <cell r="A206" t="str">
            <v>F98462</v>
          </cell>
          <cell r="B206">
            <v>3</v>
          </cell>
          <cell r="C206" t="str">
            <v>Jimmy</v>
          </cell>
        </row>
        <row r="207">
          <cell r="A207" t="str">
            <v>F98463</v>
          </cell>
          <cell r="B207">
            <v>3</v>
          </cell>
          <cell r="C207" t="str">
            <v>Jimmy</v>
          </cell>
        </row>
        <row r="208">
          <cell r="A208" t="str">
            <v>F98464</v>
          </cell>
          <cell r="B208">
            <v>3</v>
          </cell>
          <cell r="C208" t="str">
            <v>Jimmy</v>
          </cell>
        </row>
        <row r="209">
          <cell r="A209" t="str">
            <v>F98378</v>
          </cell>
          <cell r="B209">
            <v>8.5</v>
          </cell>
          <cell r="C209" t="str">
            <v>Philip</v>
          </cell>
        </row>
        <row r="210">
          <cell r="A210" t="str">
            <v>F98379</v>
          </cell>
          <cell r="B210">
            <v>8.5</v>
          </cell>
          <cell r="C210" t="str">
            <v>Philip</v>
          </cell>
        </row>
        <row r="211">
          <cell r="A211" t="str">
            <v>F98380</v>
          </cell>
          <cell r="B211">
            <v>8.5</v>
          </cell>
          <cell r="C211" t="str">
            <v>Philip</v>
          </cell>
        </row>
        <row r="212">
          <cell r="A212" t="str">
            <v>F98389</v>
          </cell>
          <cell r="B212">
            <v>8.5</v>
          </cell>
          <cell r="C212" t="str">
            <v>Philip</v>
          </cell>
        </row>
        <row r="213">
          <cell r="A213" t="str">
            <v>F98390</v>
          </cell>
          <cell r="B213">
            <v>8.5</v>
          </cell>
          <cell r="C213" t="str">
            <v>Philip</v>
          </cell>
        </row>
        <row r="214">
          <cell r="A214" t="str">
            <v>F98391</v>
          </cell>
          <cell r="B214">
            <v>8.5</v>
          </cell>
          <cell r="C214" t="str">
            <v>Philip</v>
          </cell>
        </row>
        <row r="215">
          <cell r="A215" t="str">
            <v>F98392</v>
          </cell>
          <cell r="B215">
            <v>8.5</v>
          </cell>
          <cell r="C215" t="str">
            <v>Philip</v>
          </cell>
        </row>
        <row r="216">
          <cell r="A216" t="str">
            <v>F98381</v>
          </cell>
          <cell r="B216">
            <v>8.5</v>
          </cell>
          <cell r="C216" t="str">
            <v>Philip</v>
          </cell>
        </row>
        <row r="217">
          <cell r="A217" t="str">
            <v>F98382</v>
          </cell>
          <cell r="B217">
            <v>8.5</v>
          </cell>
          <cell r="C217" t="str">
            <v>Philip</v>
          </cell>
        </row>
        <row r="218">
          <cell r="A218" t="str">
            <v>F98384</v>
          </cell>
          <cell r="B218">
            <v>8.5</v>
          </cell>
          <cell r="C218" t="str">
            <v>Philip</v>
          </cell>
        </row>
        <row r="219">
          <cell r="A219" t="str">
            <v>F98383</v>
          </cell>
          <cell r="B219">
            <v>8.5</v>
          </cell>
          <cell r="C219" t="str">
            <v>Philip</v>
          </cell>
        </row>
        <row r="220">
          <cell r="A220" t="str">
            <v>F98410</v>
          </cell>
          <cell r="B220">
            <v>8.5</v>
          </cell>
          <cell r="C220" t="str">
            <v>Philip</v>
          </cell>
        </row>
        <row r="221">
          <cell r="A221" t="str">
            <v>F98409</v>
          </cell>
          <cell r="B221">
            <v>8.5</v>
          </cell>
          <cell r="C221" t="str">
            <v>Philip</v>
          </cell>
        </row>
        <row r="222">
          <cell r="A222" t="str">
            <v>F98411</v>
          </cell>
          <cell r="B222">
            <v>8.5</v>
          </cell>
          <cell r="C222" t="str">
            <v>Philip</v>
          </cell>
        </row>
        <row r="223">
          <cell r="A223" t="str">
            <v>F98412</v>
          </cell>
          <cell r="B223">
            <v>8.5</v>
          </cell>
          <cell r="C223" t="str">
            <v>Philip</v>
          </cell>
        </row>
        <row r="224">
          <cell r="A224" t="str">
            <v>F98400</v>
          </cell>
          <cell r="B224">
            <v>8.5</v>
          </cell>
          <cell r="C224" t="str">
            <v>Philip</v>
          </cell>
        </row>
        <row r="225">
          <cell r="A225" t="str">
            <v>F98401</v>
          </cell>
          <cell r="B225">
            <v>8.5</v>
          </cell>
          <cell r="C225" t="str">
            <v>Philip</v>
          </cell>
        </row>
        <row r="226">
          <cell r="A226" t="str">
            <v>F98402</v>
          </cell>
          <cell r="B226">
            <v>8.5</v>
          </cell>
          <cell r="C226" t="str">
            <v>Philip</v>
          </cell>
        </row>
        <row r="227">
          <cell r="A227" t="str">
            <v>F98583</v>
          </cell>
          <cell r="B227" t="str">
            <v>8.5</v>
          </cell>
          <cell r="C227" t="str">
            <v>Philip</v>
          </cell>
        </row>
        <row r="228">
          <cell r="A228" t="str">
            <v>F98584</v>
          </cell>
          <cell r="B228" t="str">
            <v>8.5</v>
          </cell>
          <cell r="C228" t="str">
            <v>Philip</v>
          </cell>
        </row>
        <row r="229">
          <cell r="A229" t="str">
            <v>F98585</v>
          </cell>
          <cell r="B229" t="str">
            <v>8.5</v>
          </cell>
          <cell r="C229" t="str">
            <v>Philip</v>
          </cell>
        </row>
        <row r="230">
          <cell r="A230" t="str">
            <v>F98586</v>
          </cell>
          <cell r="B230" t="str">
            <v>8.5</v>
          </cell>
          <cell r="C230" t="str">
            <v>Philip</v>
          </cell>
        </row>
        <row r="231">
          <cell r="A231" t="str">
            <v>F98587</v>
          </cell>
          <cell r="B231" t="str">
            <v>8.5</v>
          </cell>
          <cell r="C231" t="str">
            <v>Philip</v>
          </cell>
        </row>
        <row r="232">
          <cell r="A232" t="str">
            <v>F98453</v>
          </cell>
          <cell r="B232" t="str">
            <v>5.5K</v>
          </cell>
          <cell r="C232" t="str">
            <v>Jimmy</v>
          </cell>
        </row>
        <row r="233">
          <cell r="A233" t="str">
            <v>F98612</v>
          </cell>
          <cell r="B233" t="str">
            <v>5.5K</v>
          </cell>
          <cell r="C233" t="str">
            <v>Jimmy</v>
          </cell>
        </row>
        <row r="234">
          <cell r="A234" t="str">
            <v>F98613</v>
          </cell>
          <cell r="B234" t="str">
            <v>5.5K</v>
          </cell>
          <cell r="C234" t="str">
            <v>Jimmy</v>
          </cell>
        </row>
        <row r="235">
          <cell r="A235" t="str">
            <v>F98610</v>
          </cell>
          <cell r="B235" t="str">
            <v>3</v>
          </cell>
          <cell r="C235" t="str">
            <v>Jimmy</v>
          </cell>
        </row>
        <row r="236">
          <cell r="A236" t="str">
            <v>F98451</v>
          </cell>
          <cell r="B236">
            <v>3</v>
          </cell>
          <cell r="C236" t="str">
            <v>Jimmy</v>
          </cell>
        </row>
        <row r="237">
          <cell r="A237" t="str">
            <v>F98452</v>
          </cell>
          <cell r="B237">
            <v>3</v>
          </cell>
          <cell r="C237" t="str">
            <v>Jimmy</v>
          </cell>
        </row>
        <row r="238">
          <cell r="A238" t="str">
            <v>F98443</v>
          </cell>
          <cell r="B238">
            <v>5.5</v>
          </cell>
          <cell r="C238" t="str">
            <v>Sophia</v>
          </cell>
        </row>
        <row r="239">
          <cell r="A239" t="str">
            <v>F98663</v>
          </cell>
          <cell r="B239" t="str">
            <v>5.5</v>
          </cell>
          <cell r="C239" t="str">
            <v>Sophia</v>
          </cell>
        </row>
        <row r="240">
          <cell r="A240" t="str">
            <v>F98664</v>
          </cell>
          <cell r="B240" t="str">
            <v>5.5</v>
          </cell>
          <cell r="C240" t="str">
            <v>Sophia</v>
          </cell>
        </row>
        <row r="241">
          <cell r="A241" t="str">
            <v>F98674</v>
          </cell>
          <cell r="B241" t="str">
            <v>11.5K</v>
          </cell>
          <cell r="C241" t="str">
            <v>Jimmy</v>
          </cell>
        </row>
        <row r="242">
          <cell r="A242" t="str">
            <v>F98826</v>
          </cell>
          <cell r="B242" t="str">
            <v>5.5</v>
          </cell>
          <cell r="C242" t="str">
            <v>Sophia</v>
          </cell>
        </row>
        <row r="243">
          <cell r="A243" t="str">
            <v>F98827</v>
          </cell>
          <cell r="B243" t="str">
            <v>5.5</v>
          </cell>
          <cell r="C243" t="str">
            <v>Sophia</v>
          </cell>
        </row>
        <row r="244">
          <cell r="A244" t="str">
            <v>F98828</v>
          </cell>
          <cell r="B244" t="str">
            <v>5.5</v>
          </cell>
          <cell r="C244" t="str">
            <v>Sophia</v>
          </cell>
        </row>
        <row r="245">
          <cell r="A245" t="str">
            <v>F98829</v>
          </cell>
          <cell r="B245" t="str">
            <v>5.5</v>
          </cell>
          <cell r="C245" t="str">
            <v>Sophia</v>
          </cell>
        </row>
        <row r="246">
          <cell r="A246" t="str">
            <v>F98830</v>
          </cell>
          <cell r="B246" t="str">
            <v>5.5</v>
          </cell>
          <cell r="C246" t="str">
            <v>Sophia</v>
          </cell>
        </row>
        <row r="247">
          <cell r="A247" t="str">
            <v>F98831</v>
          </cell>
          <cell r="B247" t="str">
            <v>5.5</v>
          </cell>
          <cell r="C247" t="str">
            <v>Sophia</v>
          </cell>
        </row>
        <row r="248">
          <cell r="A248" t="str">
            <v>F98297</v>
          </cell>
          <cell r="B248">
            <v>8.5</v>
          </cell>
          <cell r="C248" t="str">
            <v>Philip</v>
          </cell>
        </row>
        <row r="249">
          <cell r="A249" t="str">
            <v>F98296</v>
          </cell>
          <cell r="B249">
            <v>8.5</v>
          </cell>
          <cell r="C249" t="str">
            <v>Philip</v>
          </cell>
        </row>
        <row r="250">
          <cell r="A250" t="str">
            <v>F98298</v>
          </cell>
          <cell r="B250">
            <v>8.5</v>
          </cell>
          <cell r="C250" t="str">
            <v>Philip</v>
          </cell>
        </row>
        <row r="251">
          <cell r="A251" t="str">
            <v>F98772</v>
          </cell>
          <cell r="B251" t="str">
            <v>8.5</v>
          </cell>
          <cell r="C251" t="str">
            <v>Philip</v>
          </cell>
        </row>
        <row r="252">
          <cell r="A252" t="str">
            <v>F98773</v>
          </cell>
          <cell r="B252" t="str">
            <v>8.5</v>
          </cell>
          <cell r="C252" t="str">
            <v>Philip</v>
          </cell>
        </row>
        <row r="253">
          <cell r="A253" t="str">
            <v>F98774</v>
          </cell>
          <cell r="B253" t="str">
            <v>8.5</v>
          </cell>
          <cell r="C253" t="str">
            <v>Philip</v>
          </cell>
        </row>
        <row r="254">
          <cell r="A254" t="str">
            <v>F98770</v>
          </cell>
          <cell r="B254" t="str">
            <v>8.5</v>
          </cell>
          <cell r="C254" t="str">
            <v>Philip</v>
          </cell>
        </row>
        <row r="255">
          <cell r="A255" t="str">
            <v>F98771</v>
          </cell>
          <cell r="B255" t="str">
            <v>8.5</v>
          </cell>
          <cell r="C255" t="str">
            <v>Philip</v>
          </cell>
        </row>
        <row r="256">
          <cell r="A256" t="str">
            <v>F98877</v>
          </cell>
          <cell r="B256" t="str">
            <v>6.0</v>
          </cell>
          <cell r="C256" t="str">
            <v>Sophia</v>
          </cell>
        </row>
        <row r="257">
          <cell r="A257" t="str">
            <v>F98803</v>
          </cell>
          <cell r="B257" t="str">
            <v>8.5</v>
          </cell>
          <cell r="C257" t="str">
            <v>Philip</v>
          </cell>
        </row>
        <row r="258">
          <cell r="A258" t="str">
            <v>F98804</v>
          </cell>
          <cell r="B258" t="str">
            <v>8.5</v>
          </cell>
          <cell r="C258" t="str">
            <v>Philip</v>
          </cell>
        </row>
        <row r="259">
          <cell r="A259" t="str">
            <v>F98805</v>
          </cell>
          <cell r="B259" t="str">
            <v>8.5</v>
          </cell>
          <cell r="C259" t="str">
            <v>Philip</v>
          </cell>
        </row>
        <row r="260">
          <cell r="A260" t="str">
            <v>F98806</v>
          </cell>
          <cell r="B260" t="str">
            <v>8.5</v>
          </cell>
          <cell r="C260" t="str">
            <v>Philip</v>
          </cell>
        </row>
        <row r="261">
          <cell r="A261" t="str">
            <v>F98807</v>
          </cell>
          <cell r="B261" t="str">
            <v>8.5</v>
          </cell>
          <cell r="C261" t="str">
            <v>Philip</v>
          </cell>
        </row>
        <row r="262">
          <cell r="A262" t="str">
            <v>F98764</v>
          </cell>
          <cell r="B262" t="str">
            <v>8.5</v>
          </cell>
          <cell r="C262" t="str">
            <v>Philip</v>
          </cell>
        </row>
        <row r="263">
          <cell r="A263" t="str">
            <v>F98765</v>
          </cell>
          <cell r="B263" t="str">
            <v>8.5</v>
          </cell>
          <cell r="C263" t="str">
            <v>Philip</v>
          </cell>
        </row>
        <row r="264">
          <cell r="A264" t="str">
            <v>F98766</v>
          </cell>
          <cell r="B264" t="str">
            <v>8.5</v>
          </cell>
          <cell r="C264" t="str">
            <v>Philip</v>
          </cell>
        </row>
        <row r="265">
          <cell r="A265" t="str">
            <v>F98767</v>
          </cell>
          <cell r="B265" t="str">
            <v>8.5</v>
          </cell>
          <cell r="C265" t="str">
            <v>Philip</v>
          </cell>
        </row>
        <row r="266">
          <cell r="A266" t="str">
            <v>F98768</v>
          </cell>
          <cell r="B266" t="str">
            <v>8.5</v>
          </cell>
          <cell r="C266" t="str">
            <v>Philip</v>
          </cell>
        </row>
        <row r="267">
          <cell r="A267" t="str">
            <v>F98769</v>
          </cell>
          <cell r="B267" t="str">
            <v>8.5</v>
          </cell>
          <cell r="C267" t="str">
            <v>Philip</v>
          </cell>
        </row>
        <row r="268">
          <cell r="A268" t="str">
            <v>F98873</v>
          </cell>
          <cell r="B268" t="str">
            <v>5.5K</v>
          </cell>
          <cell r="C268" t="str">
            <v>Jimmy</v>
          </cell>
        </row>
        <row r="269">
          <cell r="A269" t="str">
            <v>F98874</v>
          </cell>
          <cell r="B269" t="str">
            <v>5.5K</v>
          </cell>
          <cell r="C269" t="str">
            <v>Jimmy</v>
          </cell>
        </row>
        <row r="270">
          <cell r="A270" t="str">
            <v>F98875</v>
          </cell>
          <cell r="B270" t="str">
            <v>5.5K</v>
          </cell>
          <cell r="C270" t="str">
            <v>Jimmy</v>
          </cell>
        </row>
        <row r="271">
          <cell r="A271" t="str">
            <v>F98754</v>
          </cell>
          <cell r="B271" t="str">
            <v>11.5K</v>
          </cell>
          <cell r="C271" t="str">
            <v>Jimmy</v>
          </cell>
        </row>
        <row r="272">
          <cell r="A272" t="str">
            <v>F98755</v>
          </cell>
          <cell r="B272" t="str">
            <v>11.5K</v>
          </cell>
          <cell r="C272" t="str">
            <v>Jimmy</v>
          </cell>
        </row>
        <row r="273">
          <cell r="A273" t="str">
            <v>F98756</v>
          </cell>
          <cell r="B273" t="str">
            <v>11.5K</v>
          </cell>
          <cell r="C273" t="str">
            <v>Jimmy</v>
          </cell>
        </row>
        <row r="274">
          <cell r="A274" t="str">
            <v>F98757</v>
          </cell>
          <cell r="B274" t="str">
            <v>5.5K</v>
          </cell>
          <cell r="C274" t="str">
            <v>Jimmy</v>
          </cell>
        </row>
        <row r="275">
          <cell r="A275" t="str">
            <v>F98758</v>
          </cell>
          <cell r="B275" t="str">
            <v>5.5K</v>
          </cell>
          <cell r="C275" t="str">
            <v>Jimmy</v>
          </cell>
        </row>
        <row r="276">
          <cell r="A276" t="str">
            <v>F98759</v>
          </cell>
          <cell r="B276" t="str">
            <v>5.5K</v>
          </cell>
          <cell r="C276" t="str">
            <v>Jimmy</v>
          </cell>
        </row>
        <row r="277">
          <cell r="A277" t="str">
            <v>F98778</v>
          </cell>
          <cell r="B277" t="str">
            <v>8.5</v>
          </cell>
          <cell r="C277" t="str">
            <v>Philip</v>
          </cell>
        </row>
        <row r="278">
          <cell r="A278" t="str">
            <v>F98779</v>
          </cell>
          <cell r="B278" t="str">
            <v>8.5</v>
          </cell>
          <cell r="C278" t="str">
            <v>Philip</v>
          </cell>
        </row>
        <row r="279">
          <cell r="A279" t="str">
            <v>F98780</v>
          </cell>
          <cell r="B279" t="str">
            <v>8.5</v>
          </cell>
          <cell r="C279" t="str">
            <v>Philip</v>
          </cell>
        </row>
        <row r="280">
          <cell r="A280" t="str">
            <v>F98775</v>
          </cell>
          <cell r="B280" t="str">
            <v>8.5</v>
          </cell>
          <cell r="C280" t="str">
            <v>Philip</v>
          </cell>
        </row>
        <row r="281">
          <cell r="A281" t="str">
            <v>F98776</v>
          </cell>
          <cell r="B281" t="str">
            <v>8.5</v>
          </cell>
          <cell r="C281" t="str">
            <v>Philip</v>
          </cell>
        </row>
        <row r="282">
          <cell r="A282" t="str">
            <v>F98777</v>
          </cell>
          <cell r="B282" t="str">
            <v>8.5</v>
          </cell>
          <cell r="C282" t="str">
            <v>Philip</v>
          </cell>
        </row>
        <row r="283">
          <cell r="A283" t="str">
            <v>F98740</v>
          </cell>
          <cell r="B283">
            <v>8.5</v>
          </cell>
          <cell r="C283" t="str">
            <v>Philip</v>
          </cell>
        </row>
        <row r="284">
          <cell r="A284" t="str">
            <v>F98741</v>
          </cell>
          <cell r="B284">
            <v>8.5</v>
          </cell>
          <cell r="C284" t="str">
            <v>Philip</v>
          </cell>
        </row>
        <row r="285">
          <cell r="A285" t="str">
            <v>F98743</v>
          </cell>
          <cell r="B285">
            <v>8.5</v>
          </cell>
          <cell r="C285" t="str">
            <v>Philip</v>
          </cell>
        </row>
        <row r="286">
          <cell r="A286" t="str">
            <v>F98742</v>
          </cell>
          <cell r="B286">
            <v>8.5</v>
          </cell>
          <cell r="C286" t="str">
            <v>Philip</v>
          </cell>
        </row>
        <row r="287">
          <cell r="A287" t="str">
            <v>F98812</v>
          </cell>
          <cell r="B287" t="str">
            <v>8.5</v>
          </cell>
          <cell r="C287" t="str">
            <v>Philip</v>
          </cell>
        </row>
        <row r="288">
          <cell r="A288" t="str">
            <v>F98813</v>
          </cell>
          <cell r="B288" t="str">
            <v>8.5</v>
          </cell>
          <cell r="C288" t="str">
            <v>Philip</v>
          </cell>
        </row>
        <row r="289">
          <cell r="A289" t="str">
            <v>F98814</v>
          </cell>
          <cell r="B289" t="str">
            <v>8.5</v>
          </cell>
          <cell r="C289" t="str">
            <v>Philip</v>
          </cell>
        </row>
        <row r="290">
          <cell r="A290" t="str">
            <v>F98746</v>
          </cell>
          <cell r="B290">
            <v>8.5</v>
          </cell>
          <cell r="C290" t="str">
            <v>Philip</v>
          </cell>
        </row>
        <row r="291">
          <cell r="A291" t="str">
            <v>F98747</v>
          </cell>
          <cell r="B291">
            <v>8.5</v>
          </cell>
          <cell r="C291" t="str">
            <v>Philip</v>
          </cell>
        </row>
        <row r="292">
          <cell r="A292" t="str">
            <v>F98744</v>
          </cell>
          <cell r="B292">
            <v>8.5</v>
          </cell>
          <cell r="C292" t="str">
            <v>Philip</v>
          </cell>
        </row>
        <row r="293">
          <cell r="A293" t="str">
            <v>F98745</v>
          </cell>
          <cell r="B293">
            <v>8.5</v>
          </cell>
          <cell r="C293" t="str">
            <v>Philip</v>
          </cell>
        </row>
        <row r="294">
          <cell r="A294" t="str">
            <v>F98879</v>
          </cell>
          <cell r="B294" t="str">
            <v>6.0</v>
          </cell>
          <cell r="C294" t="str">
            <v>Sophia</v>
          </cell>
        </row>
        <row r="295">
          <cell r="A295" t="str">
            <v>F98880</v>
          </cell>
          <cell r="B295" t="str">
            <v>6.0</v>
          </cell>
          <cell r="C295" t="str">
            <v>Sophia</v>
          </cell>
        </row>
        <row r="296">
          <cell r="A296" t="str">
            <v>F98820</v>
          </cell>
          <cell r="B296" t="str">
            <v>8.5</v>
          </cell>
          <cell r="C296" t="str">
            <v>Philip</v>
          </cell>
        </row>
        <row r="297">
          <cell r="A297" t="str">
            <v>F98821</v>
          </cell>
          <cell r="B297" t="str">
            <v>8.5</v>
          </cell>
          <cell r="C297" t="str">
            <v>Philip</v>
          </cell>
        </row>
        <row r="298">
          <cell r="A298" t="str">
            <v>F98876</v>
          </cell>
          <cell r="B298" t="str">
            <v>6.0</v>
          </cell>
          <cell r="C298" t="str">
            <v>Sophia</v>
          </cell>
        </row>
        <row r="299">
          <cell r="A299" t="str">
            <v>F98844</v>
          </cell>
          <cell r="B299" t="str">
            <v>5.5</v>
          </cell>
          <cell r="C299" t="str">
            <v>Sophia</v>
          </cell>
        </row>
        <row r="300">
          <cell r="A300" t="str">
            <v>F98845</v>
          </cell>
          <cell r="B300" t="str">
            <v>5.5</v>
          </cell>
          <cell r="C300" t="str">
            <v>Sophia</v>
          </cell>
        </row>
        <row r="301">
          <cell r="A301" t="str">
            <v>F98846</v>
          </cell>
          <cell r="B301" t="str">
            <v>5.5</v>
          </cell>
          <cell r="C301" t="str">
            <v>Sophia</v>
          </cell>
        </row>
        <row r="302">
          <cell r="A302" t="str">
            <v>F98703</v>
          </cell>
          <cell r="B302" t="str">
            <v>6.0</v>
          </cell>
          <cell r="C302" t="str">
            <v>Sophia</v>
          </cell>
        </row>
        <row r="303">
          <cell r="A303" t="str">
            <v>F98762</v>
          </cell>
          <cell r="B303" t="str">
            <v>5.5K</v>
          </cell>
          <cell r="C303" t="str">
            <v>Jimmy</v>
          </cell>
        </row>
        <row r="304">
          <cell r="A304" t="str">
            <v>F98763</v>
          </cell>
          <cell r="B304" t="str">
            <v>5.5K</v>
          </cell>
          <cell r="C304" t="str">
            <v>Jimmy</v>
          </cell>
        </row>
        <row r="305">
          <cell r="A305" t="str">
            <v>F98852</v>
          </cell>
          <cell r="B305" t="str">
            <v>5.5</v>
          </cell>
          <cell r="C305" t="str">
            <v>Sophia</v>
          </cell>
        </row>
        <row r="306">
          <cell r="A306" t="str">
            <v>F98853</v>
          </cell>
          <cell r="B306" t="str">
            <v>5.5</v>
          </cell>
          <cell r="C306" t="str">
            <v>Sophia</v>
          </cell>
        </row>
        <row r="307">
          <cell r="A307" t="str">
            <v>F98723</v>
          </cell>
          <cell r="B307" t="str">
            <v>8.5</v>
          </cell>
          <cell r="C307" t="str">
            <v>Philip</v>
          </cell>
        </row>
        <row r="308">
          <cell r="A308" t="str">
            <v>F98724</v>
          </cell>
          <cell r="B308" t="str">
            <v>8.5</v>
          </cell>
          <cell r="C308" t="str">
            <v>Philip</v>
          </cell>
        </row>
        <row r="309">
          <cell r="A309" t="str">
            <v>F98725</v>
          </cell>
          <cell r="B309" t="str">
            <v>8.5</v>
          </cell>
          <cell r="C309" t="str">
            <v>Philip</v>
          </cell>
        </row>
        <row r="310">
          <cell r="A310" t="str">
            <v>F98726</v>
          </cell>
          <cell r="B310" t="str">
            <v>8.5</v>
          </cell>
          <cell r="C310" t="str">
            <v>Philip</v>
          </cell>
        </row>
        <row r="311">
          <cell r="A311" t="str">
            <v>F98727</v>
          </cell>
          <cell r="B311" t="str">
            <v>8.5</v>
          </cell>
          <cell r="C311" t="str">
            <v>Philip</v>
          </cell>
        </row>
        <row r="312">
          <cell r="A312" t="str">
            <v>F98728</v>
          </cell>
          <cell r="B312" t="str">
            <v>8.5</v>
          </cell>
          <cell r="C312" t="str">
            <v>Philip</v>
          </cell>
        </row>
        <row r="313">
          <cell r="A313" t="str">
            <v>F98729</v>
          </cell>
          <cell r="B313" t="str">
            <v>8.5</v>
          </cell>
          <cell r="C313" t="str">
            <v>Philip</v>
          </cell>
        </row>
        <row r="314">
          <cell r="A314" t="str">
            <v>F98730</v>
          </cell>
          <cell r="B314" t="str">
            <v>8.5</v>
          </cell>
          <cell r="C314" t="str">
            <v>Philip</v>
          </cell>
        </row>
        <row r="315">
          <cell r="A315" t="str">
            <v>F98911</v>
          </cell>
          <cell r="B315" t="str">
            <v>5.5</v>
          </cell>
          <cell r="C315" t="str">
            <v>Sophia</v>
          </cell>
        </row>
        <row r="316">
          <cell r="A316" t="str">
            <v>F98912</v>
          </cell>
          <cell r="B316" t="str">
            <v>6.0</v>
          </cell>
          <cell r="C316" t="str">
            <v>Sophia</v>
          </cell>
        </row>
        <row r="317">
          <cell r="A317" t="str">
            <v>F98567</v>
          </cell>
          <cell r="B317">
            <v>8.5</v>
          </cell>
          <cell r="C317" t="str">
            <v>Philip</v>
          </cell>
        </row>
        <row r="318">
          <cell r="A318" t="str">
            <v>F98568</v>
          </cell>
          <cell r="B318">
            <v>8.5</v>
          </cell>
          <cell r="C318" t="str">
            <v>Philip</v>
          </cell>
        </row>
        <row r="319">
          <cell r="A319" t="str">
            <v>F98566</v>
          </cell>
          <cell r="B319">
            <v>8.5</v>
          </cell>
          <cell r="C319" t="str">
            <v>Philip</v>
          </cell>
        </row>
        <row r="320">
          <cell r="A320" t="str">
            <v>F98849</v>
          </cell>
          <cell r="B320" t="str">
            <v>5.5</v>
          </cell>
          <cell r="C320" t="str">
            <v>Sophia</v>
          </cell>
        </row>
        <row r="321">
          <cell r="A321" t="str">
            <v>F98850</v>
          </cell>
          <cell r="B321" t="str">
            <v>5.5</v>
          </cell>
          <cell r="C321" t="str">
            <v>Sophia</v>
          </cell>
        </row>
        <row r="322">
          <cell r="A322" t="str">
            <v>F98851</v>
          </cell>
          <cell r="B322" t="str">
            <v>5.5</v>
          </cell>
          <cell r="C322" t="str">
            <v>Sophia</v>
          </cell>
        </row>
        <row r="323">
          <cell r="A323" t="str">
            <v>F98503</v>
          </cell>
          <cell r="B323">
            <v>8.5</v>
          </cell>
          <cell r="C323" t="str">
            <v>Philip</v>
          </cell>
        </row>
        <row r="324">
          <cell r="A324" t="str">
            <v>F98504</v>
          </cell>
          <cell r="B324">
            <v>8.5</v>
          </cell>
          <cell r="C324" t="str">
            <v>Philip</v>
          </cell>
        </row>
        <row r="325">
          <cell r="A325" t="str">
            <v>F98505</v>
          </cell>
          <cell r="B325">
            <v>8.5</v>
          </cell>
          <cell r="C325" t="str">
            <v>Philip</v>
          </cell>
        </row>
        <row r="326">
          <cell r="A326" t="str">
            <v>F98290</v>
          </cell>
          <cell r="B326">
            <v>8.5</v>
          </cell>
          <cell r="C326" t="str">
            <v>Philip</v>
          </cell>
        </row>
        <row r="327">
          <cell r="A327" t="str">
            <v>F98280</v>
          </cell>
          <cell r="B327">
            <v>5.5</v>
          </cell>
          <cell r="C327" t="str">
            <v>Sophia</v>
          </cell>
        </row>
        <row r="328">
          <cell r="A328" t="str">
            <v>F98676</v>
          </cell>
          <cell r="B328" t="str">
            <v>5.5</v>
          </cell>
          <cell r="C328" t="str">
            <v>Sophia</v>
          </cell>
        </row>
        <row r="329">
          <cell r="A329" t="str">
            <v>F98675</v>
          </cell>
          <cell r="B329" t="str">
            <v>5.5</v>
          </cell>
          <cell r="C329" t="str">
            <v>Sophia</v>
          </cell>
        </row>
        <row r="330">
          <cell r="A330" t="str">
            <v>F98670</v>
          </cell>
          <cell r="B330" t="str">
            <v>5.5</v>
          </cell>
          <cell r="C330" t="str">
            <v>Sophia</v>
          </cell>
        </row>
        <row r="331">
          <cell r="A331" t="str">
            <v>F98671</v>
          </cell>
          <cell r="B331" t="str">
            <v>5.5</v>
          </cell>
          <cell r="C331" t="str">
            <v>Sophia</v>
          </cell>
        </row>
        <row r="332">
          <cell r="A332" t="str">
            <v>F98900</v>
          </cell>
          <cell r="B332">
            <v>5.5</v>
          </cell>
          <cell r="C332" t="str">
            <v>Sophia</v>
          </cell>
        </row>
        <row r="333">
          <cell r="A333" t="str">
            <v>F98901</v>
          </cell>
          <cell r="B333">
            <v>5.5</v>
          </cell>
          <cell r="C333" t="str">
            <v>Sophia</v>
          </cell>
        </row>
        <row r="334">
          <cell r="A334" t="str">
            <v>F98902</v>
          </cell>
          <cell r="B334">
            <v>5.5</v>
          </cell>
          <cell r="C334" t="str">
            <v>Sophia</v>
          </cell>
        </row>
        <row r="335">
          <cell r="A335" t="str">
            <v>F98899</v>
          </cell>
          <cell r="B335">
            <v>5.5</v>
          </cell>
          <cell r="C335" t="str">
            <v>Sophia</v>
          </cell>
        </row>
        <row r="336">
          <cell r="A336" t="str">
            <v>F98903</v>
          </cell>
          <cell r="B336">
            <v>5.5</v>
          </cell>
          <cell r="C336" t="str">
            <v>Sophia</v>
          </cell>
        </row>
        <row r="337">
          <cell r="A337" t="str">
            <v>F98904</v>
          </cell>
          <cell r="B337">
            <v>5.5</v>
          </cell>
          <cell r="C337" t="str">
            <v>Sophia</v>
          </cell>
        </row>
        <row r="338">
          <cell r="A338" t="str">
            <v>F98905</v>
          </cell>
          <cell r="B338">
            <v>5.5</v>
          </cell>
          <cell r="C338" t="str">
            <v>Sophia</v>
          </cell>
        </row>
        <row r="339">
          <cell r="A339" t="str">
            <v>F98906</v>
          </cell>
          <cell r="B339">
            <v>5.5</v>
          </cell>
          <cell r="C339" t="str">
            <v>Sophia</v>
          </cell>
        </row>
        <row r="340">
          <cell r="A340" t="str">
            <v>F98907</v>
          </cell>
          <cell r="B340">
            <v>5.5</v>
          </cell>
          <cell r="C340" t="str">
            <v>Sophia</v>
          </cell>
        </row>
        <row r="341">
          <cell r="A341" t="str">
            <v>F98600</v>
          </cell>
          <cell r="B341" t="str">
            <v>5.5</v>
          </cell>
          <cell r="C341" t="str">
            <v>Sophia</v>
          </cell>
        </row>
        <row r="342">
          <cell r="A342" t="str">
            <v>F98601</v>
          </cell>
          <cell r="B342" t="str">
            <v>5.5</v>
          </cell>
          <cell r="C342" t="str">
            <v>Sophia</v>
          </cell>
        </row>
        <row r="343">
          <cell r="A343" t="str">
            <v>F98602</v>
          </cell>
          <cell r="B343" t="str">
            <v>5.5</v>
          </cell>
          <cell r="C343" t="str">
            <v>Sophia</v>
          </cell>
        </row>
        <row r="344">
          <cell r="A344" t="str">
            <v>F98596</v>
          </cell>
          <cell r="B344" t="str">
            <v>5.5</v>
          </cell>
          <cell r="C344" t="str">
            <v>Sophia</v>
          </cell>
        </row>
        <row r="345">
          <cell r="A345" t="str">
            <v>F98597</v>
          </cell>
          <cell r="B345" t="str">
            <v>5.5</v>
          </cell>
          <cell r="C345" t="str">
            <v>Sophia</v>
          </cell>
        </row>
        <row r="346">
          <cell r="A346" t="str">
            <v>F98598</v>
          </cell>
          <cell r="B346" t="str">
            <v>5.5</v>
          </cell>
          <cell r="C346" t="str">
            <v>Sophia</v>
          </cell>
        </row>
        <row r="347">
          <cell r="A347" t="str">
            <v>F98599</v>
          </cell>
          <cell r="B347" t="str">
            <v>5.5</v>
          </cell>
          <cell r="C347" t="str">
            <v>Sophia</v>
          </cell>
        </row>
        <row r="348">
          <cell r="A348" t="str">
            <v>F97799</v>
          </cell>
          <cell r="B348">
            <v>8.5</v>
          </cell>
          <cell r="C348" t="str">
            <v>Philip</v>
          </cell>
        </row>
        <row r="349">
          <cell r="A349" t="str">
            <v>F76610</v>
          </cell>
          <cell r="B349">
            <v>8.5</v>
          </cell>
          <cell r="C349" t="str">
            <v>Philip</v>
          </cell>
        </row>
        <row r="350">
          <cell r="A350" t="str">
            <v>F76622</v>
          </cell>
          <cell r="B350" t="str">
            <v>8.5</v>
          </cell>
          <cell r="C350" t="str">
            <v>Philip</v>
          </cell>
        </row>
        <row r="351">
          <cell r="A351" t="str">
            <v>F76623</v>
          </cell>
          <cell r="B351" t="str">
            <v>8.5</v>
          </cell>
          <cell r="C351" t="str">
            <v>Philip</v>
          </cell>
        </row>
        <row r="352">
          <cell r="A352" t="str">
            <v>F76625</v>
          </cell>
          <cell r="B352" t="str">
            <v>8.5</v>
          </cell>
          <cell r="C352" t="str">
            <v>Philip</v>
          </cell>
        </row>
        <row r="353">
          <cell r="A353" t="str">
            <v>F76626</v>
          </cell>
          <cell r="B353" t="str">
            <v>8.5</v>
          </cell>
          <cell r="C353" t="str">
            <v>Philip</v>
          </cell>
        </row>
        <row r="354">
          <cell r="A354" t="str">
            <v>F97896</v>
          </cell>
          <cell r="B354" t="str">
            <v>8.5</v>
          </cell>
          <cell r="C354" t="str">
            <v>Philip</v>
          </cell>
        </row>
        <row r="355">
          <cell r="A355" t="str">
            <v>F97897</v>
          </cell>
          <cell r="B355" t="str">
            <v>8.5</v>
          </cell>
          <cell r="C355" t="str">
            <v>Philip</v>
          </cell>
        </row>
        <row r="356">
          <cell r="A356" t="str">
            <v>F97856</v>
          </cell>
          <cell r="B356" t="str">
            <v>5.5K</v>
          </cell>
          <cell r="C356" t="str">
            <v>Jimmy</v>
          </cell>
        </row>
        <row r="357">
          <cell r="A357" t="str">
            <v>F76458</v>
          </cell>
          <cell r="B357" t="str">
            <v>3</v>
          </cell>
          <cell r="C357" t="str">
            <v>Jimmy</v>
          </cell>
        </row>
        <row r="358">
          <cell r="A358" t="str">
            <v>F97778</v>
          </cell>
          <cell r="B358">
            <v>8.5</v>
          </cell>
          <cell r="C358" t="str">
            <v>Philip</v>
          </cell>
        </row>
        <row r="359">
          <cell r="A359" t="str">
            <v>F97779</v>
          </cell>
          <cell r="B359">
            <v>8.5</v>
          </cell>
          <cell r="C359" t="str">
            <v>Philip</v>
          </cell>
        </row>
        <row r="360">
          <cell r="A360" t="str">
            <v>F97905</v>
          </cell>
          <cell r="B360">
            <v>8.5</v>
          </cell>
          <cell r="C360" t="str">
            <v>Philip</v>
          </cell>
        </row>
        <row r="361">
          <cell r="A361" t="str">
            <v>F76627</v>
          </cell>
          <cell r="B361">
            <v>8.5</v>
          </cell>
          <cell r="C361" t="str">
            <v>Philip</v>
          </cell>
        </row>
        <row r="362">
          <cell r="A362" t="str">
            <v>F76628</v>
          </cell>
          <cell r="B362">
            <v>8.5</v>
          </cell>
          <cell r="C362" t="str">
            <v>Philip</v>
          </cell>
        </row>
        <row r="363">
          <cell r="A363" t="str">
            <v>F38481</v>
          </cell>
          <cell r="B363">
            <v>8.5</v>
          </cell>
          <cell r="C363" t="str">
            <v>Philip</v>
          </cell>
        </row>
        <row r="364">
          <cell r="A364" t="str">
            <v>F38802</v>
          </cell>
          <cell r="B364" t="str">
            <v>5.5K</v>
          </cell>
          <cell r="C364" t="str">
            <v>Jimmy</v>
          </cell>
        </row>
        <row r="365">
          <cell r="A365" t="str">
            <v>F38745</v>
          </cell>
          <cell r="B365" t="str">
            <v>3</v>
          </cell>
          <cell r="C365" t="str">
            <v>Jimmy</v>
          </cell>
        </row>
        <row r="366">
          <cell r="A366" t="str">
            <v>F38472</v>
          </cell>
          <cell r="B366" t="str">
            <v>8.5</v>
          </cell>
          <cell r="C366" t="str">
            <v>Philip</v>
          </cell>
        </row>
        <row r="367">
          <cell r="A367" t="str">
            <v>F98684</v>
          </cell>
          <cell r="B367" t="str">
            <v>5.5</v>
          </cell>
          <cell r="C367" t="str">
            <v>Sophia</v>
          </cell>
        </row>
        <row r="368">
          <cell r="A368" t="str">
            <v>F98685</v>
          </cell>
          <cell r="B368" t="str">
            <v>5.5</v>
          </cell>
          <cell r="C368" t="str">
            <v>Sophia</v>
          </cell>
        </row>
        <row r="369">
          <cell r="A369" t="str">
            <v>F98686</v>
          </cell>
          <cell r="B369" t="str">
            <v>5.5</v>
          </cell>
          <cell r="C369" t="str">
            <v>Sophia</v>
          </cell>
        </row>
        <row r="370">
          <cell r="A370" t="str">
            <v>F98702</v>
          </cell>
          <cell r="B370" t="str">
            <v>6.0</v>
          </cell>
          <cell r="C370" t="str">
            <v>Sophia</v>
          </cell>
        </row>
        <row r="371">
          <cell r="A371" t="str">
            <v>F98286</v>
          </cell>
          <cell r="B371">
            <v>5.5</v>
          </cell>
          <cell r="C371" t="str">
            <v>Sophia</v>
          </cell>
        </row>
        <row r="372">
          <cell r="A372" t="str">
            <v>F00000</v>
          </cell>
          <cell r="B372" t="str">
            <v>11.5K</v>
          </cell>
          <cell r="C372" t="str">
            <v>Jimmy</v>
          </cell>
        </row>
        <row r="373">
          <cell r="A373" t="str">
            <v>F98919</v>
          </cell>
          <cell r="B373" t="str">
            <v>8.5</v>
          </cell>
          <cell r="C373" t="str">
            <v>Philip</v>
          </cell>
        </row>
        <row r="374">
          <cell r="A374" t="str">
            <v>F98920</v>
          </cell>
          <cell r="B374" t="str">
            <v>8.5</v>
          </cell>
          <cell r="C374" t="str">
            <v>Philip</v>
          </cell>
        </row>
        <row r="375">
          <cell r="A375" t="str">
            <v>F98915</v>
          </cell>
          <cell r="B375" t="str">
            <v>5.5</v>
          </cell>
          <cell r="C375" t="str">
            <v>Sophia</v>
          </cell>
        </row>
        <row r="376">
          <cell r="A376" t="str">
            <v>F98916</v>
          </cell>
          <cell r="B376" t="str">
            <v>5.5</v>
          </cell>
          <cell r="C376" t="str">
            <v>Sophia</v>
          </cell>
        </row>
        <row r="377">
          <cell r="A377" t="str">
            <v>F98808</v>
          </cell>
          <cell r="B377" t="str">
            <v>5.5</v>
          </cell>
          <cell r="C377" t="str">
            <v>Sophia</v>
          </cell>
        </row>
        <row r="378">
          <cell r="A378" t="str">
            <v>F98809</v>
          </cell>
          <cell r="B378" t="str">
            <v>5.5</v>
          </cell>
          <cell r="C378" t="str">
            <v>Sophia</v>
          </cell>
        </row>
        <row r="379">
          <cell r="A379" t="str">
            <v>F98810</v>
          </cell>
          <cell r="B379" t="str">
            <v>5.5</v>
          </cell>
          <cell r="C379" t="str">
            <v>Sophia</v>
          </cell>
        </row>
        <row r="380">
          <cell r="A380" t="str">
            <v>F98811</v>
          </cell>
          <cell r="B380" t="str">
            <v>5.5</v>
          </cell>
          <cell r="C380" t="str">
            <v>Sophia</v>
          </cell>
        </row>
        <row r="381">
          <cell r="A381" t="str">
            <v>F98926</v>
          </cell>
          <cell r="B381" t="str">
            <v>8.5</v>
          </cell>
          <cell r="C381" t="str">
            <v>Philip</v>
          </cell>
        </row>
        <row r="382">
          <cell r="A382" t="str">
            <v>F98927</v>
          </cell>
          <cell r="B382" t="str">
            <v>8.5</v>
          </cell>
          <cell r="C382" t="str">
            <v>Philip</v>
          </cell>
        </row>
        <row r="383">
          <cell r="A383" t="str">
            <v>F98492</v>
          </cell>
          <cell r="B383" t="str">
            <v>11.5K</v>
          </cell>
          <cell r="C383" t="str">
            <v>Jimmy</v>
          </cell>
        </row>
        <row r="384">
          <cell r="A384" t="str">
            <v>F98498</v>
          </cell>
          <cell r="B384" t="str">
            <v>11.5K</v>
          </cell>
          <cell r="C384" t="str">
            <v>Jimmy</v>
          </cell>
        </row>
        <row r="385">
          <cell r="A385" t="str">
            <v>F98499</v>
          </cell>
          <cell r="B385" t="str">
            <v>11.5K</v>
          </cell>
          <cell r="C385" t="str">
            <v>Jimmy</v>
          </cell>
        </row>
        <row r="386">
          <cell r="A386" t="str">
            <v>F98500</v>
          </cell>
          <cell r="B386" t="str">
            <v>11.5K</v>
          </cell>
          <cell r="C386" t="str">
            <v>Jimmy</v>
          </cell>
        </row>
        <row r="387">
          <cell r="A387" t="str">
            <v>F98486</v>
          </cell>
          <cell r="B387">
            <v>3</v>
          </cell>
          <cell r="C387" t="str">
            <v>Jimmy</v>
          </cell>
        </row>
        <row r="388">
          <cell r="A388" t="str">
            <v>F98487</v>
          </cell>
          <cell r="B388">
            <v>3</v>
          </cell>
          <cell r="C388" t="str">
            <v>Jimmy</v>
          </cell>
        </row>
        <row r="389">
          <cell r="A389" t="str">
            <v>F98484</v>
          </cell>
          <cell r="B389" t="str">
            <v>11.5K</v>
          </cell>
          <cell r="C389" t="str">
            <v>Jimmy</v>
          </cell>
        </row>
        <row r="390">
          <cell r="A390" t="str">
            <v>F98485</v>
          </cell>
          <cell r="B390" t="str">
            <v>11.5K</v>
          </cell>
          <cell r="C390" t="str">
            <v>Jimmy</v>
          </cell>
        </row>
        <row r="391">
          <cell r="A391" t="str">
            <v>F98488</v>
          </cell>
          <cell r="B391">
            <v>3</v>
          </cell>
          <cell r="C391" t="str">
            <v>Jimmy</v>
          </cell>
        </row>
        <row r="392">
          <cell r="A392" t="str">
            <v>F98921</v>
          </cell>
          <cell r="B392" t="str">
            <v>8.5</v>
          </cell>
          <cell r="C392" t="str">
            <v>Philip</v>
          </cell>
        </row>
        <row r="393">
          <cell r="A393" t="str">
            <v>F98922</v>
          </cell>
          <cell r="B393" t="str">
            <v>8.5</v>
          </cell>
          <cell r="C393" t="str">
            <v>Philip</v>
          </cell>
        </row>
        <row r="394">
          <cell r="A394" t="str">
            <v>F98931</v>
          </cell>
          <cell r="B394" t="str">
            <v>5.5</v>
          </cell>
          <cell r="C394" t="str">
            <v>Sophia</v>
          </cell>
        </row>
        <row r="395">
          <cell r="A395" t="str">
            <v>F98932</v>
          </cell>
          <cell r="B395" t="str">
            <v>5.5</v>
          </cell>
          <cell r="C395" t="str">
            <v>Sophia</v>
          </cell>
        </row>
        <row r="396">
          <cell r="A396" t="str">
            <v>F98933</v>
          </cell>
          <cell r="B396" t="str">
            <v>5.5</v>
          </cell>
          <cell r="C396" t="str">
            <v>Sophia</v>
          </cell>
        </row>
        <row r="397">
          <cell r="A397" t="str">
            <v>F98929</v>
          </cell>
          <cell r="B397" t="str">
            <v>5.5</v>
          </cell>
          <cell r="C397" t="str">
            <v>Sophia</v>
          </cell>
        </row>
        <row r="398">
          <cell r="A398" t="str">
            <v>F98928</v>
          </cell>
          <cell r="B398" t="str">
            <v>5.5</v>
          </cell>
          <cell r="C398" t="str">
            <v>Sophia</v>
          </cell>
        </row>
        <row r="399">
          <cell r="A399" t="str">
            <v>F98930</v>
          </cell>
          <cell r="B399" t="str">
            <v>5.5</v>
          </cell>
          <cell r="C399" t="str">
            <v>Sophia</v>
          </cell>
        </row>
        <row r="400">
          <cell r="A400" t="str">
            <v>F98908</v>
          </cell>
          <cell r="B400" t="str">
            <v>5.5</v>
          </cell>
          <cell r="C400" t="str">
            <v>Sophia</v>
          </cell>
        </row>
        <row r="401">
          <cell r="A401" t="str">
            <v>F98909</v>
          </cell>
          <cell r="B401" t="str">
            <v>5.5</v>
          </cell>
          <cell r="C401" t="str">
            <v>Sophia</v>
          </cell>
        </row>
        <row r="402">
          <cell r="A402" t="str">
            <v>F98910</v>
          </cell>
          <cell r="B402" t="str">
            <v>5.5</v>
          </cell>
          <cell r="C402" t="str">
            <v>Sophia</v>
          </cell>
        </row>
      </sheetData>
      <sheetData sheetId="6"/>
      <sheetData sheetId="7"/>
      <sheetData sheetId="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15 ALL"/>
      <sheetName val="Sheet1"/>
      <sheetName val="ALL"/>
      <sheetName val="2nd report"/>
      <sheetName val="SA"/>
      <sheetName val="MKT"/>
      <sheetName val="shoe destroy"/>
      <sheetName val="1st report"/>
      <sheetName val="new Total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Art#</v>
          </cell>
          <cell r="B1" t="str">
            <v>SMPL size</v>
          </cell>
        </row>
        <row r="2">
          <cell r="A2" t="str">
            <v>F98293</v>
          </cell>
          <cell r="B2">
            <v>8.5</v>
          </cell>
          <cell r="C2" t="str">
            <v>Philip</v>
          </cell>
        </row>
        <row r="3">
          <cell r="A3" t="str">
            <v>F98294</v>
          </cell>
          <cell r="B3">
            <v>8.5</v>
          </cell>
          <cell r="C3" t="str">
            <v>Philip</v>
          </cell>
        </row>
        <row r="4">
          <cell r="A4" t="str">
            <v>F98295</v>
          </cell>
          <cell r="B4">
            <v>8.5</v>
          </cell>
          <cell r="C4" t="str">
            <v>Philip</v>
          </cell>
        </row>
        <row r="5">
          <cell r="A5" t="str">
            <v>F98274</v>
          </cell>
          <cell r="B5">
            <v>5.5</v>
          </cell>
          <cell r="C5" t="str">
            <v>Sophia</v>
          </cell>
        </row>
        <row r="6">
          <cell r="A6" t="str">
            <v>F98275</v>
          </cell>
          <cell r="B6">
            <v>5.5</v>
          </cell>
          <cell r="C6" t="str">
            <v>Sophia</v>
          </cell>
        </row>
        <row r="7">
          <cell r="A7" t="str">
            <v>F98276</v>
          </cell>
          <cell r="B7">
            <v>5.5</v>
          </cell>
          <cell r="C7" t="str">
            <v>Sophia</v>
          </cell>
        </row>
        <row r="8">
          <cell r="A8" t="str">
            <v>F98277</v>
          </cell>
          <cell r="B8">
            <v>5.5</v>
          </cell>
          <cell r="C8" t="str">
            <v>Sophia</v>
          </cell>
        </row>
        <row r="9">
          <cell r="A9" t="str">
            <v>F98635</v>
          </cell>
          <cell r="B9">
            <v>5.5</v>
          </cell>
          <cell r="C9" t="str">
            <v>Sophia</v>
          </cell>
        </row>
        <row r="10">
          <cell r="A10" t="str">
            <v>F98636</v>
          </cell>
          <cell r="B10">
            <v>5.5</v>
          </cell>
          <cell r="C10" t="str">
            <v>Sophia</v>
          </cell>
        </row>
        <row r="11">
          <cell r="A11" t="str">
            <v>F98637</v>
          </cell>
          <cell r="B11">
            <v>5.5</v>
          </cell>
          <cell r="C11" t="str">
            <v>Sophia</v>
          </cell>
        </row>
        <row r="12">
          <cell r="A12" t="str">
            <v>F98632</v>
          </cell>
          <cell r="B12">
            <v>5.5</v>
          </cell>
          <cell r="C12" t="str">
            <v>Sophia</v>
          </cell>
        </row>
        <row r="13">
          <cell r="A13" t="str">
            <v>F98633</v>
          </cell>
          <cell r="B13">
            <v>5.5</v>
          </cell>
          <cell r="C13" t="str">
            <v>Sophia</v>
          </cell>
        </row>
        <row r="14">
          <cell r="A14" t="str">
            <v>F98634</v>
          </cell>
          <cell r="B14">
            <v>5.5</v>
          </cell>
          <cell r="C14" t="str">
            <v>Sophia</v>
          </cell>
        </row>
        <row r="15">
          <cell r="A15" t="str">
            <v>F98818</v>
          </cell>
          <cell r="B15" t="str">
            <v>5.5</v>
          </cell>
          <cell r="C15" t="str">
            <v>Sophia</v>
          </cell>
        </row>
        <row r="16">
          <cell r="A16" t="str">
            <v>F98819</v>
          </cell>
          <cell r="B16" t="str">
            <v>5.5</v>
          </cell>
          <cell r="C16" t="str">
            <v>Sophia</v>
          </cell>
        </row>
        <row r="17">
          <cell r="A17" t="str">
            <v>F98822</v>
          </cell>
          <cell r="B17" t="str">
            <v>5.5</v>
          </cell>
          <cell r="C17" t="str">
            <v>Sophia</v>
          </cell>
        </row>
        <row r="18">
          <cell r="A18" t="str">
            <v>F98823</v>
          </cell>
          <cell r="B18" t="str">
            <v>5.5</v>
          </cell>
          <cell r="C18" t="str">
            <v>Sophia</v>
          </cell>
        </row>
        <row r="19">
          <cell r="A19" t="str">
            <v>F98824</v>
          </cell>
          <cell r="B19" t="str">
            <v>5.5</v>
          </cell>
          <cell r="C19" t="str">
            <v>Sophia</v>
          </cell>
        </row>
        <row r="20">
          <cell r="A20" t="str">
            <v>F98825</v>
          </cell>
          <cell r="B20" t="str">
            <v>5.5</v>
          </cell>
          <cell r="C20" t="str">
            <v>Sophia</v>
          </cell>
        </row>
        <row r="21">
          <cell r="A21" t="str">
            <v>F98321</v>
          </cell>
          <cell r="B21">
            <v>8.5</v>
          </cell>
          <cell r="C21" t="str">
            <v>Philip</v>
          </cell>
        </row>
        <row r="22">
          <cell r="A22" t="str">
            <v>F98322</v>
          </cell>
          <cell r="B22">
            <v>8.5</v>
          </cell>
          <cell r="C22" t="str">
            <v>Philip</v>
          </cell>
        </row>
        <row r="23">
          <cell r="A23" t="str">
            <v>F98323</v>
          </cell>
          <cell r="B23">
            <v>8.5</v>
          </cell>
          <cell r="C23" t="str">
            <v>Philip</v>
          </cell>
        </row>
        <row r="24">
          <cell r="A24" t="str">
            <v>F98509</v>
          </cell>
          <cell r="B24" t="str">
            <v>5.5K</v>
          </cell>
          <cell r="C24" t="str">
            <v>Jimmy</v>
          </cell>
        </row>
        <row r="25">
          <cell r="A25" t="str">
            <v>F98510</v>
          </cell>
          <cell r="B25" t="str">
            <v>5.5K</v>
          </cell>
          <cell r="C25" t="str">
            <v>Jimmy</v>
          </cell>
        </row>
        <row r="26">
          <cell r="A26" t="str">
            <v>F98511</v>
          </cell>
          <cell r="B26" t="str">
            <v>5.5K</v>
          </cell>
          <cell r="C26" t="str">
            <v>Jimmy</v>
          </cell>
        </row>
        <row r="27">
          <cell r="A27" t="str">
            <v>F98506</v>
          </cell>
          <cell r="B27">
            <v>3</v>
          </cell>
          <cell r="C27" t="str">
            <v>Jimmy</v>
          </cell>
        </row>
        <row r="28">
          <cell r="A28" t="str">
            <v>F98507</v>
          </cell>
          <cell r="B28">
            <v>3</v>
          </cell>
          <cell r="C28" t="str">
            <v>Jimmy</v>
          </cell>
        </row>
        <row r="29">
          <cell r="A29" t="str">
            <v>F98508</v>
          </cell>
          <cell r="B29">
            <v>3</v>
          </cell>
          <cell r="C29" t="str">
            <v>Jimmy</v>
          </cell>
        </row>
        <row r="30">
          <cell r="A30" t="str">
            <v>F98326</v>
          </cell>
          <cell r="B30">
            <v>8.5</v>
          </cell>
          <cell r="C30" t="str">
            <v>Philip</v>
          </cell>
        </row>
        <row r="31">
          <cell r="A31" t="str">
            <v>F98324</v>
          </cell>
          <cell r="B31">
            <v>8.5</v>
          </cell>
          <cell r="C31" t="str">
            <v>Philip</v>
          </cell>
        </row>
        <row r="32">
          <cell r="A32" t="str">
            <v>F98325</v>
          </cell>
          <cell r="B32">
            <v>8.5</v>
          </cell>
          <cell r="C32" t="str">
            <v>Philip</v>
          </cell>
        </row>
        <row r="33">
          <cell r="A33" t="str">
            <v>F98731</v>
          </cell>
          <cell r="B33">
            <v>8.5</v>
          </cell>
          <cell r="C33" t="str">
            <v>Philip</v>
          </cell>
        </row>
        <row r="34">
          <cell r="A34" t="str">
            <v>F98732</v>
          </cell>
          <cell r="B34">
            <v>8.5</v>
          </cell>
          <cell r="C34" t="str">
            <v>Philip</v>
          </cell>
        </row>
        <row r="35">
          <cell r="A35" t="str">
            <v>F98651</v>
          </cell>
          <cell r="B35">
            <v>5.5</v>
          </cell>
          <cell r="C35" t="str">
            <v>Sophia</v>
          </cell>
        </row>
        <row r="36">
          <cell r="A36" t="str">
            <v>F98652</v>
          </cell>
          <cell r="B36">
            <v>5.5</v>
          </cell>
          <cell r="C36" t="str">
            <v>Sophia</v>
          </cell>
        </row>
        <row r="37">
          <cell r="A37" t="str">
            <v>F98653</v>
          </cell>
          <cell r="B37">
            <v>5.5</v>
          </cell>
          <cell r="C37" t="str">
            <v>Sophia</v>
          </cell>
        </row>
        <row r="38">
          <cell r="A38" t="str">
            <v>F98654</v>
          </cell>
          <cell r="B38">
            <v>5.5</v>
          </cell>
          <cell r="C38" t="str">
            <v>Sophia</v>
          </cell>
        </row>
        <row r="39">
          <cell r="A39" t="str">
            <v>F98655</v>
          </cell>
          <cell r="B39">
            <v>5.5</v>
          </cell>
          <cell r="C39" t="str">
            <v>Sophia</v>
          </cell>
        </row>
        <row r="40">
          <cell r="A40" t="str">
            <v>F98656</v>
          </cell>
          <cell r="B40">
            <v>5.5</v>
          </cell>
          <cell r="C40" t="str">
            <v>Sophia</v>
          </cell>
        </row>
        <row r="41">
          <cell r="A41" t="str">
            <v>F98603</v>
          </cell>
          <cell r="B41" t="str">
            <v>5.5</v>
          </cell>
          <cell r="C41" t="str">
            <v>Sophia</v>
          </cell>
        </row>
        <row r="42">
          <cell r="A42" t="str">
            <v>F98557</v>
          </cell>
          <cell r="B42">
            <v>8.5</v>
          </cell>
          <cell r="C42" t="str">
            <v>Philip</v>
          </cell>
        </row>
        <row r="43">
          <cell r="A43" t="str">
            <v>F98558</v>
          </cell>
          <cell r="B43">
            <v>8.5</v>
          </cell>
          <cell r="C43" t="str">
            <v>Philip</v>
          </cell>
        </row>
        <row r="44">
          <cell r="A44" t="str">
            <v>F98559</v>
          </cell>
          <cell r="B44">
            <v>8.5</v>
          </cell>
          <cell r="C44" t="str">
            <v>Philip</v>
          </cell>
        </row>
        <row r="45">
          <cell r="A45" t="str">
            <v>F98867</v>
          </cell>
          <cell r="B45" t="str">
            <v>5.5K</v>
          </cell>
          <cell r="C45" t="str">
            <v>Jimmy</v>
          </cell>
        </row>
        <row r="46">
          <cell r="A46" t="str">
            <v>F98868</v>
          </cell>
          <cell r="B46" t="str">
            <v>5.5K</v>
          </cell>
          <cell r="C46" t="str">
            <v>Jimmy</v>
          </cell>
        </row>
        <row r="47">
          <cell r="A47" t="str">
            <v>F98869</v>
          </cell>
          <cell r="B47" t="str">
            <v>5.5K</v>
          </cell>
          <cell r="C47" t="str">
            <v>Jimmy</v>
          </cell>
        </row>
        <row r="48">
          <cell r="A48" t="str">
            <v>F98495</v>
          </cell>
          <cell r="B48">
            <v>8.5</v>
          </cell>
          <cell r="C48" t="str">
            <v>Philip</v>
          </cell>
        </row>
        <row r="49">
          <cell r="A49" t="str">
            <v>F98496</v>
          </cell>
          <cell r="B49">
            <v>8.5</v>
          </cell>
          <cell r="C49" t="str">
            <v>Philip</v>
          </cell>
        </row>
        <row r="50">
          <cell r="A50" t="str">
            <v>F98581</v>
          </cell>
          <cell r="B50">
            <v>8.5</v>
          </cell>
          <cell r="C50" t="str">
            <v>Philip</v>
          </cell>
        </row>
        <row r="51">
          <cell r="A51" t="str">
            <v>F98582</v>
          </cell>
          <cell r="B51">
            <v>8.5</v>
          </cell>
          <cell r="C51" t="str">
            <v>Philip</v>
          </cell>
        </row>
        <row r="52">
          <cell r="A52" t="str">
            <v>F98832</v>
          </cell>
          <cell r="B52" t="str">
            <v>5.5</v>
          </cell>
          <cell r="C52" t="str">
            <v>Sophia</v>
          </cell>
        </row>
        <row r="53">
          <cell r="A53" t="str">
            <v>F98833</v>
          </cell>
          <cell r="B53" t="str">
            <v>5.5</v>
          </cell>
          <cell r="C53" t="str">
            <v>Sophia</v>
          </cell>
        </row>
        <row r="54">
          <cell r="A54" t="str">
            <v>F98834</v>
          </cell>
          <cell r="B54" t="str">
            <v>5.5</v>
          </cell>
          <cell r="C54" t="str">
            <v>Sophia</v>
          </cell>
        </row>
        <row r="55">
          <cell r="A55" t="str">
            <v>F98835</v>
          </cell>
          <cell r="B55" t="str">
            <v>5.5</v>
          </cell>
          <cell r="C55" t="str">
            <v>Sophia</v>
          </cell>
        </row>
        <row r="56">
          <cell r="A56" t="str">
            <v>F98836</v>
          </cell>
          <cell r="B56" t="str">
            <v>5.5</v>
          </cell>
          <cell r="C56" t="str">
            <v>Sophia</v>
          </cell>
        </row>
        <row r="57">
          <cell r="A57" t="str">
            <v>F98837</v>
          </cell>
          <cell r="B57" t="str">
            <v>5.5</v>
          </cell>
          <cell r="C57" t="str">
            <v>Sophia</v>
          </cell>
        </row>
        <row r="58">
          <cell r="A58" t="str">
            <v>F98554</v>
          </cell>
          <cell r="B58">
            <v>8.5</v>
          </cell>
          <cell r="C58" t="str">
            <v>Philip</v>
          </cell>
        </row>
        <row r="59">
          <cell r="A59" t="str">
            <v>F98555</v>
          </cell>
          <cell r="B59">
            <v>8.5</v>
          </cell>
          <cell r="C59" t="str">
            <v>Philip</v>
          </cell>
        </row>
        <row r="60">
          <cell r="A60" t="str">
            <v>F98556</v>
          </cell>
          <cell r="B60">
            <v>8.5</v>
          </cell>
          <cell r="C60" t="str">
            <v>Philip</v>
          </cell>
        </row>
        <row r="61">
          <cell r="A61" t="str">
            <v>F98330</v>
          </cell>
          <cell r="B61">
            <v>8.5</v>
          </cell>
          <cell r="C61" t="str">
            <v>Philip</v>
          </cell>
        </row>
        <row r="62">
          <cell r="A62" t="str">
            <v>F98331</v>
          </cell>
          <cell r="B62">
            <v>8.5</v>
          </cell>
          <cell r="C62" t="str">
            <v>Philip</v>
          </cell>
        </row>
        <row r="63">
          <cell r="A63" t="str">
            <v>F98332</v>
          </cell>
          <cell r="B63">
            <v>8.5</v>
          </cell>
          <cell r="C63" t="str">
            <v>Philip</v>
          </cell>
        </row>
        <row r="64">
          <cell r="A64" t="str">
            <v>F98336</v>
          </cell>
          <cell r="B64">
            <v>8.5</v>
          </cell>
          <cell r="C64" t="str">
            <v>Philip</v>
          </cell>
        </row>
        <row r="65">
          <cell r="A65" t="str">
            <v>F98337</v>
          </cell>
          <cell r="B65">
            <v>8.5</v>
          </cell>
          <cell r="C65" t="str">
            <v>Philip</v>
          </cell>
        </row>
        <row r="66">
          <cell r="A66" t="str">
            <v>F98338</v>
          </cell>
          <cell r="B66">
            <v>8.5</v>
          </cell>
          <cell r="C66" t="str">
            <v>Philip</v>
          </cell>
        </row>
        <row r="67">
          <cell r="A67" t="str">
            <v>F98339</v>
          </cell>
          <cell r="B67">
            <v>8.5</v>
          </cell>
          <cell r="C67" t="str">
            <v>Philip</v>
          </cell>
        </row>
        <row r="68">
          <cell r="A68" t="str">
            <v>F98342</v>
          </cell>
          <cell r="B68">
            <v>8.5</v>
          </cell>
          <cell r="C68" t="str">
            <v>Philip</v>
          </cell>
        </row>
        <row r="69">
          <cell r="A69" t="str">
            <v>F98343</v>
          </cell>
          <cell r="B69">
            <v>8.5</v>
          </cell>
          <cell r="C69" t="str">
            <v>Philip</v>
          </cell>
        </row>
        <row r="70">
          <cell r="A70" t="str">
            <v>F98344</v>
          </cell>
          <cell r="B70">
            <v>8.5</v>
          </cell>
          <cell r="C70" t="str">
            <v>Philip</v>
          </cell>
        </row>
        <row r="71">
          <cell r="A71" t="str">
            <v>F98350</v>
          </cell>
          <cell r="B71">
            <v>8.5</v>
          </cell>
          <cell r="C71" t="str">
            <v>Philip</v>
          </cell>
        </row>
        <row r="72">
          <cell r="A72" t="str">
            <v>F98351</v>
          </cell>
          <cell r="B72">
            <v>8.5</v>
          </cell>
          <cell r="C72" t="str">
            <v>Philip</v>
          </cell>
        </row>
        <row r="73">
          <cell r="A73" t="str">
            <v>F98352</v>
          </cell>
          <cell r="B73">
            <v>8.5</v>
          </cell>
          <cell r="C73" t="str">
            <v>Philip</v>
          </cell>
        </row>
        <row r="74">
          <cell r="A74" t="str">
            <v>F98623</v>
          </cell>
          <cell r="B74">
            <v>5.5</v>
          </cell>
          <cell r="C74" t="str">
            <v>Sophia</v>
          </cell>
        </row>
        <row r="75">
          <cell r="A75" t="str">
            <v>F98624</v>
          </cell>
          <cell r="B75">
            <v>5.5</v>
          </cell>
          <cell r="C75" t="str">
            <v>Sophia</v>
          </cell>
        </row>
        <row r="76">
          <cell r="A76" t="str">
            <v>F98345</v>
          </cell>
          <cell r="B76">
            <v>8.5</v>
          </cell>
          <cell r="C76" t="str">
            <v>Philip</v>
          </cell>
        </row>
        <row r="77">
          <cell r="A77" t="str">
            <v>F98346</v>
          </cell>
          <cell r="B77">
            <v>8.5</v>
          </cell>
          <cell r="C77" t="str">
            <v>Philip</v>
          </cell>
        </row>
        <row r="78">
          <cell r="A78" t="str">
            <v>F98347</v>
          </cell>
          <cell r="B78">
            <v>8.5</v>
          </cell>
          <cell r="C78" t="str">
            <v>Philip</v>
          </cell>
        </row>
        <row r="79">
          <cell r="A79" t="str">
            <v>F98348</v>
          </cell>
          <cell r="B79">
            <v>8.5</v>
          </cell>
          <cell r="C79" t="str">
            <v>Philip</v>
          </cell>
        </row>
        <row r="80">
          <cell r="A80" t="str">
            <v>F98349</v>
          </cell>
          <cell r="B80">
            <v>8.5</v>
          </cell>
          <cell r="C80" t="str">
            <v>Philip</v>
          </cell>
        </row>
        <row r="81">
          <cell r="A81" t="str">
            <v>F98521</v>
          </cell>
          <cell r="B81" t="str">
            <v>5.5K</v>
          </cell>
          <cell r="C81" t="str">
            <v>Jimmy</v>
          </cell>
        </row>
        <row r="82">
          <cell r="A82" t="str">
            <v>F98604</v>
          </cell>
          <cell r="B82" t="str">
            <v>5.5K</v>
          </cell>
          <cell r="C82" t="str">
            <v>Jimmy</v>
          </cell>
        </row>
        <row r="83">
          <cell r="A83" t="str">
            <v>F98605</v>
          </cell>
          <cell r="B83" t="str">
            <v>5.5K</v>
          </cell>
          <cell r="C83" t="str">
            <v>Jimmy</v>
          </cell>
        </row>
        <row r="84">
          <cell r="A84" t="str">
            <v>F98522</v>
          </cell>
          <cell r="B84" t="str">
            <v>5.5K</v>
          </cell>
          <cell r="C84" t="str">
            <v>Jimmy</v>
          </cell>
        </row>
        <row r="85">
          <cell r="A85" t="str">
            <v>F98523</v>
          </cell>
          <cell r="B85" t="str">
            <v>5.5K</v>
          </cell>
          <cell r="C85" t="str">
            <v>Jimmy</v>
          </cell>
        </row>
        <row r="86">
          <cell r="A86" t="str">
            <v>F98626</v>
          </cell>
          <cell r="B86">
            <v>5.5</v>
          </cell>
          <cell r="C86" t="str">
            <v>Sophia</v>
          </cell>
        </row>
        <row r="87">
          <cell r="A87" t="str">
            <v>F98627</v>
          </cell>
          <cell r="B87">
            <v>5.5</v>
          </cell>
          <cell r="C87" t="str">
            <v>Sophia</v>
          </cell>
        </row>
        <row r="88">
          <cell r="A88" t="str">
            <v>F98628</v>
          </cell>
          <cell r="B88">
            <v>5.5</v>
          </cell>
          <cell r="C88" t="str">
            <v>Sophia</v>
          </cell>
        </row>
        <row r="89">
          <cell r="A89" t="str">
            <v>F98629</v>
          </cell>
          <cell r="B89">
            <v>5.5</v>
          </cell>
          <cell r="C89" t="str">
            <v>Sophia</v>
          </cell>
        </row>
        <row r="90">
          <cell r="A90" t="str">
            <v>F98630</v>
          </cell>
          <cell r="B90">
            <v>5.5</v>
          </cell>
          <cell r="C90" t="str">
            <v>Sophia</v>
          </cell>
        </row>
        <row r="91">
          <cell r="A91" t="str">
            <v>F98631</v>
          </cell>
          <cell r="B91">
            <v>5.5</v>
          </cell>
          <cell r="C91" t="str">
            <v>Sophia</v>
          </cell>
        </row>
        <row r="92">
          <cell r="A92" t="str">
            <v>F98512</v>
          </cell>
          <cell r="B92">
            <v>8.5</v>
          </cell>
          <cell r="C92" t="str">
            <v>Philip</v>
          </cell>
        </row>
        <row r="93">
          <cell r="A93" t="str">
            <v>F98513</v>
          </cell>
          <cell r="B93">
            <v>8.5</v>
          </cell>
          <cell r="C93" t="str">
            <v>Philip</v>
          </cell>
        </row>
        <row r="94">
          <cell r="A94" t="str">
            <v>F98517</v>
          </cell>
          <cell r="B94">
            <v>8.5</v>
          </cell>
          <cell r="C94" t="str">
            <v>Philip</v>
          </cell>
        </row>
        <row r="95">
          <cell r="A95" t="str">
            <v>F98518</v>
          </cell>
          <cell r="B95">
            <v>8.5</v>
          </cell>
          <cell r="C95" t="str">
            <v>Philip</v>
          </cell>
        </row>
        <row r="96">
          <cell r="A96" t="str">
            <v>F98864</v>
          </cell>
          <cell r="B96" t="str">
            <v>5.5K</v>
          </cell>
          <cell r="C96" t="str">
            <v>Jimmy</v>
          </cell>
        </row>
        <row r="97">
          <cell r="A97" t="str">
            <v>F98865</v>
          </cell>
          <cell r="B97" t="str">
            <v>5.5K</v>
          </cell>
          <cell r="C97" t="str">
            <v>Jimmy</v>
          </cell>
        </row>
        <row r="98">
          <cell r="A98" t="str">
            <v>F98866</v>
          </cell>
          <cell r="B98" t="str">
            <v>5.5K</v>
          </cell>
          <cell r="C98" t="str">
            <v>Jimmy</v>
          </cell>
        </row>
        <row r="99">
          <cell r="A99" t="str">
            <v>F98534</v>
          </cell>
          <cell r="B99" t="str">
            <v>5.5K</v>
          </cell>
          <cell r="C99" t="str">
            <v>Jimmy</v>
          </cell>
        </row>
        <row r="100">
          <cell r="A100" t="str">
            <v>F98537</v>
          </cell>
          <cell r="B100" t="str">
            <v>5.5K</v>
          </cell>
          <cell r="C100" t="str">
            <v>Jimmy</v>
          </cell>
        </row>
        <row r="101">
          <cell r="A101" t="str">
            <v>F98538</v>
          </cell>
          <cell r="B101" t="str">
            <v>5.5K</v>
          </cell>
          <cell r="C101" t="str">
            <v>Jimmy</v>
          </cell>
        </row>
        <row r="102">
          <cell r="A102" t="str">
            <v>F98535</v>
          </cell>
          <cell r="B102" t="str">
            <v>5.5K</v>
          </cell>
          <cell r="C102" t="str">
            <v>Jimmy</v>
          </cell>
        </row>
        <row r="103">
          <cell r="A103" t="str">
            <v>F98536</v>
          </cell>
          <cell r="B103" t="str">
            <v>5.5K</v>
          </cell>
          <cell r="C103" t="str">
            <v>Jimmy</v>
          </cell>
        </row>
        <row r="104">
          <cell r="A104" t="str">
            <v>F98642</v>
          </cell>
          <cell r="B104">
            <v>5.5</v>
          </cell>
          <cell r="C104" t="str">
            <v>Sophia</v>
          </cell>
        </row>
        <row r="105">
          <cell r="A105" t="str">
            <v>F98643</v>
          </cell>
          <cell r="B105">
            <v>5.5</v>
          </cell>
          <cell r="C105" t="str">
            <v>Sophia</v>
          </cell>
        </row>
        <row r="106">
          <cell r="A106" t="str">
            <v>F98524</v>
          </cell>
          <cell r="B106">
            <v>3</v>
          </cell>
          <cell r="C106" t="str">
            <v>Jimmy</v>
          </cell>
        </row>
        <row r="107">
          <cell r="A107" t="str">
            <v>F98525</v>
          </cell>
          <cell r="B107">
            <v>3</v>
          </cell>
          <cell r="C107" t="str">
            <v>Jimmy</v>
          </cell>
        </row>
        <row r="108">
          <cell r="A108" t="str">
            <v>F98569</v>
          </cell>
          <cell r="B108">
            <v>8.5</v>
          </cell>
          <cell r="C108" t="str">
            <v>Philip</v>
          </cell>
        </row>
        <row r="109">
          <cell r="A109" t="str">
            <v>F98570</v>
          </cell>
          <cell r="B109">
            <v>8.5</v>
          </cell>
          <cell r="C109" t="str">
            <v>Philip</v>
          </cell>
        </row>
        <row r="110">
          <cell r="A110" t="str">
            <v>F98571</v>
          </cell>
          <cell r="B110">
            <v>8.5</v>
          </cell>
          <cell r="C110" t="str">
            <v>Philip</v>
          </cell>
        </row>
        <row r="111">
          <cell r="A111" t="str">
            <v>F98533</v>
          </cell>
          <cell r="B111">
            <v>3</v>
          </cell>
          <cell r="C111" t="str">
            <v>Jimmy</v>
          </cell>
        </row>
        <row r="112">
          <cell r="A112" t="str">
            <v>F98529</v>
          </cell>
          <cell r="B112">
            <v>3</v>
          </cell>
          <cell r="C112" t="str">
            <v>Jimmy</v>
          </cell>
        </row>
        <row r="113">
          <cell r="A113" t="str">
            <v>F98530</v>
          </cell>
          <cell r="B113">
            <v>3</v>
          </cell>
          <cell r="C113" t="str">
            <v>Jimmy</v>
          </cell>
        </row>
        <row r="114">
          <cell r="A114" t="str">
            <v>F98531</v>
          </cell>
          <cell r="B114">
            <v>3</v>
          </cell>
          <cell r="C114" t="str">
            <v>Jimmy</v>
          </cell>
        </row>
        <row r="115">
          <cell r="A115" t="str">
            <v>F98532</v>
          </cell>
          <cell r="B115">
            <v>3</v>
          </cell>
          <cell r="C115" t="str">
            <v>Jimmy</v>
          </cell>
        </row>
        <row r="116">
          <cell r="A116" t="str">
            <v>F98640</v>
          </cell>
          <cell r="B116">
            <v>5.5</v>
          </cell>
          <cell r="C116" t="str">
            <v>Sophia</v>
          </cell>
        </row>
        <row r="117">
          <cell r="A117" t="str">
            <v>F98641</v>
          </cell>
          <cell r="B117">
            <v>5.5</v>
          </cell>
          <cell r="C117" t="str">
            <v>Sophia</v>
          </cell>
        </row>
        <row r="118">
          <cell r="A118" t="str">
            <v>F98638</v>
          </cell>
          <cell r="B118">
            <v>5.5</v>
          </cell>
          <cell r="C118" t="str">
            <v>Sophia</v>
          </cell>
        </row>
        <row r="119">
          <cell r="A119" t="str">
            <v>F98639</v>
          </cell>
          <cell r="B119">
            <v>5.5</v>
          </cell>
          <cell r="C119" t="str">
            <v>Sophia</v>
          </cell>
        </row>
        <row r="120">
          <cell r="A120" t="str">
            <v>F98403</v>
          </cell>
          <cell r="B120">
            <v>8.5</v>
          </cell>
          <cell r="C120" t="str">
            <v>Philip</v>
          </cell>
        </row>
        <row r="121">
          <cell r="A121" t="str">
            <v>F98404</v>
          </cell>
          <cell r="B121">
            <v>8.5</v>
          </cell>
          <cell r="C121" t="str">
            <v>Philip</v>
          </cell>
        </row>
        <row r="122">
          <cell r="A122" t="str">
            <v>F98405</v>
          </cell>
          <cell r="B122">
            <v>8.5</v>
          </cell>
          <cell r="C122" t="str">
            <v>Philip</v>
          </cell>
        </row>
        <row r="123">
          <cell r="A123" t="str">
            <v>F98406</v>
          </cell>
          <cell r="B123">
            <v>8.5</v>
          </cell>
          <cell r="C123" t="str">
            <v>Philip</v>
          </cell>
        </row>
        <row r="124">
          <cell r="A124" t="str">
            <v>F98544</v>
          </cell>
          <cell r="B124" t="str">
            <v>11.5K</v>
          </cell>
          <cell r="C124" t="str">
            <v>Jimmy</v>
          </cell>
        </row>
        <row r="125">
          <cell r="A125" t="str">
            <v>F98547</v>
          </cell>
          <cell r="B125" t="str">
            <v>11.5K</v>
          </cell>
          <cell r="C125" t="str">
            <v>Jimmy</v>
          </cell>
        </row>
        <row r="126">
          <cell r="A126" t="str">
            <v>F98548</v>
          </cell>
          <cell r="B126" t="str">
            <v>11.5K</v>
          </cell>
          <cell r="C126" t="str">
            <v>Jimmy</v>
          </cell>
        </row>
        <row r="127">
          <cell r="A127" t="str">
            <v>F98545</v>
          </cell>
          <cell r="B127" t="str">
            <v>11.5K</v>
          </cell>
          <cell r="C127" t="str">
            <v>Jimmy</v>
          </cell>
        </row>
        <row r="128">
          <cell r="A128" t="str">
            <v>F98546</v>
          </cell>
          <cell r="B128" t="str">
            <v>11.5K</v>
          </cell>
          <cell r="C128" t="str">
            <v>Jimmy</v>
          </cell>
        </row>
        <row r="129">
          <cell r="A129" t="str">
            <v>F98549</v>
          </cell>
          <cell r="B129" t="str">
            <v>5.5K</v>
          </cell>
          <cell r="C129" t="str">
            <v>Jimmy</v>
          </cell>
        </row>
        <row r="130">
          <cell r="A130" t="str">
            <v>F98550</v>
          </cell>
          <cell r="B130" t="str">
            <v>5.5K</v>
          </cell>
          <cell r="C130" t="str">
            <v>Jimmy</v>
          </cell>
        </row>
        <row r="131">
          <cell r="A131" t="str">
            <v>F98551</v>
          </cell>
          <cell r="B131" t="str">
            <v>5.5K</v>
          </cell>
          <cell r="C131" t="str">
            <v>Jimmy</v>
          </cell>
        </row>
        <row r="132">
          <cell r="A132" t="str">
            <v>F98552</v>
          </cell>
          <cell r="B132" t="str">
            <v>5.5K</v>
          </cell>
          <cell r="C132" t="str">
            <v>Jimmy</v>
          </cell>
        </row>
        <row r="133">
          <cell r="A133" t="str">
            <v>F98553</v>
          </cell>
          <cell r="B133" t="str">
            <v>5.5K</v>
          </cell>
          <cell r="C133" t="str">
            <v>Jimmy</v>
          </cell>
        </row>
        <row r="134">
          <cell r="A134" t="str">
            <v>F98539</v>
          </cell>
          <cell r="B134">
            <v>3</v>
          </cell>
          <cell r="C134" t="str">
            <v>Jimmy</v>
          </cell>
        </row>
        <row r="135">
          <cell r="A135" t="str">
            <v>F98542</v>
          </cell>
          <cell r="B135">
            <v>3</v>
          </cell>
          <cell r="C135" t="str">
            <v>Jimmy</v>
          </cell>
        </row>
        <row r="136">
          <cell r="A136" t="str">
            <v>F98543</v>
          </cell>
          <cell r="B136">
            <v>3</v>
          </cell>
          <cell r="C136" t="str">
            <v>Jimmy</v>
          </cell>
        </row>
        <row r="137">
          <cell r="A137" t="str">
            <v>F98540</v>
          </cell>
          <cell r="B137">
            <v>3</v>
          </cell>
          <cell r="C137" t="str">
            <v>Jimmy</v>
          </cell>
        </row>
        <row r="138">
          <cell r="A138" t="str">
            <v>F98541</v>
          </cell>
          <cell r="B138">
            <v>3</v>
          </cell>
          <cell r="C138" t="str">
            <v>Jimmy</v>
          </cell>
        </row>
        <row r="139">
          <cell r="A139" t="str">
            <v>F98397</v>
          </cell>
          <cell r="B139">
            <v>8.5</v>
          </cell>
          <cell r="C139" t="str">
            <v>Philip</v>
          </cell>
        </row>
        <row r="140">
          <cell r="A140" t="str">
            <v>F98398</v>
          </cell>
          <cell r="B140">
            <v>8.5</v>
          </cell>
          <cell r="C140" t="str">
            <v>Philip</v>
          </cell>
        </row>
        <row r="141">
          <cell r="A141" t="str">
            <v>F98459</v>
          </cell>
          <cell r="B141">
            <v>3</v>
          </cell>
          <cell r="C141" t="str">
            <v>Jimmy</v>
          </cell>
        </row>
        <row r="142">
          <cell r="A142" t="str">
            <v>F98460</v>
          </cell>
          <cell r="B142">
            <v>3</v>
          </cell>
          <cell r="C142" t="str">
            <v>Jimmy</v>
          </cell>
        </row>
        <row r="143">
          <cell r="A143" t="str">
            <v>F98306</v>
          </cell>
          <cell r="B143">
            <v>8.5</v>
          </cell>
          <cell r="C143" t="str">
            <v>Philip</v>
          </cell>
        </row>
        <row r="144">
          <cell r="A144" t="str">
            <v>F98924</v>
          </cell>
          <cell r="B144">
            <v>8.5</v>
          </cell>
          <cell r="C144" t="str">
            <v>Philip</v>
          </cell>
        </row>
        <row r="145">
          <cell r="A145" t="str">
            <v>F98923</v>
          </cell>
          <cell r="B145">
            <v>8.5</v>
          </cell>
          <cell r="C145" t="str">
            <v>Philip</v>
          </cell>
        </row>
        <row r="146">
          <cell r="A146" t="str">
            <v>F98307</v>
          </cell>
          <cell r="B146">
            <v>8.5</v>
          </cell>
          <cell r="C146" t="str">
            <v>Philip</v>
          </cell>
        </row>
        <row r="147">
          <cell r="A147" t="str">
            <v>F98308</v>
          </cell>
          <cell r="B147">
            <v>8.5</v>
          </cell>
          <cell r="C147" t="str">
            <v>Philip</v>
          </cell>
        </row>
        <row r="148">
          <cell r="A148" t="str">
            <v>F98303</v>
          </cell>
          <cell r="B148">
            <v>8.5</v>
          </cell>
          <cell r="C148" t="str">
            <v>Philip</v>
          </cell>
        </row>
        <row r="149">
          <cell r="A149" t="str">
            <v>F98304</v>
          </cell>
          <cell r="B149">
            <v>8.5</v>
          </cell>
          <cell r="C149" t="str">
            <v>Philip</v>
          </cell>
        </row>
        <row r="150">
          <cell r="A150" t="str">
            <v>F98305</v>
          </cell>
          <cell r="B150">
            <v>8.5</v>
          </cell>
          <cell r="C150" t="str">
            <v>Philip</v>
          </cell>
        </row>
        <row r="151">
          <cell r="A151" t="str">
            <v>F98456</v>
          </cell>
          <cell r="B151">
            <v>3</v>
          </cell>
          <cell r="C151" t="str">
            <v>Jimmy</v>
          </cell>
        </row>
        <row r="152">
          <cell r="A152" t="str">
            <v>F98454</v>
          </cell>
          <cell r="B152">
            <v>3</v>
          </cell>
          <cell r="C152" t="str">
            <v>Jimmy</v>
          </cell>
        </row>
        <row r="153">
          <cell r="A153" t="str">
            <v>F98455</v>
          </cell>
          <cell r="B153">
            <v>3</v>
          </cell>
          <cell r="C153" t="str">
            <v>Jimmy</v>
          </cell>
        </row>
        <row r="154">
          <cell r="A154" t="str">
            <v>F98283</v>
          </cell>
          <cell r="B154">
            <v>5.5</v>
          </cell>
          <cell r="C154" t="str">
            <v>Sophia</v>
          </cell>
        </row>
        <row r="155">
          <cell r="A155" t="str">
            <v>F98284</v>
          </cell>
          <cell r="B155">
            <v>5.5</v>
          </cell>
          <cell r="C155" t="str">
            <v>Sophia</v>
          </cell>
        </row>
        <row r="156">
          <cell r="A156" t="str">
            <v>F98327</v>
          </cell>
          <cell r="B156">
            <v>5.5</v>
          </cell>
          <cell r="C156" t="str">
            <v>Sophia</v>
          </cell>
        </row>
        <row r="157">
          <cell r="A157" t="str">
            <v>F98299</v>
          </cell>
          <cell r="B157">
            <v>8.5</v>
          </cell>
          <cell r="C157" t="str">
            <v>Philip</v>
          </cell>
        </row>
        <row r="158">
          <cell r="A158" t="str">
            <v>F98300</v>
          </cell>
          <cell r="B158">
            <v>8.5</v>
          </cell>
          <cell r="C158" t="str">
            <v>Philip</v>
          </cell>
        </row>
        <row r="159">
          <cell r="A159" t="str">
            <v>F98301</v>
          </cell>
          <cell r="B159">
            <v>8.5</v>
          </cell>
          <cell r="C159" t="str">
            <v>Philip</v>
          </cell>
        </row>
        <row r="160">
          <cell r="A160" t="str">
            <v>F98302</v>
          </cell>
          <cell r="B160">
            <v>8.5</v>
          </cell>
          <cell r="C160" t="str">
            <v>Philip</v>
          </cell>
        </row>
        <row r="161">
          <cell r="A161" t="str">
            <v>F98278</v>
          </cell>
          <cell r="B161" t="str">
            <v>U</v>
          </cell>
          <cell r="C161" t="str">
            <v>Philip</v>
          </cell>
        </row>
        <row r="162">
          <cell r="A162" t="str">
            <v>F98353</v>
          </cell>
          <cell r="B162">
            <v>8.5</v>
          </cell>
          <cell r="C162" t="str">
            <v>Philip</v>
          </cell>
        </row>
        <row r="163">
          <cell r="A163" t="str">
            <v>F98354</v>
          </cell>
          <cell r="B163">
            <v>8.5</v>
          </cell>
          <cell r="C163" t="str">
            <v>Philip</v>
          </cell>
        </row>
        <row r="164">
          <cell r="A164" t="str">
            <v>F98355</v>
          </cell>
          <cell r="B164">
            <v>8.5</v>
          </cell>
          <cell r="C164" t="str">
            <v>Philip</v>
          </cell>
        </row>
        <row r="165">
          <cell r="A165" t="str">
            <v>F98356</v>
          </cell>
          <cell r="B165">
            <v>8.5</v>
          </cell>
          <cell r="C165" t="str">
            <v>Philip</v>
          </cell>
        </row>
        <row r="166">
          <cell r="A166" t="str">
            <v>F98357</v>
          </cell>
          <cell r="B166">
            <v>8.5</v>
          </cell>
          <cell r="C166" t="str">
            <v>Philip</v>
          </cell>
        </row>
        <row r="167">
          <cell r="A167" t="str">
            <v>F98358</v>
          </cell>
          <cell r="B167">
            <v>8.5</v>
          </cell>
          <cell r="C167" t="str">
            <v>Philip</v>
          </cell>
        </row>
        <row r="168">
          <cell r="A168" t="str">
            <v>F98359</v>
          </cell>
          <cell r="B168">
            <v>8.5</v>
          </cell>
          <cell r="C168" t="str">
            <v>Philip</v>
          </cell>
        </row>
        <row r="169">
          <cell r="A169" t="str">
            <v>F98360</v>
          </cell>
          <cell r="B169">
            <v>8.5</v>
          </cell>
          <cell r="C169" t="str">
            <v>Philip</v>
          </cell>
        </row>
        <row r="170">
          <cell r="A170" t="str">
            <v>F98361</v>
          </cell>
          <cell r="B170">
            <v>8.5</v>
          </cell>
          <cell r="C170" t="str">
            <v>Philip</v>
          </cell>
        </row>
        <row r="171">
          <cell r="A171" t="str">
            <v>F98362</v>
          </cell>
          <cell r="B171">
            <v>8.5</v>
          </cell>
          <cell r="C171" t="str">
            <v>Philip</v>
          </cell>
        </row>
        <row r="172">
          <cell r="A172" t="str">
            <v>F98366</v>
          </cell>
          <cell r="B172">
            <v>8.5</v>
          </cell>
          <cell r="C172" t="str">
            <v>Philip</v>
          </cell>
        </row>
        <row r="173">
          <cell r="A173" t="str">
            <v>F98367</v>
          </cell>
          <cell r="B173">
            <v>8.5</v>
          </cell>
          <cell r="C173" t="str">
            <v>Philip</v>
          </cell>
        </row>
        <row r="174">
          <cell r="A174" t="str">
            <v>F98363</v>
          </cell>
          <cell r="B174">
            <v>8.5</v>
          </cell>
          <cell r="C174" t="str">
            <v>Philip</v>
          </cell>
        </row>
        <row r="175">
          <cell r="A175" t="str">
            <v>F98364</v>
          </cell>
          <cell r="B175">
            <v>8.5</v>
          </cell>
          <cell r="C175" t="str">
            <v>Philip</v>
          </cell>
        </row>
        <row r="176">
          <cell r="A176" t="str">
            <v>F98365</v>
          </cell>
          <cell r="B176">
            <v>8.5</v>
          </cell>
          <cell r="C176" t="str">
            <v>Philip</v>
          </cell>
        </row>
        <row r="177">
          <cell r="A177" t="str">
            <v>F98376</v>
          </cell>
          <cell r="B177">
            <v>8.5</v>
          </cell>
          <cell r="C177" t="str">
            <v>Philip</v>
          </cell>
        </row>
        <row r="178">
          <cell r="A178" t="str">
            <v>F98377</v>
          </cell>
          <cell r="B178">
            <v>8.5</v>
          </cell>
          <cell r="C178" t="str">
            <v>Philip</v>
          </cell>
        </row>
        <row r="179">
          <cell r="A179" t="str">
            <v>F98373</v>
          </cell>
          <cell r="B179">
            <v>8.5</v>
          </cell>
          <cell r="C179" t="str">
            <v>Philip</v>
          </cell>
        </row>
        <row r="180">
          <cell r="A180" t="str">
            <v>F98374</v>
          </cell>
          <cell r="B180">
            <v>8.5</v>
          </cell>
          <cell r="C180" t="str">
            <v>Philip</v>
          </cell>
        </row>
        <row r="181">
          <cell r="A181" t="str">
            <v>F98375</v>
          </cell>
          <cell r="B181">
            <v>8.5</v>
          </cell>
          <cell r="C181" t="str">
            <v>Philip</v>
          </cell>
        </row>
        <row r="182">
          <cell r="A182" t="str">
            <v>F98592</v>
          </cell>
          <cell r="B182" t="str">
            <v>5.5</v>
          </cell>
          <cell r="C182" t="str">
            <v>Sophia</v>
          </cell>
        </row>
        <row r="183">
          <cell r="A183" t="str">
            <v>F98593</v>
          </cell>
          <cell r="B183" t="str">
            <v>5.5</v>
          </cell>
          <cell r="C183" t="str">
            <v>Sophia</v>
          </cell>
        </row>
        <row r="184">
          <cell r="A184" t="str">
            <v>F98591</v>
          </cell>
          <cell r="B184" t="str">
            <v>5.5</v>
          </cell>
          <cell r="C184" t="str">
            <v>Sophia</v>
          </cell>
        </row>
        <row r="185">
          <cell r="A185" t="str">
            <v>F98368</v>
          </cell>
          <cell r="B185">
            <v>8.5</v>
          </cell>
          <cell r="C185" t="str">
            <v>Philip</v>
          </cell>
        </row>
        <row r="186">
          <cell r="A186" t="str">
            <v>F98369</v>
          </cell>
          <cell r="B186">
            <v>8.5</v>
          </cell>
          <cell r="C186" t="str">
            <v>Philip</v>
          </cell>
        </row>
        <row r="187">
          <cell r="A187" t="str">
            <v>F98370</v>
          </cell>
          <cell r="B187">
            <v>8.5</v>
          </cell>
          <cell r="C187" t="str">
            <v>Philip</v>
          </cell>
        </row>
        <row r="188">
          <cell r="A188" t="str">
            <v>F98371</v>
          </cell>
          <cell r="B188">
            <v>8.5</v>
          </cell>
          <cell r="C188" t="str">
            <v>Philip</v>
          </cell>
        </row>
        <row r="189">
          <cell r="A189" t="str">
            <v>F98372</v>
          </cell>
          <cell r="B189">
            <v>8.5</v>
          </cell>
          <cell r="C189" t="str">
            <v>Philip</v>
          </cell>
        </row>
        <row r="190">
          <cell r="A190" t="str">
            <v>F98885</v>
          </cell>
          <cell r="B190">
            <v>5.5</v>
          </cell>
          <cell r="C190" t="str">
            <v>Sophia</v>
          </cell>
        </row>
        <row r="191">
          <cell r="A191" t="str">
            <v>F98886</v>
          </cell>
          <cell r="B191">
            <v>5.5</v>
          </cell>
          <cell r="C191" t="str">
            <v>Sophia</v>
          </cell>
        </row>
        <row r="192">
          <cell r="A192" t="str">
            <v>F98887</v>
          </cell>
          <cell r="B192">
            <v>5.5</v>
          </cell>
          <cell r="C192" t="str">
            <v>Sophia</v>
          </cell>
        </row>
        <row r="193">
          <cell r="A193" t="str">
            <v>F98289</v>
          </cell>
          <cell r="B193">
            <v>8.5</v>
          </cell>
          <cell r="C193" t="str">
            <v>Philip</v>
          </cell>
        </row>
        <row r="194">
          <cell r="A194" t="str">
            <v>F98287</v>
          </cell>
          <cell r="B194">
            <v>8.5</v>
          </cell>
          <cell r="C194" t="str">
            <v>Philip</v>
          </cell>
        </row>
        <row r="195">
          <cell r="A195" t="str">
            <v>F98288</v>
          </cell>
          <cell r="B195">
            <v>8.5</v>
          </cell>
          <cell r="C195" t="str">
            <v>Philip</v>
          </cell>
        </row>
        <row r="196">
          <cell r="A196" t="str">
            <v>F98272</v>
          </cell>
          <cell r="B196">
            <v>8.5</v>
          </cell>
          <cell r="C196" t="str">
            <v>Philip</v>
          </cell>
        </row>
        <row r="197">
          <cell r="A197" t="str">
            <v>F98271</v>
          </cell>
          <cell r="B197">
            <v>8.5</v>
          </cell>
          <cell r="C197" t="str">
            <v>Philip</v>
          </cell>
        </row>
        <row r="198">
          <cell r="A198" t="str">
            <v>F98273</v>
          </cell>
          <cell r="B198">
            <v>8.5</v>
          </cell>
          <cell r="C198" t="str">
            <v>Philip</v>
          </cell>
        </row>
        <row r="199">
          <cell r="A199" t="str">
            <v>F98281</v>
          </cell>
          <cell r="B199">
            <v>5.5</v>
          </cell>
          <cell r="C199" t="str">
            <v>Sophia</v>
          </cell>
        </row>
        <row r="200">
          <cell r="A200" t="str">
            <v>F98282</v>
          </cell>
          <cell r="B200">
            <v>5.5</v>
          </cell>
          <cell r="C200" t="str">
            <v>Sophia</v>
          </cell>
        </row>
        <row r="201">
          <cell r="A201" t="str">
            <v>F98279</v>
          </cell>
          <cell r="B201">
            <v>5.5</v>
          </cell>
          <cell r="C201" t="str">
            <v>Sophia</v>
          </cell>
        </row>
        <row r="202">
          <cell r="A202" t="str">
            <v>F98291</v>
          </cell>
          <cell r="B202">
            <v>8.5</v>
          </cell>
          <cell r="C202" t="str">
            <v>Philip</v>
          </cell>
        </row>
        <row r="203">
          <cell r="A203" t="str">
            <v>F98292</v>
          </cell>
          <cell r="B203">
            <v>8.5</v>
          </cell>
          <cell r="C203" t="str">
            <v>Philip</v>
          </cell>
        </row>
        <row r="204">
          <cell r="A204" t="str">
            <v>F98625</v>
          </cell>
          <cell r="B204">
            <v>5.5</v>
          </cell>
          <cell r="C204" t="str">
            <v>Sophia</v>
          </cell>
        </row>
        <row r="205">
          <cell r="A205" t="str">
            <v>F98465</v>
          </cell>
          <cell r="B205">
            <v>3</v>
          </cell>
          <cell r="C205" t="str">
            <v>Jimmy</v>
          </cell>
        </row>
        <row r="206">
          <cell r="A206" t="str">
            <v>F98462</v>
          </cell>
          <cell r="B206">
            <v>3</v>
          </cell>
          <cell r="C206" t="str">
            <v>Jimmy</v>
          </cell>
        </row>
        <row r="207">
          <cell r="A207" t="str">
            <v>F98463</v>
          </cell>
          <cell r="B207">
            <v>3</v>
          </cell>
          <cell r="C207" t="str">
            <v>Jimmy</v>
          </cell>
        </row>
        <row r="208">
          <cell r="A208" t="str">
            <v>F98464</v>
          </cell>
          <cell r="B208">
            <v>3</v>
          </cell>
          <cell r="C208" t="str">
            <v>Jimmy</v>
          </cell>
        </row>
        <row r="209">
          <cell r="A209" t="str">
            <v>F98378</v>
          </cell>
          <cell r="B209">
            <v>8.5</v>
          </cell>
          <cell r="C209" t="str">
            <v>Philip</v>
          </cell>
        </row>
        <row r="210">
          <cell r="A210" t="str">
            <v>F98379</v>
          </cell>
          <cell r="B210">
            <v>8.5</v>
          </cell>
          <cell r="C210" t="str">
            <v>Philip</v>
          </cell>
        </row>
        <row r="211">
          <cell r="A211" t="str">
            <v>F98380</v>
          </cell>
          <cell r="B211">
            <v>8.5</v>
          </cell>
          <cell r="C211" t="str">
            <v>Philip</v>
          </cell>
        </row>
        <row r="212">
          <cell r="A212" t="str">
            <v>F98389</v>
          </cell>
          <cell r="B212">
            <v>8.5</v>
          </cell>
          <cell r="C212" t="str">
            <v>Philip</v>
          </cell>
        </row>
        <row r="213">
          <cell r="A213" t="str">
            <v>F98390</v>
          </cell>
          <cell r="B213">
            <v>8.5</v>
          </cell>
          <cell r="C213" t="str">
            <v>Philip</v>
          </cell>
        </row>
        <row r="214">
          <cell r="A214" t="str">
            <v>F98391</v>
          </cell>
          <cell r="B214">
            <v>8.5</v>
          </cell>
          <cell r="C214" t="str">
            <v>Philip</v>
          </cell>
        </row>
        <row r="215">
          <cell r="A215" t="str">
            <v>F98392</v>
          </cell>
          <cell r="B215">
            <v>8.5</v>
          </cell>
          <cell r="C215" t="str">
            <v>Philip</v>
          </cell>
        </row>
        <row r="216">
          <cell r="A216" t="str">
            <v>F98381</v>
          </cell>
          <cell r="B216">
            <v>8.5</v>
          </cell>
          <cell r="C216" t="str">
            <v>Philip</v>
          </cell>
        </row>
        <row r="217">
          <cell r="A217" t="str">
            <v>F98382</v>
          </cell>
          <cell r="B217">
            <v>8.5</v>
          </cell>
          <cell r="C217" t="str">
            <v>Philip</v>
          </cell>
        </row>
        <row r="218">
          <cell r="A218" t="str">
            <v>F98384</v>
          </cell>
          <cell r="B218">
            <v>8.5</v>
          </cell>
          <cell r="C218" t="str">
            <v>Philip</v>
          </cell>
        </row>
        <row r="219">
          <cell r="A219" t="str">
            <v>F98383</v>
          </cell>
          <cell r="B219">
            <v>8.5</v>
          </cell>
          <cell r="C219" t="str">
            <v>Philip</v>
          </cell>
        </row>
        <row r="220">
          <cell r="A220" t="str">
            <v>F98410</v>
          </cell>
          <cell r="B220">
            <v>8.5</v>
          </cell>
          <cell r="C220" t="str">
            <v>Philip</v>
          </cell>
        </row>
        <row r="221">
          <cell r="A221" t="str">
            <v>F98409</v>
          </cell>
          <cell r="B221">
            <v>8.5</v>
          </cell>
          <cell r="C221" t="str">
            <v>Philip</v>
          </cell>
        </row>
        <row r="222">
          <cell r="A222" t="str">
            <v>F98411</v>
          </cell>
          <cell r="B222">
            <v>8.5</v>
          </cell>
          <cell r="C222" t="str">
            <v>Philip</v>
          </cell>
        </row>
        <row r="223">
          <cell r="A223" t="str">
            <v>F98412</v>
          </cell>
          <cell r="B223">
            <v>8.5</v>
          </cell>
          <cell r="C223" t="str">
            <v>Philip</v>
          </cell>
        </row>
        <row r="224">
          <cell r="A224" t="str">
            <v>F98400</v>
          </cell>
          <cell r="B224">
            <v>8.5</v>
          </cell>
          <cell r="C224" t="str">
            <v>Philip</v>
          </cell>
        </row>
        <row r="225">
          <cell r="A225" t="str">
            <v>F98401</v>
          </cell>
          <cell r="B225">
            <v>8.5</v>
          </cell>
          <cell r="C225" t="str">
            <v>Philip</v>
          </cell>
        </row>
        <row r="226">
          <cell r="A226" t="str">
            <v>F98402</v>
          </cell>
          <cell r="B226">
            <v>8.5</v>
          </cell>
          <cell r="C226" t="str">
            <v>Philip</v>
          </cell>
        </row>
        <row r="227">
          <cell r="A227" t="str">
            <v>F98583</v>
          </cell>
          <cell r="B227" t="str">
            <v>8.5</v>
          </cell>
          <cell r="C227" t="str">
            <v>Philip</v>
          </cell>
        </row>
        <row r="228">
          <cell r="A228" t="str">
            <v>F98584</v>
          </cell>
          <cell r="B228" t="str">
            <v>8.5</v>
          </cell>
          <cell r="C228" t="str">
            <v>Philip</v>
          </cell>
        </row>
        <row r="229">
          <cell r="A229" t="str">
            <v>F98585</v>
          </cell>
          <cell r="B229" t="str">
            <v>8.5</v>
          </cell>
          <cell r="C229" t="str">
            <v>Philip</v>
          </cell>
        </row>
        <row r="230">
          <cell r="A230" t="str">
            <v>F98586</v>
          </cell>
          <cell r="B230" t="str">
            <v>8.5</v>
          </cell>
          <cell r="C230" t="str">
            <v>Philip</v>
          </cell>
        </row>
        <row r="231">
          <cell r="A231" t="str">
            <v>F98587</v>
          </cell>
          <cell r="B231" t="str">
            <v>8.5</v>
          </cell>
          <cell r="C231" t="str">
            <v>Philip</v>
          </cell>
        </row>
        <row r="232">
          <cell r="A232" t="str">
            <v>F98453</v>
          </cell>
          <cell r="B232" t="str">
            <v>5.5K</v>
          </cell>
          <cell r="C232" t="str">
            <v>Jimmy</v>
          </cell>
        </row>
        <row r="233">
          <cell r="A233" t="str">
            <v>F98612</v>
          </cell>
          <cell r="B233" t="str">
            <v>5.5K</v>
          </cell>
          <cell r="C233" t="str">
            <v>Jimmy</v>
          </cell>
        </row>
        <row r="234">
          <cell r="A234" t="str">
            <v>F98613</v>
          </cell>
          <cell r="B234" t="str">
            <v>5.5K</v>
          </cell>
          <cell r="C234" t="str">
            <v>Jimmy</v>
          </cell>
        </row>
        <row r="235">
          <cell r="A235" t="str">
            <v>F98610</v>
          </cell>
          <cell r="B235" t="str">
            <v>3</v>
          </cell>
          <cell r="C235" t="str">
            <v>Jimmy</v>
          </cell>
        </row>
        <row r="236">
          <cell r="A236" t="str">
            <v>F98451</v>
          </cell>
          <cell r="B236">
            <v>3</v>
          </cell>
          <cell r="C236" t="str">
            <v>Jimmy</v>
          </cell>
        </row>
        <row r="237">
          <cell r="A237" t="str">
            <v>F98452</v>
          </cell>
          <cell r="B237">
            <v>3</v>
          </cell>
          <cell r="C237" t="str">
            <v>Jimmy</v>
          </cell>
        </row>
        <row r="238">
          <cell r="A238" t="str">
            <v>F98443</v>
          </cell>
          <cell r="B238">
            <v>5.5</v>
          </cell>
          <cell r="C238" t="str">
            <v>Sophia</v>
          </cell>
        </row>
        <row r="239">
          <cell r="A239" t="str">
            <v>F98663</v>
          </cell>
          <cell r="B239" t="str">
            <v>5.5</v>
          </cell>
          <cell r="C239" t="str">
            <v>Sophia</v>
          </cell>
        </row>
        <row r="240">
          <cell r="A240" t="str">
            <v>F98664</v>
          </cell>
          <cell r="B240" t="str">
            <v>5.5</v>
          </cell>
          <cell r="C240" t="str">
            <v>Sophia</v>
          </cell>
        </row>
        <row r="241">
          <cell r="A241" t="str">
            <v>F98674</v>
          </cell>
          <cell r="B241" t="str">
            <v>11.5K</v>
          </cell>
          <cell r="C241" t="str">
            <v>Jimmy</v>
          </cell>
        </row>
        <row r="242">
          <cell r="A242" t="str">
            <v>F98826</v>
          </cell>
          <cell r="B242" t="str">
            <v>5.5</v>
          </cell>
          <cell r="C242" t="str">
            <v>Sophia</v>
          </cell>
        </row>
        <row r="243">
          <cell r="A243" t="str">
            <v>F98827</v>
          </cell>
          <cell r="B243" t="str">
            <v>5.5</v>
          </cell>
          <cell r="C243" t="str">
            <v>Sophia</v>
          </cell>
        </row>
        <row r="244">
          <cell r="A244" t="str">
            <v>F98828</v>
          </cell>
          <cell r="B244" t="str">
            <v>5.5</v>
          </cell>
          <cell r="C244" t="str">
            <v>Sophia</v>
          </cell>
        </row>
        <row r="245">
          <cell r="A245" t="str">
            <v>F98829</v>
          </cell>
          <cell r="B245" t="str">
            <v>5.5</v>
          </cell>
          <cell r="C245" t="str">
            <v>Sophia</v>
          </cell>
        </row>
        <row r="246">
          <cell r="A246" t="str">
            <v>F98830</v>
          </cell>
          <cell r="B246" t="str">
            <v>5.5</v>
          </cell>
          <cell r="C246" t="str">
            <v>Sophia</v>
          </cell>
        </row>
        <row r="247">
          <cell r="A247" t="str">
            <v>F98831</v>
          </cell>
          <cell r="B247" t="str">
            <v>5.5</v>
          </cell>
          <cell r="C247" t="str">
            <v>Sophia</v>
          </cell>
        </row>
        <row r="248">
          <cell r="A248" t="str">
            <v>F98297</v>
          </cell>
          <cell r="B248">
            <v>8.5</v>
          </cell>
          <cell r="C248" t="str">
            <v>Philip</v>
          </cell>
        </row>
        <row r="249">
          <cell r="A249" t="str">
            <v>F98296</v>
          </cell>
          <cell r="B249">
            <v>8.5</v>
          </cell>
          <cell r="C249" t="str">
            <v>Philip</v>
          </cell>
        </row>
        <row r="250">
          <cell r="A250" t="str">
            <v>F98298</v>
          </cell>
          <cell r="B250">
            <v>8.5</v>
          </cell>
          <cell r="C250" t="str">
            <v>Philip</v>
          </cell>
        </row>
        <row r="251">
          <cell r="A251" t="str">
            <v>F98772</v>
          </cell>
          <cell r="B251" t="str">
            <v>8.5</v>
          </cell>
          <cell r="C251" t="str">
            <v>Philip</v>
          </cell>
        </row>
        <row r="252">
          <cell r="A252" t="str">
            <v>F98773</v>
          </cell>
          <cell r="B252" t="str">
            <v>8.5</v>
          </cell>
          <cell r="C252" t="str">
            <v>Philip</v>
          </cell>
        </row>
        <row r="253">
          <cell r="A253" t="str">
            <v>F98774</v>
          </cell>
          <cell r="B253" t="str">
            <v>8.5</v>
          </cell>
          <cell r="C253" t="str">
            <v>Philip</v>
          </cell>
        </row>
        <row r="254">
          <cell r="A254" t="str">
            <v>F98770</v>
          </cell>
          <cell r="B254" t="str">
            <v>8.5</v>
          </cell>
          <cell r="C254" t="str">
            <v>Philip</v>
          </cell>
        </row>
        <row r="255">
          <cell r="A255" t="str">
            <v>F98771</v>
          </cell>
          <cell r="B255" t="str">
            <v>8.5</v>
          </cell>
          <cell r="C255" t="str">
            <v>Philip</v>
          </cell>
        </row>
        <row r="256">
          <cell r="A256" t="str">
            <v>F98877</v>
          </cell>
          <cell r="B256" t="str">
            <v>6.0</v>
          </cell>
          <cell r="C256" t="str">
            <v>Sophia</v>
          </cell>
        </row>
        <row r="257">
          <cell r="A257" t="str">
            <v>F98803</v>
          </cell>
          <cell r="B257" t="str">
            <v>8.5</v>
          </cell>
          <cell r="C257" t="str">
            <v>Philip</v>
          </cell>
        </row>
        <row r="258">
          <cell r="A258" t="str">
            <v>F98804</v>
          </cell>
          <cell r="B258" t="str">
            <v>8.5</v>
          </cell>
          <cell r="C258" t="str">
            <v>Philip</v>
          </cell>
        </row>
        <row r="259">
          <cell r="A259" t="str">
            <v>F98805</v>
          </cell>
          <cell r="B259" t="str">
            <v>8.5</v>
          </cell>
          <cell r="C259" t="str">
            <v>Philip</v>
          </cell>
        </row>
        <row r="260">
          <cell r="A260" t="str">
            <v>F98806</v>
          </cell>
          <cell r="B260" t="str">
            <v>8.5</v>
          </cell>
          <cell r="C260" t="str">
            <v>Philip</v>
          </cell>
        </row>
        <row r="261">
          <cell r="A261" t="str">
            <v>F98807</v>
          </cell>
          <cell r="B261" t="str">
            <v>8.5</v>
          </cell>
          <cell r="C261" t="str">
            <v>Philip</v>
          </cell>
        </row>
        <row r="262">
          <cell r="A262" t="str">
            <v>F98764</v>
          </cell>
          <cell r="B262" t="str">
            <v>8.5</v>
          </cell>
          <cell r="C262" t="str">
            <v>Philip</v>
          </cell>
        </row>
        <row r="263">
          <cell r="A263" t="str">
            <v>F98765</v>
          </cell>
          <cell r="B263" t="str">
            <v>8.5</v>
          </cell>
          <cell r="C263" t="str">
            <v>Philip</v>
          </cell>
        </row>
        <row r="264">
          <cell r="A264" t="str">
            <v>F98766</v>
          </cell>
          <cell r="B264" t="str">
            <v>8.5</v>
          </cell>
          <cell r="C264" t="str">
            <v>Philip</v>
          </cell>
        </row>
        <row r="265">
          <cell r="A265" t="str">
            <v>F98767</v>
          </cell>
          <cell r="B265" t="str">
            <v>8.5</v>
          </cell>
          <cell r="C265" t="str">
            <v>Philip</v>
          </cell>
        </row>
        <row r="266">
          <cell r="A266" t="str">
            <v>F98768</v>
          </cell>
          <cell r="B266" t="str">
            <v>8.5</v>
          </cell>
          <cell r="C266" t="str">
            <v>Philip</v>
          </cell>
        </row>
        <row r="267">
          <cell r="A267" t="str">
            <v>F98769</v>
          </cell>
          <cell r="B267" t="str">
            <v>8.5</v>
          </cell>
          <cell r="C267" t="str">
            <v>Philip</v>
          </cell>
        </row>
        <row r="268">
          <cell r="A268" t="str">
            <v>F98873</v>
          </cell>
          <cell r="B268" t="str">
            <v>5.5K</v>
          </cell>
          <cell r="C268" t="str">
            <v>Jimmy</v>
          </cell>
        </row>
        <row r="269">
          <cell r="A269" t="str">
            <v>F98874</v>
          </cell>
          <cell r="B269" t="str">
            <v>5.5K</v>
          </cell>
          <cell r="C269" t="str">
            <v>Jimmy</v>
          </cell>
        </row>
        <row r="270">
          <cell r="A270" t="str">
            <v>F98875</v>
          </cell>
          <cell r="B270" t="str">
            <v>5.5K</v>
          </cell>
          <cell r="C270" t="str">
            <v>Jimmy</v>
          </cell>
        </row>
        <row r="271">
          <cell r="A271" t="str">
            <v>F98754</v>
          </cell>
          <cell r="B271" t="str">
            <v>11.5K</v>
          </cell>
          <cell r="C271" t="str">
            <v>Jimmy</v>
          </cell>
        </row>
        <row r="272">
          <cell r="A272" t="str">
            <v>F98755</v>
          </cell>
          <cell r="B272" t="str">
            <v>11.5K</v>
          </cell>
          <cell r="C272" t="str">
            <v>Jimmy</v>
          </cell>
        </row>
        <row r="273">
          <cell r="A273" t="str">
            <v>F98756</v>
          </cell>
          <cell r="B273" t="str">
            <v>11.5K</v>
          </cell>
          <cell r="C273" t="str">
            <v>Jimmy</v>
          </cell>
        </row>
        <row r="274">
          <cell r="A274" t="str">
            <v>F98757</v>
          </cell>
          <cell r="B274" t="str">
            <v>5.5K</v>
          </cell>
          <cell r="C274" t="str">
            <v>Jimmy</v>
          </cell>
        </row>
        <row r="275">
          <cell r="A275" t="str">
            <v>F98758</v>
          </cell>
          <cell r="B275" t="str">
            <v>5.5K</v>
          </cell>
          <cell r="C275" t="str">
            <v>Jimmy</v>
          </cell>
        </row>
        <row r="276">
          <cell r="A276" t="str">
            <v>F98759</v>
          </cell>
          <cell r="B276" t="str">
            <v>5.5K</v>
          </cell>
          <cell r="C276" t="str">
            <v>Jimmy</v>
          </cell>
        </row>
        <row r="277">
          <cell r="A277" t="str">
            <v>F98778</v>
          </cell>
          <cell r="B277" t="str">
            <v>8.5</v>
          </cell>
          <cell r="C277" t="str">
            <v>Philip</v>
          </cell>
        </row>
        <row r="278">
          <cell r="A278" t="str">
            <v>F98779</v>
          </cell>
          <cell r="B278" t="str">
            <v>8.5</v>
          </cell>
          <cell r="C278" t="str">
            <v>Philip</v>
          </cell>
        </row>
        <row r="279">
          <cell r="A279" t="str">
            <v>F98780</v>
          </cell>
          <cell r="B279" t="str">
            <v>8.5</v>
          </cell>
          <cell r="C279" t="str">
            <v>Philip</v>
          </cell>
        </row>
        <row r="280">
          <cell r="A280" t="str">
            <v>F98775</v>
          </cell>
          <cell r="B280" t="str">
            <v>8.5</v>
          </cell>
          <cell r="C280" t="str">
            <v>Philip</v>
          </cell>
        </row>
        <row r="281">
          <cell r="A281" t="str">
            <v>F98776</v>
          </cell>
          <cell r="B281" t="str">
            <v>8.5</v>
          </cell>
          <cell r="C281" t="str">
            <v>Philip</v>
          </cell>
        </row>
        <row r="282">
          <cell r="A282" t="str">
            <v>F98777</v>
          </cell>
          <cell r="B282" t="str">
            <v>8.5</v>
          </cell>
          <cell r="C282" t="str">
            <v>Philip</v>
          </cell>
        </row>
        <row r="283">
          <cell r="A283" t="str">
            <v>F98740</v>
          </cell>
          <cell r="B283">
            <v>8.5</v>
          </cell>
          <cell r="C283" t="str">
            <v>Philip</v>
          </cell>
        </row>
        <row r="284">
          <cell r="A284" t="str">
            <v>F98741</v>
          </cell>
          <cell r="B284">
            <v>8.5</v>
          </cell>
          <cell r="C284" t="str">
            <v>Philip</v>
          </cell>
        </row>
        <row r="285">
          <cell r="A285" t="str">
            <v>F98743</v>
          </cell>
          <cell r="B285">
            <v>8.5</v>
          </cell>
          <cell r="C285" t="str">
            <v>Philip</v>
          </cell>
        </row>
        <row r="286">
          <cell r="A286" t="str">
            <v>F98742</v>
          </cell>
          <cell r="B286">
            <v>8.5</v>
          </cell>
          <cell r="C286" t="str">
            <v>Philip</v>
          </cell>
        </row>
        <row r="287">
          <cell r="A287" t="str">
            <v>F98812</v>
          </cell>
          <cell r="B287" t="str">
            <v>8.5</v>
          </cell>
          <cell r="C287" t="str">
            <v>Philip</v>
          </cell>
        </row>
        <row r="288">
          <cell r="A288" t="str">
            <v>F98813</v>
          </cell>
          <cell r="B288" t="str">
            <v>8.5</v>
          </cell>
          <cell r="C288" t="str">
            <v>Philip</v>
          </cell>
        </row>
        <row r="289">
          <cell r="A289" t="str">
            <v>F98814</v>
          </cell>
          <cell r="B289" t="str">
            <v>8.5</v>
          </cell>
          <cell r="C289" t="str">
            <v>Philip</v>
          </cell>
        </row>
        <row r="290">
          <cell r="A290" t="str">
            <v>F98746</v>
          </cell>
          <cell r="B290">
            <v>8.5</v>
          </cell>
          <cell r="C290" t="str">
            <v>Philip</v>
          </cell>
        </row>
        <row r="291">
          <cell r="A291" t="str">
            <v>F98747</v>
          </cell>
          <cell r="B291">
            <v>8.5</v>
          </cell>
          <cell r="C291" t="str">
            <v>Philip</v>
          </cell>
        </row>
        <row r="292">
          <cell r="A292" t="str">
            <v>F98744</v>
          </cell>
          <cell r="B292">
            <v>8.5</v>
          </cell>
          <cell r="C292" t="str">
            <v>Philip</v>
          </cell>
        </row>
        <row r="293">
          <cell r="A293" t="str">
            <v>F98745</v>
          </cell>
          <cell r="B293">
            <v>8.5</v>
          </cell>
          <cell r="C293" t="str">
            <v>Philip</v>
          </cell>
        </row>
        <row r="294">
          <cell r="A294" t="str">
            <v>F98879</v>
          </cell>
          <cell r="B294" t="str">
            <v>6.0</v>
          </cell>
          <cell r="C294" t="str">
            <v>Sophia</v>
          </cell>
        </row>
        <row r="295">
          <cell r="A295" t="str">
            <v>F98880</v>
          </cell>
          <cell r="B295" t="str">
            <v>6.0</v>
          </cell>
          <cell r="C295" t="str">
            <v>Sophia</v>
          </cell>
        </row>
        <row r="296">
          <cell r="A296" t="str">
            <v>F98820</v>
          </cell>
          <cell r="B296" t="str">
            <v>8.5</v>
          </cell>
          <cell r="C296" t="str">
            <v>Philip</v>
          </cell>
        </row>
        <row r="297">
          <cell r="A297" t="str">
            <v>F98821</v>
          </cell>
          <cell r="B297" t="str">
            <v>8.5</v>
          </cell>
          <cell r="C297" t="str">
            <v>Philip</v>
          </cell>
        </row>
        <row r="298">
          <cell r="A298" t="str">
            <v>F98876</v>
          </cell>
          <cell r="B298" t="str">
            <v>6.0</v>
          </cell>
          <cell r="C298" t="str">
            <v>Sophia</v>
          </cell>
        </row>
        <row r="299">
          <cell r="A299" t="str">
            <v>F98844</v>
          </cell>
          <cell r="B299" t="str">
            <v>5.5</v>
          </cell>
          <cell r="C299" t="str">
            <v>Sophia</v>
          </cell>
        </row>
        <row r="300">
          <cell r="A300" t="str">
            <v>F98845</v>
          </cell>
          <cell r="B300" t="str">
            <v>5.5</v>
          </cell>
          <cell r="C300" t="str">
            <v>Sophia</v>
          </cell>
        </row>
        <row r="301">
          <cell r="A301" t="str">
            <v>F98846</v>
          </cell>
          <cell r="B301" t="str">
            <v>5.5</v>
          </cell>
          <cell r="C301" t="str">
            <v>Sophia</v>
          </cell>
        </row>
        <row r="302">
          <cell r="A302" t="str">
            <v>F98703</v>
          </cell>
          <cell r="B302" t="str">
            <v>6.0</v>
          </cell>
          <cell r="C302" t="str">
            <v>Sophia</v>
          </cell>
        </row>
        <row r="303">
          <cell r="A303" t="str">
            <v>F98762</v>
          </cell>
          <cell r="B303" t="str">
            <v>5.5K</v>
          </cell>
          <cell r="C303" t="str">
            <v>Jimmy</v>
          </cell>
        </row>
        <row r="304">
          <cell r="A304" t="str">
            <v>F98763</v>
          </cell>
          <cell r="B304" t="str">
            <v>5.5K</v>
          </cell>
          <cell r="C304" t="str">
            <v>Jimmy</v>
          </cell>
        </row>
        <row r="305">
          <cell r="A305" t="str">
            <v>F98852</v>
          </cell>
          <cell r="B305" t="str">
            <v>5.5</v>
          </cell>
          <cell r="C305" t="str">
            <v>Sophia</v>
          </cell>
        </row>
        <row r="306">
          <cell r="A306" t="str">
            <v>F98853</v>
          </cell>
          <cell r="B306" t="str">
            <v>5.5</v>
          </cell>
          <cell r="C306" t="str">
            <v>Sophia</v>
          </cell>
        </row>
        <row r="307">
          <cell r="A307" t="str">
            <v>F98723</v>
          </cell>
          <cell r="B307" t="str">
            <v>8.5</v>
          </cell>
          <cell r="C307" t="str">
            <v>Philip</v>
          </cell>
        </row>
        <row r="308">
          <cell r="A308" t="str">
            <v>F98724</v>
          </cell>
          <cell r="B308" t="str">
            <v>8.5</v>
          </cell>
          <cell r="C308" t="str">
            <v>Philip</v>
          </cell>
        </row>
        <row r="309">
          <cell r="A309" t="str">
            <v>F98725</v>
          </cell>
          <cell r="B309" t="str">
            <v>8.5</v>
          </cell>
          <cell r="C309" t="str">
            <v>Philip</v>
          </cell>
        </row>
        <row r="310">
          <cell r="A310" t="str">
            <v>F98726</v>
          </cell>
          <cell r="B310" t="str">
            <v>8.5</v>
          </cell>
          <cell r="C310" t="str">
            <v>Philip</v>
          </cell>
        </row>
        <row r="311">
          <cell r="A311" t="str">
            <v>F98727</v>
          </cell>
          <cell r="B311" t="str">
            <v>8.5</v>
          </cell>
          <cell r="C311" t="str">
            <v>Philip</v>
          </cell>
        </row>
        <row r="312">
          <cell r="A312" t="str">
            <v>F98728</v>
          </cell>
          <cell r="B312" t="str">
            <v>8.5</v>
          </cell>
          <cell r="C312" t="str">
            <v>Philip</v>
          </cell>
        </row>
        <row r="313">
          <cell r="A313" t="str">
            <v>F98729</v>
          </cell>
          <cell r="B313" t="str">
            <v>8.5</v>
          </cell>
          <cell r="C313" t="str">
            <v>Philip</v>
          </cell>
        </row>
        <row r="314">
          <cell r="A314" t="str">
            <v>F98730</v>
          </cell>
          <cell r="B314" t="str">
            <v>8.5</v>
          </cell>
          <cell r="C314" t="str">
            <v>Philip</v>
          </cell>
        </row>
        <row r="315">
          <cell r="A315" t="str">
            <v>F98911</v>
          </cell>
          <cell r="B315" t="str">
            <v>5.5</v>
          </cell>
          <cell r="C315" t="str">
            <v>Sophia</v>
          </cell>
        </row>
        <row r="316">
          <cell r="A316" t="str">
            <v>F98912</v>
          </cell>
          <cell r="B316" t="str">
            <v>6.0</v>
          </cell>
          <cell r="C316" t="str">
            <v>Sophia</v>
          </cell>
        </row>
        <row r="317">
          <cell r="A317" t="str">
            <v>F98567</v>
          </cell>
          <cell r="B317">
            <v>8.5</v>
          </cell>
          <cell r="C317" t="str">
            <v>Philip</v>
          </cell>
        </row>
        <row r="318">
          <cell r="A318" t="str">
            <v>F98568</v>
          </cell>
          <cell r="B318">
            <v>8.5</v>
          </cell>
          <cell r="C318" t="str">
            <v>Philip</v>
          </cell>
        </row>
        <row r="319">
          <cell r="A319" t="str">
            <v>F98566</v>
          </cell>
          <cell r="B319">
            <v>8.5</v>
          </cell>
          <cell r="C319" t="str">
            <v>Philip</v>
          </cell>
        </row>
        <row r="320">
          <cell r="A320" t="str">
            <v>F98849</v>
          </cell>
          <cell r="B320" t="str">
            <v>5.5</v>
          </cell>
          <cell r="C320" t="str">
            <v>Sophia</v>
          </cell>
        </row>
        <row r="321">
          <cell r="A321" t="str">
            <v>F98850</v>
          </cell>
          <cell r="B321" t="str">
            <v>5.5</v>
          </cell>
          <cell r="C321" t="str">
            <v>Sophia</v>
          </cell>
        </row>
        <row r="322">
          <cell r="A322" t="str">
            <v>F98851</v>
          </cell>
          <cell r="B322" t="str">
            <v>5.5</v>
          </cell>
          <cell r="C322" t="str">
            <v>Sophia</v>
          </cell>
        </row>
        <row r="323">
          <cell r="A323" t="str">
            <v>F98503</v>
          </cell>
          <cell r="B323">
            <v>8.5</v>
          </cell>
          <cell r="C323" t="str">
            <v>Philip</v>
          </cell>
        </row>
        <row r="324">
          <cell r="A324" t="str">
            <v>F98504</v>
          </cell>
          <cell r="B324">
            <v>8.5</v>
          </cell>
          <cell r="C324" t="str">
            <v>Philip</v>
          </cell>
        </row>
        <row r="325">
          <cell r="A325" t="str">
            <v>F98505</v>
          </cell>
          <cell r="B325">
            <v>8.5</v>
          </cell>
          <cell r="C325" t="str">
            <v>Philip</v>
          </cell>
        </row>
        <row r="326">
          <cell r="A326" t="str">
            <v>F98290</v>
          </cell>
          <cell r="B326">
            <v>8.5</v>
          </cell>
          <cell r="C326" t="str">
            <v>Philip</v>
          </cell>
        </row>
        <row r="327">
          <cell r="A327" t="str">
            <v>F98280</v>
          </cell>
          <cell r="B327">
            <v>5.5</v>
          </cell>
          <cell r="C327" t="str">
            <v>Sophia</v>
          </cell>
        </row>
        <row r="328">
          <cell r="A328" t="str">
            <v>F98676</v>
          </cell>
          <cell r="B328" t="str">
            <v>5.5</v>
          </cell>
          <cell r="C328" t="str">
            <v>Sophia</v>
          </cell>
        </row>
        <row r="329">
          <cell r="A329" t="str">
            <v>F98675</v>
          </cell>
          <cell r="B329" t="str">
            <v>5.5</v>
          </cell>
          <cell r="C329" t="str">
            <v>Sophia</v>
          </cell>
        </row>
        <row r="330">
          <cell r="A330" t="str">
            <v>F98670</v>
          </cell>
          <cell r="B330" t="str">
            <v>5.5</v>
          </cell>
          <cell r="C330" t="str">
            <v>Sophia</v>
          </cell>
        </row>
        <row r="331">
          <cell r="A331" t="str">
            <v>F98671</v>
          </cell>
          <cell r="B331" t="str">
            <v>5.5</v>
          </cell>
          <cell r="C331" t="str">
            <v>Sophia</v>
          </cell>
        </row>
        <row r="332">
          <cell r="A332" t="str">
            <v>F98900</v>
          </cell>
          <cell r="B332">
            <v>5.5</v>
          </cell>
          <cell r="C332" t="str">
            <v>Sophia</v>
          </cell>
        </row>
        <row r="333">
          <cell r="A333" t="str">
            <v>F98901</v>
          </cell>
          <cell r="B333">
            <v>5.5</v>
          </cell>
          <cell r="C333" t="str">
            <v>Sophia</v>
          </cell>
        </row>
        <row r="334">
          <cell r="A334" t="str">
            <v>F98902</v>
          </cell>
          <cell r="B334">
            <v>5.5</v>
          </cell>
          <cell r="C334" t="str">
            <v>Sophia</v>
          </cell>
        </row>
        <row r="335">
          <cell r="A335" t="str">
            <v>F98899</v>
          </cell>
          <cell r="B335">
            <v>5.5</v>
          </cell>
          <cell r="C335" t="str">
            <v>Sophia</v>
          </cell>
        </row>
        <row r="336">
          <cell r="A336" t="str">
            <v>F98903</v>
          </cell>
          <cell r="B336">
            <v>5.5</v>
          </cell>
          <cell r="C336" t="str">
            <v>Sophia</v>
          </cell>
        </row>
        <row r="337">
          <cell r="A337" t="str">
            <v>F98904</v>
          </cell>
          <cell r="B337">
            <v>5.5</v>
          </cell>
          <cell r="C337" t="str">
            <v>Sophia</v>
          </cell>
        </row>
        <row r="338">
          <cell r="A338" t="str">
            <v>F98905</v>
          </cell>
          <cell r="B338">
            <v>5.5</v>
          </cell>
          <cell r="C338" t="str">
            <v>Sophia</v>
          </cell>
        </row>
        <row r="339">
          <cell r="A339" t="str">
            <v>F98906</v>
          </cell>
          <cell r="B339">
            <v>5.5</v>
          </cell>
          <cell r="C339" t="str">
            <v>Sophia</v>
          </cell>
        </row>
        <row r="340">
          <cell r="A340" t="str">
            <v>F98907</v>
          </cell>
          <cell r="B340">
            <v>5.5</v>
          </cell>
          <cell r="C340" t="str">
            <v>Sophia</v>
          </cell>
        </row>
        <row r="341">
          <cell r="A341" t="str">
            <v>F98600</v>
          </cell>
          <cell r="B341" t="str">
            <v>5.5</v>
          </cell>
          <cell r="C341" t="str">
            <v>Sophia</v>
          </cell>
        </row>
        <row r="342">
          <cell r="A342" t="str">
            <v>F98601</v>
          </cell>
          <cell r="B342" t="str">
            <v>5.5</v>
          </cell>
          <cell r="C342" t="str">
            <v>Sophia</v>
          </cell>
        </row>
        <row r="343">
          <cell r="A343" t="str">
            <v>F98602</v>
          </cell>
          <cell r="B343" t="str">
            <v>5.5</v>
          </cell>
          <cell r="C343" t="str">
            <v>Sophia</v>
          </cell>
        </row>
        <row r="344">
          <cell r="A344" t="str">
            <v>F98596</v>
          </cell>
          <cell r="B344" t="str">
            <v>5.5</v>
          </cell>
          <cell r="C344" t="str">
            <v>Sophia</v>
          </cell>
        </row>
        <row r="345">
          <cell r="A345" t="str">
            <v>F98597</v>
          </cell>
          <cell r="B345" t="str">
            <v>5.5</v>
          </cell>
          <cell r="C345" t="str">
            <v>Sophia</v>
          </cell>
        </row>
        <row r="346">
          <cell r="A346" t="str">
            <v>F98598</v>
          </cell>
          <cell r="B346" t="str">
            <v>5.5</v>
          </cell>
          <cell r="C346" t="str">
            <v>Sophia</v>
          </cell>
        </row>
        <row r="347">
          <cell r="A347" t="str">
            <v>F98599</v>
          </cell>
          <cell r="B347" t="str">
            <v>5.5</v>
          </cell>
          <cell r="C347" t="str">
            <v>Sophia</v>
          </cell>
        </row>
        <row r="348">
          <cell r="A348" t="str">
            <v>F97799</v>
          </cell>
          <cell r="B348">
            <v>8.5</v>
          </cell>
          <cell r="C348" t="str">
            <v>Philip</v>
          </cell>
        </row>
        <row r="349">
          <cell r="A349" t="str">
            <v>F76610</v>
          </cell>
          <cell r="B349">
            <v>8.5</v>
          </cell>
          <cell r="C349" t="str">
            <v>Philip</v>
          </cell>
        </row>
        <row r="350">
          <cell r="A350" t="str">
            <v>F76622</v>
          </cell>
          <cell r="B350" t="str">
            <v>8.5</v>
          </cell>
          <cell r="C350" t="str">
            <v>Philip</v>
          </cell>
        </row>
        <row r="351">
          <cell r="A351" t="str">
            <v>F76623</v>
          </cell>
          <cell r="B351" t="str">
            <v>8.5</v>
          </cell>
          <cell r="C351" t="str">
            <v>Philip</v>
          </cell>
        </row>
        <row r="352">
          <cell r="A352" t="str">
            <v>F76625</v>
          </cell>
          <cell r="B352" t="str">
            <v>8.5</v>
          </cell>
          <cell r="C352" t="str">
            <v>Philip</v>
          </cell>
        </row>
        <row r="353">
          <cell r="A353" t="str">
            <v>F76626</v>
          </cell>
          <cell r="B353" t="str">
            <v>8.5</v>
          </cell>
          <cell r="C353" t="str">
            <v>Philip</v>
          </cell>
        </row>
        <row r="354">
          <cell r="A354" t="str">
            <v>F97896</v>
          </cell>
          <cell r="B354" t="str">
            <v>8.5</v>
          </cell>
          <cell r="C354" t="str">
            <v>Philip</v>
          </cell>
        </row>
        <row r="355">
          <cell r="A355" t="str">
            <v>F97897</v>
          </cell>
          <cell r="B355" t="str">
            <v>8.5</v>
          </cell>
          <cell r="C355" t="str">
            <v>Philip</v>
          </cell>
        </row>
        <row r="356">
          <cell r="A356" t="str">
            <v>F97856</v>
          </cell>
          <cell r="B356" t="str">
            <v>5.5K</v>
          </cell>
          <cell r="C356" t="str">
            <v>Jimmy</v>
          </cell>
        </row>
        <row r="357">
          <cell r="A357" t="str">
            <v>F76458</v>
          </cell>
          <cell r="B357" t="str">
            <v>3</v>
          </cell>
          <cell r="C357" t="str">
            <v>Jimmy</v>
          </cell>
        </row>
        <row r="358">
          <cell r="A358" t="str">
            <v>F97778</v>
          </cell>
          <cell r="B358">
            <v>8.5</v>
          </cell>
          <cell r="C358" t="str">
            <v>Philip</v>
          </cell>
        </row>
        <row r="359">
          <cell r="A359" t="str">
            <v>F97779</v>
          </cell>
          <cell r="B359">
            <v>8.5</v>
          </cell>
          <cell r="C359" t="str">
            <v>Philip</v>
          </cell>
        </row>
        <row r="360">
          <cell r="A360" t="str">
            <v>F97905</v>
          </cell>
          <cell r="B360">
            <v>8.5</v>
          </cell>
          <cell r="C360" t="str">
            <v>Philip</v>
          </cell>
        </row>
        <row r="361">
          <cell r="A361" t="str">
            <v>F76627</v>
          </cell>
          <cell r="B361">
            <v>8.5</v>
          </cell>
          <cell r="C361" t="str">
            <v>Philip</v>
          </cell>
        </row>
        <row r="362">
          <cell r="A362" t="str">
            <v>F76628</v>
          </cell>
          <cell r="B362">
            <v>8.5</v>
          </cell>
          <cell r="C362" t="str">
            <v>Philip</v>
          </cell>
        </row>
        <row r="363">
          <cell r="A363" t="str">
            <v>F38481</v>
          </cell>
          <cell r="B363">
            <v>8.5</v>
          </cell>
          <cell r="C363" t="str">
            <v>Philip</v>
          </cell>
        </row>
        <row r="364">
          <cell r="A364" t="str">
            <v>F38802</v>
          </cell>
          <cell r="B364" t="str">
            <v>5.5K</v>
          </cell>
          <cell r="C364" t="str">
            <v>Jimmy</v>
          </cell>
        </row>
        <row r="365">
          <cell r="A365" t="str">
            <v>F38745</v>
          </cell>
          <cell r="B365" t="str">
            <v>3</v>
          </cell>
          <cell r="C365" t="str">
            <v>Jimmy</v>
          </cell>
        </row>
        <row r="366">
          <cell r="A366" t="str">
            <v>F38472</v>
          </cell>
          <cell r="B366" t="str">
            <v>8.5</v>
          </cell>
          <cell r="C366" t="str">
            <v>Philip</v>
          </cell>
        </row>
        <row r="367">
          <cell r="A367" t="str">
            <v>F98684</v>
          </cell>
          <cell r="B367" t="str">
            <v>5.5</v>
          </cell>
          <cell r="C367" t="str">
            <v>Sophia</v>
          </cell>
        </row>
        <row r="368">
          <cell r="A368" t="str">
            <v>F98685</v>
          </cell>
          <cell r="B368" t="str">
            <v>5.5</v>
          </cell>
          <cell r="C368" t="str">
            <v>Sophia</v>
          </cell>
        </row>
        <row r="369">
          <cell r="A369" t="str">
            <v>F98686</v>
          </cell>
          <cell r="B369" t="str">
            <v>5.5</v>
          </cell>
          <cell r="C369" t="str">
            <v>Sophia</v>
          </cell>
        </row>
        <row r="370">
          <cell r="A370" t="str">
            <v>F98702</v>
          </cell>
          <cell r="B370" t="str">
            <v>6.0</v>
          </cell>
          <cell r="C370" t="str">
            <v>Sophia</v>
          </cell>
        </row>
        <row r="371">
          <cell r="A371" t="str">
            <v>F98286</v>
          </cell>
          <cell r="B371">
            <v>5.5</v>
          </cell>
          <cell r="C371" t="str">
            <v>Sophia</v>
          </cell>
        </row>
        <row r="372">
          <cell r="A372" t="str">
            <v>F00000</v>
          </cell>
          <cell r="B372" t="str">
            <v>11.5K</v>
          </cell>
          <cell r="C372" t="str">
            <v>Jimmy</v>
          </cell>
        </row>
        <row r="373">
          <cell r="A373" t="str">
            <v>F98919</v>
          </cell>
          <cell r="B373" t="str">
            <v>8.5</v>
          </cell>
          <cell r="C373" t="str">
            <v>Philip</v>
          </cell>
        </row>
        <row r="374">
          <cell r="A374" t="str">
            <v>F98920</v>
          </cell>
          <cell r="B374" t="str">
            <v>8.5</v>
          </cell>
          <cell r="C374" t="str">
            <v>Philip</v>
          </cell>
        </row>
        <row r="375">
          <cell r="A375" t="str">
            <v>F98915</v>
          </cell>
          <cell r="B375" t="str">
            <v>5.5</v>
          </cell>
          <cell r="C375" t="str">
            <v>Sophia</v>
          </cell>
        </row>
        <row r="376">
          <cell r="A376" t="str">
            <v>F98916</v>
          </cell>
          <cell r="B376" t="str">
            <v>5.5</v>
          </cell>
          <cell r="C376" t="str">
            <v>Sophia</v>
          </cell>
        </row>
        <row r="377">
          <cell r="A377" t="str">
            <v>F98808</v>
          </cell>
          <cell r="B377" t="str">
            <v>5.5</v>
          </cell>
          <cell r="C377" t="str">
            <v>Sophia</v>
          </cell>
        </row>
        <row r="378">
          <cell r="A378" t="str">
            <v>F98809</v>
          </cell>
          <cell r="B378" t="str">
            <v>5.5</v>
          </cell>
          <cell r="C378" t="str">
            <v>Sophia</v>
          </cell>
        </row>
        <row r="379">
          <cell r="A379" t="str">
            <v>F98810</v>
          </cell>
          <cell r="B379" t="str">
            <v>5.5</v>
          </cell>
          <cell r="C379" t="str">
            <v>Sophia</v>
          </cell>
        </row>
        <row r="380">
          <cell r="A380" t="str">
            <v>F98811</v>
          </cell>
          <cell r="B380" t="str">
            <v>5.5</v>
          </cell>
          <cell r="C380" t="str">
            <v>Sophia</v>
          </cell>
        </row>
        <row r="381">
          <cell r="A381" t="str">
            <v>F98926</v>
          </cell>
          <cell r="B381" t="str">
            <v>8.5</v>
          </cell>
          <cell r="C381" t="str">
            <v>Philip</v>
          </cell>
        </row>
        <row r="382">
          <cell r="A382" t="str">
            <v>F98927</v>
          </cell>
          <cell r="B382" t="str">
            <v>8.5</v>
          </cell>
          <cell r="C382" t="str">
            <v>Philip</v>
          </cell>
        </row>
        <row r="383">
          <cell r="A383" t="str">
            <v>F98492</v>
          </cell>
          <cell r="B383" t="str">
            <v>11.5K</v>
          </cell>
          <cell r="C383" t="str">
            <v>Jimmy</v>
          </cell>
        </row>
        <row r="384">
          <cell r="A384" t="str">
            <v>F98498</v>
          </cell>
          <cell r="B384" t="str">
            <v>11.5K</v>
          </cell>
          <cell r="C384" t="str">
            <v>Jimmy</v>
          </cell>
        </row>
        <row r="385">
          <cell r="A385" t="str">
            <v>F98499</v>
          </cell>
          <cell r="B385" t="str">
            <v>11.5K</v>
          </cell>
          <cell r="C385" t="str">
            <v>Jimmy</v>
          </cell>
        </row>
        <row r="386">
          <cell r="A386" t="str">
            <v>F98500</v>
          </cell>
          <cell r="B386" t="str">
            <v>11.5K</v>
          </cell>
          <cell r="C386" t="str">
            <v>Jimmy</v>
          </cell>
        </row>
        <row r="387">
          <cell r="A387" t="str">
            <v>F98486</v>
          </cell>
          <cell r="B387">
            <v>3</v>
          </cell>
          <cell r="C387" t="str">
            <v>Jimmy</v>
          </cell>
        </row>
        <row r="388">
          <cell r="A388" t="str">
            <v>F98487</v>
          </cell>
          <cell r="B388">
            <v>3</v>
          </cell>
          <cell r="C388" t="str">
            <v>Jimmy</v>
          </cell>
        </row>
        <row r="389">
          <cell r="A389" t="str">
            <v>F98484</v>
          </cell>
          <cell r="B389" t="str">
            <v>11.5K</v>
          </cell>
          <cell r="C389" t="str">
            <v>Jimmy</v>
          </cell>
        </row>
        <row r="390">
          <cell r="A390" t="str">
            <v>F98485</v>
          </cell>
          <cell r="B390" t="str">
            <v>11.5K</v>
          </cell>
          <cell r="C390" t="str">
            <v>Jimmy</v>
          </cell>
        </row>
        <row r="391">
          <cell r="A391" t="str">
            <v>F98488</v>
          </cell>
          <cell r="B391">
            <v>3</v>
          </cell>
          <cell r="C391" t="str">
            <v>Jimmy</v>
          </cell>
        </row>
        <row r="392">
          <cell r="A392" t="str">
            <v>F98921</v>
          </cell>
          <cell r="B392" t="str">
            <v>8.5</v>
          </cell>
          <cell r="C392" t="str">
            <v>Philip</v>
          </cell>
        </row>
        <row r="393">
          <cell r="A393" t="str">
            <v>F98922</v>
          </cell>
          <cell r="B393" t="str">
            <v>8.5</v>
          </cell>
          <cell r="C393" t="str">
            <v>Philip</v>
          </cell>
        </row>
        <row r="394">
          <cell r="A394" t="str">
            <v>F98931</v>
          </cell>
          <cell r="B394" t="str">
            <v>5.5</v>
          </cell>
          <cell r="C394" t="str">
            <v>Sophia</v>
          </cell>
        </row>
        <row r="395">
          <cell r="A395" t="str">
            <v>F98932</v>
          </cell>
          <cell r="B395" t="str">
            <v>5.5</v>
          </cell>
          <cell r="C395" t="str">
            <v>Sophia</v>
          </cell>
        </row>
        <row r="396">
          <cell r="A396" t="str">
            <v>F98933</v>
          </cell>
          <cell r="B396" t="str">
            <v>5.5</v>
          </cell>
          <cell r="C396" t="str">
            <v>Sophia</v>
          </cell>
        </row>
        <row r="397">
          <cell r="A397" t="str">
            <v>F98929</v>
          </cell>
          <cell r="B397" t="str">
            <v>5.5</v>
          </cell>
          <cell r="C397" t="str">
            <v>Sophia</v>
          </cell>
        </row>
        <row r="398">
          <cell r="A398" t="str">
            <v>F98928</v>
          </cell>
          <cell r="B398" t="str">
            <v>5.5</v>
          </cell>
          <cell r="C398" t="str">
            <v>Sophia</v>
          </cell>
        </row>
        <row r="399">
          <cell r="A399" t="str">
            <v>F98930</v>
          </cell>
          <cell r="B399" t="str">
            <v>5.5</v>
          </cell>
          <cell r="C399" t="str">
            <v>Sophia</v>
          </cell>
        </row>
        <row r="400">
          <cell r="A400" t="str">
            <v>F98908</v>
          </cell>
          <cell r="B400" t="str">
            <v>5.5</v>
          </cell>
          <cell r="C400" t="str">
            <v>Sophia</v>
          </cell>
        </row>
        <row r="401">
          <cell r="A401" t="str">
            <v>F98909</v>
          </cell>
          <cell r="B401" t="str">
            <v>5.5</v>
          </cell>
          <cell r="C401" t="str">
            <v>Sophia</v>
          </cell>
        </row>
        <row r="402">
          <cell r="A402" t="str">
            <v>F98910</v>
          </cell>
          <cell r="B402" t="str">
            <v>5.5</v>
          </cell>
          <cell r="C402" t="str">
            <v>Sophia</v>
          </cell>
        </row>
      </sheetData>
      <sheetData sheetId="6"/>
      <sheetData sheetId="7"/>
      <sheetData sheetId="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PU_CSS"/>
      <sheetName val="new_CSS_PU_form(95)"/>
      <sheetName val="PU_CSS1"/>
      <sheetName val="new_CSS_PU_form(95)1"/>
      <sheetName val="재단재고"/>
      <sheetName val="Raw Data Sheet"/>
      <sheetName val="map"/>
      <sheetName val="PIDATA"/>
      <sheetName val="Cutting Dies "/>
      <sheetName val="Sheet1 (2)"/>
      <sheetName val="NAME"/>
      <sheetName val="Assembly "/>
      <sheetName val="ESTI."/>
      <sheetName val="DI-ESTI"/>
      <sheetName val="Sum"/>
      <sheetName val="IBASE"/>
      <sheetName val="#REF!"/>
      <sheetName val="new%20CSS%20PU%20form(95)"/>
      <sheetName val="PU_CSS2"/>
      <sheetName val="new_CSS_PU_form(95)2"/>
      <sheetName val="Raw_Data_Sheet"/>
      <sheetName val="Cutting_Dies_"/>
      <sheetName val="Sheet1_(2)"/>
      <sheetName val="Assembly_"/>
      <sheetName val="ESTI_"/>
      <sheetName val="Sheet2"/>
      <sheetName val="#REF"/>
      <sheetName val="new CSS PU form(95).xl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%20CSS%20PU%20form(95).xls"/>
      <sheetName val="Sheet1"/>
      <sheetName val="입금"/>
      <sheetName val="SHOX REMID II"/>
      <sheetName val="XL4Poppy"/>
      <sheetName val="Upper Silk Screen Process (4)"/>
      <sheetName val="Tai khoan"/>
      <sheetName val="PU_CSS6"/>
      <sheetName val="new_CSS_PU_form(95)6"/>
      <sheetName val="Raw_Data_Sheet4"/>
      <sheetName val="Cutting_Dies_4"/>
      <sheetName val="ESTI_4"/>
      <sheetName val="Sheet1_(2)4"/>
      <sheetName val="Assembly_4"/>
      <sheetName val="PU_CSS4"/>
      <sheetName val="new_CSS_PU_form(95)4"/>
      <sheetName val="Raw_Data_Sheet2"/>
      <sheetName val="Cutting_Dies_2"/>
      <sheetName val="ESTI_2"/>
      <sheetName val="Sheet1_(2)2"/>
      <sheetName val="Assembly_2"/>
      <sheetName val="PU_CSS3"/>
      <sheetName val="new_CSS_PU_form(95)3"/>
      <sheetName val="Raw_Data_Sheet1"/>
      <sheetName val="Cutting_Dies_1"/>
      <sheetName val="ESTI_1"/>
      <sheetName val="Sheet1_(2)1"/>
      <sheetName val="Assembly_1"/>
      <sheetName val="PU_CSS5"/>
      <sheetName val="new_CSS_PU_form(95)5"/>
      <sheetName val="Raw_Data_Sheet3"/>
      <sheetName val="Cutting_Dies_3"/>
      <sheetName val="ESTI_3"/>
      <sheetName val="Sheet1_(2)3"/>
      <sheetName val="Assembly_3"/>
      <sheetName val="new_CSS_PU_form(95)7"/>
      <sheetName val="new_CSS_PU_form(95)8"/>
      <sheetName val="new_CSS_PU_form(95)9"/>
      <sheetName val="PU_CSS7"/>
      <sheetName val="Raw_Data_Sheet5"/>
      <sheetName val="PU_CSS11"/>
      <sheetName val="new_CSS_PU_form(95)13"/>
      <sheetName val="Raw_Data_Sheet9"/>
      <sheetName val="Cutting_Dies_8"/>
      <sheetName val="ESTI_8"/>
      <sheetName val="Sheet1_(2)8"/>
      <sheetName val="Assembly_8"/>
      <sheetName val="PU_CSS9"/>
      <sheetName val="new_CSS_PU_form(95)11"/>
      <sheetName val="Raw_Data_Sheet7"/>
      <sheetName val="Cutting_Dies_6"/>
      <sheetName val="ESTI_6"/>
      <sheetName val="Sheet1_(2)6"/>
      <sheetName val="Assembly_6"/>
      <sheetName val="PU_CSS8"/>
      <sheetName val="new_CSS_PU_form(95)10"/>
      <sheetName val="Raw_Data_Sheet6"/>
      <sheetName val="Cutting_Dies_5"/>
      <sheetName val="ESTI_5"/>
      <sheetName val="Sheet1_(2)5"/>
      <sheetName val="Assembly_5"/>
      <sheetName val="PU_CSS10"/>
      <sheetName val="new_CSS_PU_form(95)12"/>
      <sheetName val="Raw_Data_Sheet8"/>
      <sheetName val="Cutting_Dies_7"/>
      <sheetName val="ESTI_7"/>
      <sheetName val="Sheet1_(2)7"/>
      <sheetName val="Assembly_7"/>
      <sheetName val="PU_CSS12"/>
      <sheetName val="new_CSS_PU_form(95)14"/>
      <sheetName val="Raw_Data_Sheet10"/>
      <sheetName val="Cutting_Dies_9"/>
      <sheetName val="ESTI_9"/>
      <sheetName val="Sheet1_(2)9"/>
      <sheetName val="Assembly_9"/>
      <sheetName val="new_CSS_PU_form(95)22"/>
      <sheetName val="PU_CSS20"/>
      <sheetName val="Raw_Data_Sheet18"/>
      <sheetName val="Cutting_Dies_17"/>
      <sheetName val="ESTI_17"/>
      <sheetName val="Sheet1_(2)17"/>
      <sheetName val="Assembly_17"/>
      <sheetName val="new_CSS_PU_form(95)15"/>
      <sheetName val="PU_CSS13"/>
      <sheetName val="Raw_Data_Sheet11"/>
      <sheetName val="Cutting_Dies_10"/>
      <sheetName val="ESTI_10"/>
      <sheetName val="Sheet1_(2)10"/>
      <sheetName val="Assembly_10"/>
      <sheetName val="new_CSS_PU_form(95)16"/>
      <sheetName val="PU_CSS14"/>
      <sheetName val="Raw_Data_Sheet12"/>
      <sheetName val="Cutting_Dies_11"/>
      <sheetName val="ESTI_11"/>
      <sheetName val="Sheet1_(2)11"/>
      <sheetName val="Assembly_11"/>
      <sheetName val="new_CSS_PU_form(95)17"/>
      <sheetName val="PU_CSS15"/>
      <sheetName val="Raw_Data_Sheet13"/>
      <sheetName val="Cutting_Dies_12"/>
      <sheetName val="ESTI_12"/>
      <sheetName val="Sheet1_(2)12"/>
      <sheetName val="Assembly_12"/>
      <sheetName val="new_CSS_PU_form(95)18"/>
      <sheetName val="PU_CSS16"/>
      <sheetName val="Raw_Data_Sheet14"/>
      <sheetName val="Cutting_Dies_13"/>
      <sheetName val="ESTI_13"/>
      <sheetName val="Sheet1_(2)13"/>
      <sheetName val="Assembly_13"/>
      <sheetName val="new_CSS_PU_form(95)20"/>
      <sheetName val="PU_CSS18"/>
      <sheetName val="Raw_Data_Sheet16"/>
      <sheetName val="Cutting_Dies_15"/>
      <sheetName val="ESTI_15"/>
      <sheetName val="Sheet1_(2)15"/>
      <sheetName val="Assembly_15"/>
      <sheetName val="new_CSS_PU_form(95)19"/>
      <sheetName val="PU_CSS17"/>
      <sheetName val="Raw_Data_Sheet15"/>
      <sheetName val="Cutting_Dies_14"/>
      <sheetName val="ESTI_14"/>
      <sheetName val="Sheet1_(2)14"/>
      <sheetName val="Assembly_14"/>
      <sheetName val="new_CSS_PU_form(95)21"/>
      <sheetName val="PU_CSS19"/>
      <sheetName val="Raw_Data_Sheet17"/>
      <sheetName val="Cutting_Dies_16"/>
      <sheetName val="ESTI_16"/>
      <sheetName val="Sheet1_(2)16"/>
      <sheetName val="Assembly_16"/>
      <sheetName val="new_CSS_PU_form(95)23"/>
      <sheetName val="new_CSS_PU_form(95)24"/>
      <sheetName val="new_CSS_PU_form(95)25"/>
      <sheetName val="PU_CSS21"/>
      <sheetName val="Raw_Data_Sheet19"/>
      <sheetName val="Cutting_Dies_18"/>
      <sheetName val="ESTI_18"/>
      <sheetName val="Sheet1_(2)18"/>
      <sheetName val="Assembly_18"/>
      <sheetName val="PU_CSS23"/>
      <sheetName val="new_CSS_PU_form(95)28"/>
      <sheetName val="Raw_Data_Sheet21"/>
      <sheetName val="Cutting_Dies_20"/>
      <sheetName val="ESTI_20"/>
      <sheetName val="Sheet1_(2)20"/>
      <sheetName val="Assembly_20"/>
      <sheetName val="PU_CSS22"/>
      <sheetName val="new_CSS_PU_form(95)26"/>
      <sheetName val="Raw_Data_Sheet20"/>
      <sheetName val="Cutting_Dies_19"/>
      <sheetName val="ESTI_19"/>
      <sheetName val="Sheet1_(2)19"/>
      <sheetName val="Assembly_19"/>
      <sheetName val="new_CSS_PU_form(95)27"/>
      <sheetName val="new_CSS_PU_form(95)29"/>
      <sheetName val="new_CSS_PU_form(95)30"/>
      <sheetName val="PU_CSS24"/>
      <sheetName val="Raw_Data_Sheet22"/>
      <sheetName val="Cutting_Dies_21"/>
      <sheetName val="ESTI_21"/>
      <sheetName val="Sheet1_(2)21"/>
      <sheetName val="Assembly_21"/>
      <sheetName val="new_CSS_PU_form(95)31"/>
      <sheetName val="PU_CSS25"/>
      <sheetName val="Raw_Data_Sheet23"/>
      <sheetName val="Cutting_Dies_22"/>
      <sheetName val="ESTI_22"/>
      <sheetName val="Sheet1_(2)22"/>
      <sheetName val="Assembly_22"/>
      <sheetName val="PU_CSS36"/>
      <sheetName val="new_CSS_PU_form(95)50"/>
      <sheetName val="Raw_Data_Sheet34"/>
      <sheetName val="Cutting_Dies_33"/>
      <sheetName val="ESTI_33"/>
      <sheetName val="Sheet1_(2)33"/>
      <sheetName val="Assembly_33"/>
      <sheetName val="new_CSS_PU_form(95)32"/>
      <sheetName val="PU_CSS26"/>
      <sheetName val="Raw_Data_Sheet24"/>
      <sheetName val="Cutting_Dies_23"/>
      <sheetName val="ESTI_23"/>
      <sheetName val="Sheet1_(2)23"/>
      <sheetName val="Assembly_23"/>
      <sheetName val="PU_CSS35"/>
      <sheetName val="new_CSS_PU_form(95)49"/>
      <sheetName val="Raw_Data_Sheet33"/>
      <sheetName val="Cutting_Dies_32"/>
      <sheetName val="ESTI_32"/>
      <sheetName val="Sheet1_(2)32"/>
      <sheetName val="Assembly_32"/>
      <sheetName val="PU_CSS33"/>
      <sheetName val="new_CSS_PU_form(95)45"/>
      <sheetName val="Raw_Data_Sheet31"/>
      <sheetName val="Cutting_Dies_30"/>
      <sheetName val="ESTI_30"/>
      <sheetName val="Sheet1_(2)30"/>
      <sheetName val="Assembly_30"/>
      <sheetName val="PU_CSS27"/>
      <sheetName val="new_CSS_PU_form(95)33"/>
      <sheetName val="Raw_Data_Sheet25"/>
      <sheetName val="Cutting_Dies_24"/>
      <sheetName val="ESTI_24"/>
      <sheetName val="Sheet1_(2)24"/>
      <sheetName val="Assembly_24"/>
      <sheetName val="PU_CSS28"/>
      <sheetName val="new_CSS_PU_form(95)34"/>
      <sheetName val="Raw_Data_Sheet26"/>
      <sheetName val="Cutting_Dies_25"/>
      <sheetName val="ESTI_25"/>
      <sheetName val="Sheet1_(2)25"/>
      <sheetName val="Assembly_25"/>
      <sheetName val="new_CSS_PU_form(95)35"/>
      <sheetName val="PU_CSS29"/>
      <sheetName val="Raw_Data_Sheet27"/>
      <sheetName val="Cutting_Dies_26"/>
      <sheetName val="ESTI_26"/>
      <sheetName val="Sheet1_(2)26"/>
      <sheetName val="Assembly_26"/>
      <sheetName val="PU_CSS30"/>
      <sheetName val="new_CSS_PU_form(95)36"/>
      <sheetName val="Raw_Data_Sheet28"/>
      <sheetName val="Cutting_Dies_27"/>
      <sheetName val="ESTI_27"/>
      <sheetName val="Sheet1_(2)27"/>
      <sheetName val="Assembly_27"/>
      <sheetName val="PU_CSS31"/>
      <sheetName val="new_CSS_PU_form(95)37"/>
      <sheetName val="Raw_Data_Sheet29"/>
      <sheetName val="Cutting_Dies_28"/>
      <sheetName val="ESTI_28"/>
      <sheetName val="Sheet1_(2)28"/>
      <sheetName val="Assembly_28"/>
      <sheetName val="PU_CSS32"/>
      <sheetName val="new_CSS_PU_form(95)44"/>
      <sheetName val="Raw_Data_Sheet30"/>
      <sheetName val="Cutting_Dies_29"/>
      <sheetName val="ESTI_29"/>
      <sheetName val="Sheet1_(2)29"/>
      <sheetName val="Assembly_29"/>
      <sheetName val="new_CSS_PU_form(95)42"/>
      <sheetName val="new_CSS_PU_form(95)38"/>
      <sheetName val="new_CSS_PU_form(95)39"/>
      <sheetName val="new_CSS_PU_form(95)40"/>
      <sheetName val="new_CSS_PU_form(95)41"/>
      <sheetName val="new_CSS_PU_form(95)43"/>
      <sheetName val="new_CSS_PU_form(95)46"/>
      <sheetName val="new_CSS_PU_form(95)47"/>
      <sheetName val="new_CSS_PU_form(95)48"/>
      <sheetName val="PU_CSS34"/>
      <sheetName val="Raw_Data_Sheet32"/>
      <sheetName val="Cutting_Dies_31"/>
      <sheetName val="ESTI_31"/>
      <sheetName val="Sheet1_(2)31"/>
      <sheetName val="Assembly_31"/>
      <sheetName val="new_CSS_PU_form(95)52"/>
      <sheetName val="PU_CSS38"/>
      <sheetName val="Raw_Data_Sheet36"/>
      <sheetName val="Cutting_Dies_35"/>
      <sheetName val="ESTI_35"/>
      <sheetName val="Sheet1_(2)35"/>
      <sheetName val="Assembly_35"/>
      <sheetName val="new_CSS_PU_form(95)51"/>
      <sheetName val="PU_CSS37"/>
      <sheetName val="Raw_Data_Sheet35"/>
      <sheetName val="Cutting_Dies_34"/>
      <sheetName val="ESTI_34"/>
      <sheetName val="Sheet1_(2)34"/>
      <sheetName val="Assembly_34"/>
      <sheetName val="PU_CSS41"/>
      <sheetName val="new_CSS_PU_form(95)55"/>
      <sheetName val="Raw_Data_Sheet39"/>
      <sheetName val="Cutting_Dies_38"/>
      <sheetName val="ESTI_38"/>
      <sheetName val="Sheet1_(2)38"/>
      <sheetName val="Assembly_38"/>
      <sheetName val="new_CSS_PU_form(95)53"/>
      <sheetName val="PU_CSS39"/>
      <sheetName val="Raw_Data_Sheet37"/>
      <sheetName val="Cutting_Dies_36"/>
      <sheetName val="ESTI_36"/>
      <sheetName val="Sheet1_(2)36"/>
      <sheetName val="Assembly_36"/>
      <sheetName val="new_CSS_PU_form(95)54"/>
      <sheetName val="PU_CSS40"/>
      <sheetName val="Raw_Data_Sheet38"/>
      <sheetName val="Cutting_Dies_37"/>
      <sheetName val="ESTI_37"/>
      <sheetName val="Sheet1_(2)37"/>
      <sheetName val="Assembly_37"/>
      <sheetName val="new_CSS_PU_form(95)56"/>
      <sheetName val="new_CSS_PU_form(95)57"/>
      <sheetName val="PU_CSS42"/>
      <sheetName val="Raw_Data_Sheet40"/>
      <sheetName val="Cutting_Dies_39"/>
      <sheetName val="ESTI_39"/>
      <sheetName val="Sheet1_(2)39"/>
      <sheetName val="Assembly_39"/>
      <sheetName val="new_CSS_PU_form(95)58"/>
      <sheetName val="PU_CSS43"/>
      <sheetName val="Raw_Data_Sheet41"/>
      <sheetName val="Cutting_Dies_40"/>
      <sheetName val="ESTI_40"/>
      <sheetName val="Sheet1_(2)40"/>
      <sheetName val="Assembly_40"/>
      <sheetName val="new_CSS_PU_form(95)59"/>
      <sheetName val="PU_CSS44"/>
      <sheetName val="Raw_Data_Sheet42"/>
      <sheetName val="Cutting_Dies_41"/>
      <sheetName val="ESTI_41"/>
      <sheetName val="Sheet1_(2)41"/>
      <sheetName val="Assembly_41"/>
      <sheetName val="PU_CSS45"/>
      <sheetName val="new_CSS_PU_form(95)60"/>
      <sheetName val="Raw_Data_Sheet43"/>
      <sheetName val="Cutting_Dies_42"/>
      <sheetName val="ESTI_42"/>
      <sheetName val="Sheet1_(2)42"/>
      <sheetName val="Assembly_42"/>
      <sheetName val="new_CSS_PU_form(95)61"/>
      <sheetName val="PU_CSS46"/>
      <sheetName val="Raw_Data_Sheet44"/>
      <sheetName val="Cutting_Dies_43"/>
      <sheetName val="ESTI_43"/>
      <sheetName val="Sheet1_(2)43"/>
      <sheetName val="Assembly_43"/>
      <sheetName val="new_CSS_PU_form(95)62"/>
      <sheetName val="PU_CSS47"/>
      <sheetName val="Raw_Data_Sheet45"/>
      <sheetName val="Cutting_Dies_44"/>
      <sheetName val="ESTI_44"/>
      <sheetName val="Sheet1_(2)44"/>
      <sheetName val="Assembly_44"/>
      <sheetName val="new_CSS_PU_form(95)63"/>
      <sheetName val="PU_CSS49"/>
      <sheetName val="new_CSS_PU_form(95)65"/>
      <sheetName val="Raw_Data_Sheet47"/>
      <sheetName val="Cutting_Dies_46"/>
      <sheetName val="ESTI_46"/>
      <sheetName val="Sheet1_(2)46"/>
      <sheetName val="Assembly_46"/>
      <sheetName val="PU_CSS48"/>
      <sheetName val="new_CSS_PU_form(95)64"/>
      <sheetName val="Raw_Data_Sheet46"/>
      <sheetName val="Cutting_Dies_45"/>
      <sheetName val="ESTI_45"/>
      <sheetName val="Sheet1_(2)45"/>
      <sheetName val="Assembly_45"/>
      <sheetName val="new_CSS_PU_form(95)66"/>
      <sheetName val="PU_CSS50"/>
      <sheetName val="Raw_Data_Sheet48"/>
      <sheetName val="Cutting_Dies_47"/>
      <sheetName val="ESTI_47"/>
      <sheetName val="Sheet1_(2)47"/>
      <sheetName val="Assembly_47"/>
      <sheetName val="new_CSS_PU_form(95)67"/>
      <sheetName val="heso"/>
      <sheetName val="GVL"/>
      <sheetName val="K2"/>
      <sheetName val="0103"/>
      <sheetName val="高周波流程"/>
      <sheetName val="Partner Lookup"/>
      <sheetName val="PU_CSS51"/>
      <sheetName val="new_CSS_PU_form(95)68"/>
      <sheetName val="Raw_Data_Sheet49"/>
      <sheetName val="Cutting_Dies_48"/>
      <sheetName val="ESTI_48"/>
      <sheetName val="Sheet1_(2)48"/>
      <sheetName val="Assembly_48"/>
      <sheetName val="Upper_Silk_Screen_Process_(4)"/>
      <sheetName val="Tai_khoan"/>
      <sheetName val="Partner_Lookup"/>
      <sheetName val="表格"/>
      <sheetName val="Key Territory Details"/>
      <sheetName val="Drop Down Values"/>
      <sheetName val="dropdowns"/>
      <sheetName val="BTRSS"/>
      <sheetName val="Book1"/>
      <sheetName val="Pivot"/>
      <sheetName val="PU_CSS52"/>
      <sheetName val="new_CSS_PU_form(95)69"/>
      <sheetName val="Raw_Data_Sheet50"/>
      <sheetName val="Cutting_Dies_49"/>
      <sheetName val="Sheet1_(2)49"/>
      <sheetName val="Assembly_49"/>
      <sheetName val="ESTI_49"/>
      <sheetName val="new_CSS_PU_form(95)_xl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%20CSS%20PU%20form(95)_xls"/>
      <sheetName val="SHOX_REMID_II"/>
      <sheetName val="Upper_Silk_Screen_Process_(4)1"/>
      <sheetName val="Tai_khoan1"/>
      <sheetName val="Partner_Lookup1"/>
      <sheetName val="Key_Territory_Details"/>
      <sheetName val="Drop_Down_Values"/>
      <sheetName val="PU_CSS53"/>
      <sheetName val="new_CSS_PU_form(95)70"/>
      <sheetName val="Raw_Data_Sheet51"/>
      <sheetName val="Cutting_Dies_50"/>
      <sheetName val="Sheet1_(2)50"/>
      <sheetName val="Assembly_50"/>
      <sheetName val="ESTI_50"/>
      <sheetName val="new_CSS_PU_form(95)_xl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%20CSS%20PU%20form(95)_xls1"/>
      <sheetName val="SHOX_REMID_II1"/>
      <sheetName val="Upper_Silk_Screen_Process_(4)2"/>
      <sheetName val="Tai_khoan2"/>
      <sheetName val="Partner_Lookup2"/>
      <sheetName val="Key_Territory_Details1"/>
      <sheetName val="Drop_Down_Values1"/>
    </sheetNames>
    <definedNames>
      <definedName name="A_SG"/>
    </defined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Schedule Sheet"/>
      <sheetName val="Cutting Dies "/>
      <sheetName val="Logo Specification"/>
      <sheetName val="Skiving"/>
      <sheetName val="Prebuffing"/>
      <sheetName val="Marking Locations"/>
      <sheetName val="Reinf Placement"/>
      <sheetName val="Stitching Over View"/>
      <sheetName val="Stitching Instructions"/>
      <sheetName val="Outsole Color"/>
      <sheetName val="Outsole Spec"/>
      <sheetName val="Stockfit Bonding Process"/>
      <sheetName val="Back Part Molding Spec."/>
      <sheetName val="Upper Measurement Specification"/>
      <sheetName val="Assembly Bonding Process"/>
      <sheetName val="Assembly NFL 3"/>
      <sheetName val="ACE 83 GS IA"/>
      <sheetName val="BTRSS"/>
      <sheetName val="Sheet1"/>
      <sheetName val="Sum"/>
      <sheetName val="입금"/>
      <sheetName val="Score%"/>
      <sheetName val="DI-ESTI"/>
      <sheetName val="QMCT"/>
      <sheetName val="Raw Data Sheet"/>
      <sheetName val="Stitching"/>
      <sheetName val="PU (pouring)"/>
      <sheetName val="#REF"/>
      <sheetName val="SHOX REMID II"/>
      <sheetName val="IP ( Spray )."/>
      <sheetName val="表格"/>
      <sheetName val="heso"/>
      <sheetName val="Index_"/>
      <sheetName val="Schedule_Sheet"/>
      <sheetName val="Cutting_Dies_"/>
      <sheetName val="Logo_Specification"/>
      <sheetName val="Marking_Locations"/>
      <sheetName val="Reinf_Placement"/>
      <sheetName val="Stitching_Over_View"/>
      <sheetName val="Stitching_Instructions"/>
      <sheetName val="Outsole_Color"/>
      <sheetName val="Outsole_Spec"/>
      <sheetName val="Stockfit_Bonding_Process"/>
      <sheetName val="Back_Part_Molding_Spec_"/>
      <sheetName val="Upper_Measurement_Specification"/>
      <sheetName val="Assembly_Bonding_Process"/>
      <sheetName val="Assembly_NFL_3"/>
      <sheetName val="ACE_83_GS_IA"/>
      <sheetName val="Index_1"/>
      <sheetName val="Schedule_Sheet1"/>
      <sheetName val="Cutting_Dies_1"/>
      <sheetName val="Logo_Specification1"/>
      <sheetName val="Marking_Locations1"/>
      <sheetName val="Reinf_Placement1"/>
      <sheetName val="Stitching_Over_View1"/>
      <sheetName val="Stitching_Instructions1"/>
      <sheetName val="Outsole_Color1"/>
      <sheetName val="Outsole_Spec1"/>
      <sheetName val="Stockfit_Bonding_Process1"/>
      <sheetName val="Back_Part_Molding_Spec_1"/>
      <sheetName val="Upper_Measurement_Specificatio1"/>
      <sheetName val="Assembly_Bonding_Process1"/>
      <sheetName val="Assembly_NFL_31"/>
      <sheetName val="ACE_83_GS_IA1"/>
      <sheetName val="Q'TY PER DESTINATION"/>
      <sheetName val="DG3285"/>
      <sheetName val="PU (SPRAY AIR BAG)"/>
      <sheetName val="4.I SF Layout"/>
      <sheetName val="PU "/>
      <sheetName val="PU ( Trimming)Max Plus"/>
      <sheetName val="ACE%2083%20GS%20IA.XLS"/>
      <sheetName val="Sheet1 (2)"/>
      <sheetName val="Stitching Instruction  (2)"/>
      <sheetName val="Skiving Instructions "/>
      <sheetName val="Key Manufacturing Details (1)"/>
      <sheetName val="Sheet2"/>
      <sheetName val="XL4Poppy"/>
      <sheetName val="재단재고"/>
      <sheetName val="ESTI."/>
      <sheetName val="#REF!"/>
      <sheetName val="Tables"/>
      <sheetName val="MTO REV.0"/>
      <sheetName val="ACE%2083%20GS%20IA"/>
      <sheetName val="IBASE"/>
      <sheetName val="5.수정데이터통합"/>
      <sheetName val="0131 (2)"/>
      <sheetName val="Index_2"/>
      <sheetName val="Schedule_Sheet2"/>
      <sheetName val="Cutting_Dies_2"/>
      <sheetName val="Logo_Specification2"/>
      <sheetName val="Marking_Locations2"/>
      <sheetName val="Reinf_Placement2"/>
      <sheetName val="Stitching_Over_View2"/>
      <sheetName val="Stitching_Instructions2"/>
      <sheetName val="Outsole_Color2"/>
      <sheetName val="Outsole_Spec2"/>
      <sheetName val="Stockfit_Bonding_Process2"/>
      <sheetName val="Back_Part_Molding_Spec_2"/>
      <sheetName val="Upper_Measurement_Specificatio2"/>
      <sheetName val="Assembly_Bonding_Process2"/>
      <sheetName val="Assembly_NFL_32"/>
      <sheetName val="ACE_83_GS_IA2"/>
      <sheetName val="Q'TY_PER_DESTINATION"/>
      <sheetName val="0131_(2)"/>
      <sheetName val="Raw_Data_Sheet"/>
      <sheetName val="PU_(pouring)"/>
      <sheetName val="SHOX_REMID_II"/>
      <sheetName val="IP_(_Spray_)_"/>
      <sheetName val="PU_(SPRAY_AIR_BAG)"/>
      <sheetName val="4_I_SF_Layout"/>
      <sheetName val="PU_"/>
      <sheetName val="PU_(_Trimming)Max_Plus"/>
      <sheetName val="ACE%2083%20GS%20IA_XLS"/>
      <sheetName val="Sheet1_(2)"/>
      <sheetName val="Stitching_Instruction__(2)"/>
      <sheetName val="Skiving_Instructions_"/>
      <sheetName val="Key_Manufacturing_Details_(1)"/>
      <sheetName val="ESTI_"/>
      <sheetName val="MTO_REV_0"/>
      <sheetName val="5_수정데이터통합"/>
      <sheetName val="Index_3"/>
      <sheetName val="Schedule_Sheet3"/>
      <sheetName val="Cutting_Dies_3"/>
      <sheetName val="Logo_Specification3"/>
      <sheetName val="Marking_Locations3"/>
      <sheetName val="Reinf_Placement3"/>
      <sheetName val="Stitching_Over_View3"/>
      <sheetName val="Stitching_Instructions3"/>
      <sheetName val="Outsole_Color3"/>
      <sheetName val="Outsole_Spec3"/>
      <sheetName val="Stockfit_Bonding_Process3"/>
      <sheetName val="Back_Part_Molding_Spec_3"/>
      <sheetName val="Upper_Measurement_Specificatio3"/>
      <sheetName val="Assembly_Bonding_Process3"/>
      <sheetName val="Assembly_NFL_33"/>
      <sheetName val="ACE_83_GS_IA3"/>
      <sheetName val="Raw_Data_Sheet1"/>
      <sheetName val="PU_(pouring)1"/>
      <sheetName val="SHOX_REMID_II1"/>
      <sheetName val="IP_(_Spray_)_1"/>
      <sheetName val="Q'TY_PER_DESTINATION1"/>
      <sheetName val="0131_(2)1"/>
      <sheetName val="PU_(SPRAY_AIR_BAG)1"/>
      <sheetName val="4_I_SF_Layout1"/>
      <sheetName val="PU_1"/>
      <sheetName val="PU_(_Trimming)Max_Plus1"/>
      <sheetName val="ACE%2083%20GS%20IA_XLS1"/>
      <sheetName val="Sheet1_(2)1"/>
      <sheetName val="Stitching_Instruction__(2)1"/>
      <sheetName val="Skiving_Instructions_1"/>
      <sheetName val="Key_Manufacturing_Details_(1)1"/>
      <sheetName val="ESTI_1"/>
      <sheetName val="MTO_REV_01"/>
      <sheetName val="5_수정데이터통합1"/>
      <sheetName val="Codes"/>
      <sheetName val="PTDG"/>
      <sheetName val="Pivot"/>
      <sheetName val="DTCT"/>
      <sheetName val="No Sew (11 Dec'17)"/>
      <sheetName val="NAME"/>
      <sheetName val="Assembly "/>
      <sheetName val="청도"/>
      <sheetName val="Gia V1L"/>
      <sheetName val="SPEC"/>
      <sheetName val="0103"/>
      <sheetName val="Vietnam Report"/>
      <sheetName val="PIDATA"/>
      <sheetName val="ACE 83 GS IA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Cutting Dies "/>
      <sheetName val="Sheet1 (2)"/>
      <sheetName val="PU_CSS"/>
      <sheetName val="new_CSS_PU_form(95)"/>
      <sheetName val="Cutting_Dies_"/>
      <sheetName val="PU_CSS1"/>
      <sheetName val="new_CSS_PU_form(95)1"/>
      <sheetName val="Cutting_Dies_1"/>
      <sheetName val="NAME"/>
      <sheetName val="Sheet1"/>
      <sheetName val="Assembly "/>
      <sheetName val="Raw Data Sheet"/>
      <sheetName val="Prebuild"/>
      <sheetName val="IBASE"/>
      <sheetName val="판매단가(PRC)"/>
      <sheetName val="Vietnam Report"/>
      <sheetName val="Sum"/>
      <sheetName val="#REF!"/>
      <sheetName val="ESTI."/>
      <sheetName val="DI-ESTI"/>
      <sheetName val="PU_CSS2"/>
      <sheetName val="new_CSS_PU_form(95)2"/>
      <sheetName val="Cutting_Dies_2"/>
      <sheetName val="Sheet1_(2)"/>
      <sheetName val="BTRSS"/>
      <sheetName val="#REF"/>
      <sheetName val="Tai khoan"/>
      <sheetName val="Cover"/>
      <sheetName val="입금"/>
      <sheetName val="QR Code COO Label"/>
      <sheetName val="Partner Lookup"/>
      <sheetName val="Assembly_"/>
      <sheetName val="Raw_Data_Sheet"/>
      <sheetName val="Vietnam_Report"/>
      <sheetName val="ESTI_"/>
      <sheetName val="Tai_khoan"/>
      <sheetName val="QR_Code_COO_Label"/>
      <sheetName val="Partner_Lookup"/>
      <sheetName val="MST Sockliner"/>
      <sheetName val="LPC TEMPLATE"/>
      <sheetName val="map"/>
      <sheetName val="Sheet2"/>
      <sheetName val="Perhitungan Jaminan"/>
      <sheetName val="PU_CSS3"/>
      <sheetName val="new_CSS_PU_form(95)3"/>
      <sheetName val="Cutting_Dies_3"/>
      <sheetName val="Sheet1_(2)1"/>
      <sheetName val="Assembly_1"/>
      <sheetName val="Raw_Data_Sheet1"/>
      <sheetName val="Vietnam_Report1"/>
      <sheetName val="ESTI_1"/>
      <sheetName val="Tai_khoan1"/>
      <sheetName val="QR_Code_COO_Label1"/>
      <sheetName val="Partner_Lookup1"/>
      <sheetName val="MST_Sockliner"/>
      <sheetName val="LPC_TEMPLATE"/>
      <sheetName val="Perhitungan_Jaminan"/>
      <sheetName val="PU_CSS4"/>
      <sheetName val="new_CSS_PU_form(95)4"/>
      <sheetName val="Cutting_Dies_4"/>
      <sheetName val="Sheet1_(2)2"/>
      <sheetName val="Assembly_2"/>
      <sheetName val="Raw_Data_Sheet2"/>
      <sheetName val="Vietnam_Report2"/>
      <sheetName val="ESTI_2"/>
      <sheetName val="Tai_khoan2"/>
      <sheetName val="QR_Code_COO_Label2"/>
      <sheetName val="Partner_Lookup2"/>
      <sheetName val="MST_Sockliner1"/>
      <sheetName val="LPC_TEMPLATE1"/>
      <sheetName val="Perhitungan_Jaminan1"/>
      <sheetName val="dropdown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utan sewing proses"/>
      <sheetName val="STITCH 1"/>
      <sheetName val="STITCH 2"/>
      <sheetName val="STITCH 3"/>
      <sheetName val="STITCH 4"/>
      <sheetName val="STITCH 5"/>
      <sheetName val="STITCH 6"/>
      <sheetName val="STITCH 7"/>
      <sheetName val="stitch 506 aa"/>
      <sheetName val="Cutting Dies "/>
      <sheetName val="Raw Data Sheet"/>
      <sheetName val="urutan_sewing_proses"/>
      <sheetName val="STITCH_1"/>
      <sheetName val="STITCH_2"/>
      <sheetName val="STITCH_3"/>
      <sheetName val="STITCH_4"/>
      <sheetName val="STITCH_5"/>
      <sheetName val="STITCH_6"/>
      <sheetName val="STITCH_7"/>
      <sheetName val="stitch_506_aa"/>
      <sheetName val="Cutting_Dies_"/>
      <sheetName val="Raw_Data_Sheet"/>
      <sheetName val="urutan_sewing_proses1"/>
      <sheetName val="STITCH_11"/>
      <sheetName val="STITCH_21"/>
      <sheetName val="STITCH_31"/>
      <sheetName val="STITCH_41"/>
      <sheetName val="STITCH_51"/>
      <sheetName val="STITCH_61"/>
      <sheetName val="STITCH_71"/>
      <sheetName val="stitch_506_aa1"/>
      <sheetName val="Cutting_Dies_1"/>
      <sheetName val="Raw_Data_Sheet1"/>
      <sheetName val="urutan_sewing_proses2"/>
      <sheetName val="STITCH_12"/>
      <sheetName val="STITCH_22"/>
      <sheetName val="STITCH_32"/>
      <sheetName val="STITCH_42"/>
      <sheetName val="STITCH_52"/>
      <sheetName val="STITCH_62"/>
      <sheetName val="STITCH_72"/>
      <sheetName val="stitch_506_aa2"/>
      <sheetName val="Cutting_Dies_2"/>
      <sheetName val="Raw_Data_Sheet2"/>
    </sheetNames>
    <definedNames>
      <definedName name="A_ANALYSI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die"/>
      <sheetName val="Sheet1"/>
      <sheetName val="Summary_FW1"/>
      <sheetName val="Summary_Comp1"/>
      <sheetName val="cutting_die1"/>
      <sheetName val="Summary_FW"/>
      <sheetName val="Summary_Comp"/>
      <sheetName val="cutting_die"/>
      <sheetName val="Summary_FW2"/>
      <sheetName val="Summary_Comp2"/>
      <sheetName val="cutting_die2"/>
      <sheetName val="Summary_FW4"/>
      <sheetName val="Summary_Comp4"/>
      <sheetName val="cutting_die4"/>
      <sheetName val="Summary_FW3"/>
      <sheetName val="Summary_Comp3"/>
      <sheetName val="cutting_die3"/>
      <sheetName val="Summary_FW5"/>
      <sheetName val="Summary_Comp5"/>
      <sheetName val="cutting_die5"/>
      <sheetName val="Summary_FW6"/>
      <sheetName val="Summary_Comp6"/>
      <sheetName val="cutting_die6"/>
      <sheetName val="Summary_FW8"/>
      <sheetName val="Summary_Comp8"/>
      <sheetName val="cutting_die8"/>
      <sheetName val="Summary_FW7"/>
      <sheetName val="Summary_Comp7"/>
      <sheetName val="cutting_die7"/>
      <sheetName val="Summary_FW13"/>
      <sheetName val="Summary_Comp13"/>
      <sheetName val="cutting_die13"/>
      <sheetName val="Summary_FW9"/>
      <sheetName val="Summary_Comp9"/>
      <sheetName val="cutting_die9"/>
      <sheetName val="Summary_FW10"/>
      <sheetName val="Summary_Comp10"/>
      <sheetName val="cutting_die10"/>
      <sheetName val="Summary_FW11"/>
      <sheetName val="Summary_Comp11"/>
      <sheetName val="cutting_die11"/>
      <sheetName val="Summary_FW12"/>
      <sheetName val="Summary_Comp12"/>
      <sheetName val="cutting_die12"/>
      <sheetName val="data MP"/>
      <sheetName val="Summary_FW15"/>
      <sheetName val="Summary_Comp15"/>
      <sheetName val="cutting_die15"/>
      <sheetName val="Summary_FW14"/>
      <sheetName val="Summary_Comp14"/>
      <sheetName val="cutting_die14"/>
      <sheetName val="Summary_FW16"/>
      <sheetName val="Summary_Comp16"/>
      <sheetName val="cutting_die16"/>
      <sheetName val="Summary_FW17"/>
      <sheetName val="Summary_Comp17"/>
      <sheetName val="cutting_die17"/>
      <sheetName val="Setup"/>
      <sheetName val="DropDown"/>
      <sheetName val="enums"/>
      <sheetName val="dp_PartName"/>
      <sheetName val="ADISTAR TRAMPOLINE-M-SS07-PFR-0"/>
      <sheetName val="Tables"/>
      <sheetName val="Summary_FW18"/>
      <sheetName val="Summary_Comp18"/>
      <sheetName val="cutting_die18"/>
      <sheetName val="data_MP"/>
    </sheetNames>
    <sheetDataSet>
      <sheetData sheetId="0">
        <row r="30">
          <cell r="M30">
            <v>2.863746353300693</v>
          </cell>
        </row>
      </sheetData>
      <sheetData sheetId="1"/>
      <sheetData sheetId="2" refreshError="1">
        <row r="30">
          <cell r="M30">
            <v>2.863746353300693</v>
          </cell>
        </row>
        <row r="36">
          <cell r="M36">
            <v>0.30299999999999999</v>
          </cell>
        </row>
        <row r="40">
          <cell r="M40">
            <v>0</v>
          </cell>
        </row>
        <row r="44">
          <cell r="M44">
            <v>0.36719999999999997</v>
          </cell>
        </row>
        <row r="54">
          <cell r="M54">
            <v>0.40513000000000005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die"/>
      <sheetName val="Sheet1"/>
      <sheetName val="Summary_FW1"/>
      <sheetName val="Summary_Comp1"/>
      <sheetName val="cutting_die1"/>
      <sheetName val="Summary_FW"/>
      <sheetName val="Summary_Comp"/>
      <sheetName val="cutting_die"/>
      <sheetName val="Summary_FW2"/>
      <sheetName val="Summary_Comp2"/>
      <sheetName val="cutting_die2"/>
      <sheetName val="Summary_FW4"/>
      <sheetName val="Summary_Comp4"/>
      <sheetName val="cutting_die4"/>
      <sheetName val="Summary_FW3"/>
      <sheetName val="Summary_Comp3"/>
      <sheetName val="cutting_die3"/>
      <sheetName val="Summary_FW5"/>
      <sheetName val="Summary_Comp5"/>
      <sheetName val="cutting_die5"/>
      <sheetName val="Summary_FW6"/>
      <sheetName val="Summary_Comp6"/>
      <sheetName val="cutting_die6"/>
      <sheetName val="Summary_FW8"/>
      <sheetName val="Summary_Comp8"/>
      <sheetName val="cutting_die8"/>
      <sheetName val="Summary_FW7"/>
      <sheetName val="Summary_Comp7"/>
      <sheetName val="cutting_die7"/>
      <sheetName val="Summary_FW13"/>
      <sheetName val="Summary_Comp13"/>
      <sheetName val="cutting_die13"/>
      <sheetName val="Summary_FW9"/>
      <sheetName val="Summary_Comp9"/>
      <sheetName val="cutting_die9"/>
      <sheetName val="Summary_FW10"/>
      <sheetName val="Summary_Comp10"/>
      <sheetName val="cutting_die10"/>
      <sheetName val="Summary_FW11"/>
      <sheetName val="Summary_Comp11"/>
      <sheetName val="cutting_die11"/>
      <sheetName val="Summary_FW12"/>
      <sheetName val="Summary_Comp12"/>
      <sheetName val="cutting_die12"/>
    </sheetNames>
    <sheetDataSet>
      <sheetData sheetId="0"/>
      <sheetData sheetId="1"/>
      <sheetData sheetId="2">
        <row r="30">
          <cell r="M30">
            <v>2.863746353300693</v>
          </cell>
        </row>
        <row r="36">
          <cell r="M36">
            <v>0.30299999999999999</v>
          </cell>
        </row>
        <row r="40">
          <cell r="M40">
            <v>0</v>
          </cell>
        </row>
        <row r="44">
          <cell r="M44">
            <v>0.36719999999999997</v>
          </cell>
        </row>
        <row r="54">
          <cell r="M54">
            <v>0.40513000000000005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cie"/>
      <sheetName val="lookup"/>
      <sheetName val="LBE PRED J HELP"/>
      <sheetName val="Summary_FW1"/>
      <sheetName val="Summary_Comp1"/>
      <sheetName val="Cutting_cie1"/>
      <sheetName val="LBE_PRED_J_HELP1"/>
      <sheetName val="Summary_FW"/>
      <sheetName val="Summary_Comp"/>
      <sheetName val="Cutting_cie"/>
      <sheetName val="LBE_PRED_J_HELP"/>
      <sheetName val="Summary_FW2"/>
      <sheetName val="Summary_Comp2"/>
      <sheetName val="Cutting_cie2"/>
      <sheetName val="LBE_PRED_J_HELP2"/>
      <sheetName val="Summary_FW4"/>
      <sheetName val="Summary_Comp4"/>
      <sheetName val="Cutting_cie4"/>
      <sheetName val="LBE_PRED_J_HELP4"/>
      <sheetName val="Summary_FW3"/>
      <sheetName val="Summary_Comp3"/>
      <sheetName val="Cutting_cie3"/>
      <sheetName val="LBE_PRED_J_HELP3"/>
      <sheetName val="Summary_FW5"/>
      <sheetName val="Summary_Comp5"/>
      <sheetName val="Cutting_cie5"/>
      <sheetName val="LBE_PRED_J_HELP5"/>
      <sheetName val="Summary_FW6"/>
      <sheetName val="Summary_Comp6"/>
      <sheetName val="Cutting_cie6"/>
      <sheetName val="LBE_PRED_J_HELP6"/>
      <sheetName val="Summary_FW8"/>
      <sheetName val="Summary_Comp8"/>
      <sheetName val="Cutting_cie8"/>
      <sheetName val="LBE_PRED_J_HELP8"/>
      <sheetName val="Summary_FW7"/>
      <sheetName val="Summary_Comp7"/>
      <sheetName val="Cutting_cie7"/>
      <sheetName val="LBE_PRED_J_HELP7"/>
      <sheetName val="Summary_FW13"/>
      <sheetName val="Summary_Comp13"/>
      <sheetName val="Cutting_cie13"/>
      <sheetName val="LBE_PRED_J_HELP13"/>
      <sheetName val="Summary_FW9"/>
      <sheetName val="Summary_Comp9"/>
      <sheetName val="Cutting_cie9"/>
      <sheetName val="LBE_PRED_J_HELP9"/>
      <sheetName val="Summary_FW10"/>
      <sheetName val="Summary_Comp10"/>
      <sheetName val="Cutting_cie10"/>
      <sheetName val="LBE_PRED_J_HELP10"/>
      <sheetName val="Summary_FW11"/>
      <sheetName val="Summary_Comp11"/>
      <sheetName val="Cutting_cie11"/>
      <sheetName val="LBE_PRED_J_HELP11"/>
      <sheetName val="Summary_FW12"/>
      <sheetName val="Summary_Comp12"/>
      <sheetName val="Cutting_cie12"/>
      <sheetName val="LBE_PRED_J_HELP12"/>
      <sheetName val="Summary Value &amp; Non Value"/>
      <sheetName val="Setup"/>
      <sheetName val="CHANGE RATE"/>
      <sheetName val="Summary_FW14"/>
      <sheetName val="Summary_Comp14"/>
      <sheetName val="Cutting_cie14"/>
      <sheetName val="LBE_PRED_J_HELP1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06-ARCHIVE"/>
      <sheetName val="SP07-ARCHIVE"/>
      <sheetName val="SU07-ARCHIVE"/>
      <sheetName val="FA07-ARCHIVE"/>
      <sheetName val="HO07-ARCHIVE"/>
      <sheetName val="SP08-ARCHIVE"/>
      <sheetName val="SU08-ARCHIVE"/>
      <sheetName val="FA08-ARCHIVE"/>
      <sheetName val="HO08-ARCHIVE"/>
      <sheetName val="SP09"/>
      <sheetName val="SU09"/>
      <sheetName val="FA09"/>
      <sheetName val="HO09"/>
      <sheetName val="SP10"/>
      <sheetName val="SU10"/>
      <sheetName val="FA10"/>
      <sheetName val="Field_Requirements"/>
      <sheetName val="CTTR Transfer Type"/>
      <sheetName val="GFP Type"/>
      <sheetName val="GFP Reasons"/>
      <sheetName val="HO10"/>
      <sheetName val="SP11"/>
      <sheetName val="SU11"/>
      <sheetName val="FA11"/>
      <sheetName val="HO11"/>
      <sheetName val="SP09-ARCHIVE"/>
      <sheetName val="SU09-ARCHIVE"/>
      <sheetName val="FA09-ARCHIVE"/>
      <sheetName val="HO09-ARCHIVE"/>
      <sheetName val="SP10-ARCHIVE"/>
      <sheetName val="SU10-ARCHIVE"/>
      <sheetName val="FA10-ARCHIVE"/>
      <sheetName val="SP12"/>
      <sheetName val="TDTKP"/>
      <sheetName val="DK-KH"/>
      <sheetName val="Tables"/>
      <sheetName val="CTTR_Transfer_Type"/>
      <sheetName val="GFP_Type"/>
      <sheetName val="GFP_Reasons"/>
      <sheetName val="LAST YEARS CS"/>
      <sheetName val="CTTR_Transfer_Type1"/>
      <sheetName val="GFP_Type1"/>
      <sheetName val="GFP_Reasons1"/>
      <sheetName val="LAST_YEARS_CS"/>
      <sheetName val="DropDown"/>
      <sheetName val="Confirmed_Transfer_Tracking_Rpt"/>
      <sheetName val="Sheet1"/>
      <sheetName val="Fct Sum 2 SeasonView"/>
      <sheetName val="F1 Scenarios"/>
      <sheetName val="Fct Summary"/>
      <sheetName val="Chris' Tab"/>
      <sheetName val="OTP Summary Result"/>
      <sheetName val="OTP Projection"/>
      <sheetName val="Monthly Loading"/>
      <sheetName val="OTP Source"/>
      <sheetName val="FctSumRe-sort"/>
      <sheetName val="FA14 Detail"/>
      <sheetName val="Lynne's Tab"/>
      <sheetName val="SU14 Detail"/>
      <sheetName val="Category Callouts"/>
      <sheetName val="Cap Scenario"/>
      <sheetName val="Subcapacity outsoles "/>
      <sheetName val="Profiles"/>
      <sheetName val="Prebuild"/>
      <sheetName val="PA Scenarios"/>
      <sheetName val="PA Transfer Summary"/>
      <sheetName val="Monthly Loading -Summary"/>
      <sheetName val="Monthly Loading-PB Data"/>
      <sheetName val="Monthly Loading-PrevOTP Data"/>
      <sheetName val="Data Refresh"/>
      <sheetName val="DG3285"/>
      <sheetName val="CTTR_Transfer_Type2"/>
      <sheetName val="GFP_Type2"/>
      <sheetName val="GFP_Reasons2"/>
      <sheetName val="LAST_YEARS_CS1"/>
      <sheetName val="CTTR_Transfer_Type3"/>
      <sheetName val="GFP_Type3"/>
      <sheetName val="GFP_Reasons3"/>
      <sheetName val="LAST_YEARS_CS2"/>
      <sheetName val="CTTR_Transfer_Type4"/>
      <sheetName val="GFP_Type4"/>
      <sheetName val="GFP_Reasons4"/>
      <sheetName val="LAST_YEARS_CS3"/>
      <sheetName val="Fct_Sum_2_SeasonView"/>
      <sheetName val="F1_Scenarios"/>
      <sheetName val="Fct_Summary"/>
      <sheetName val="Chris'_Tab"/>
      <sheetName val="OTP_Summary_Result"/>
      <sheetName val="OTP_Projection"/>
      <sheetName val="Monthly_Loading"/>
      <sheetName val="OTP_Source"/>
      <sheetName val="FA14_Detail"/>
      <sheetName val="Lynne's_Tab"/>
      <sheetName val="SU14_Detail"/>
      <sheetName val="Category_Callouts"/>
      <sheetName val="Cap_Scenario"/>
      <sheetName val="Subcapacity_outsoles_"/>
      <sheetName val="PA_Scenarios"/>
      <sheetName val="PA_Transfer_Summary"/>
      <sheetName val="Monthly_Loading_-Summary"/>
      <sheetName val="Monthly_Loading-PB_Data"/>
      <sheetName val="Monthly_Loading-PrevOTP_Data"/>
      <sheetName val="Data_Refresh"/>
      <sheetName val="map"/>
      <sheetName val="SUMM LOADING "/>
      <sheetName val="#REF!"/>
      <sheetName val="Raw Data Sheet"/>
      <sheetName val="PIDATA"/>
      <sheetName val="Book1"/>
      <sheetName val="7"/>
      <sheetName val="13"/>
      <sheetName val="79"/>
      <sheetName val="IA 1"/>
      <sheetName val="DailyTargetJune"/>
      <sheetName val="DATA MOLD NEW BALANCE"/>
      <sheetName val="SSAI IP ORDER"/>
      <sheetName val="Cutting Dies "/>
      <sheetName val="CTTR_Transfer_Type5"/>
      <sheetName val="GFP_Type5"/>
      <sheetName val="GFP_Reasons5"/>
      <sheetName val="LAST_YEARS_CS4"/>
      <sheetName val="Fct_Sum_2_SeasonView1"/>
      <sheetName val="F1_Scenarios1"/>
      <sheetName val="Fct_Summary1"/>
      <sheetName val="Chris'_Tab1"/>
      <sheetName val="OTP_Summary_Result1"/>
      <sheetName val="OTP_Projection1"/>
      <sheetName val="Monthly_Loading1"/>
      <sheetName val="OTP_Source1"/>
      <sheetName val="FA14_Detail1"/>
      <sheetName val="Lynne's_Tab1"/>
      <sheetName val="SU14_Detail1"/>
      <sheetName val="Category_Callouts1"/>
      <sheetName val="Cap_Scenario1"/>
      <sheetName val="Subcapacity_outsoles_1"/>
      <sheetName val="PA_Scenarios1"/>
      <sheetName val="PA_Transfer_Summary1"/>
      <sheetName val="Monthly_Loading_-Summary1"/>
      <sheetName val="Monthly_Loading-PB_Data1"/>
      <sheetName val="Monthly_Loading-PrevOTP_Data1"/>
      <sheetName val="Data_Refresh1"/>
      <sheetName val="SUMM_LOADING_"/>
      <sheetName val="Raw_Data_Sheet"/>
      <sheetName val="IA_1"/>
      <sheetName val="DATA_MOLD_NEW_BALANCE"/>
      <sheetName val="SSAI_IP_ORDER"/>
      <sheetName val="Cutting_Dies_"/>
      <sheetName val="CTTR_Transfer_Type6"/>
      <sheetName val="GFP_Type6"/>
      <sheetName val="GFP_Reasons6"/>
      <sheetName val="LAST_YEARS_CS5"/>
      <sheetName val="Fct_Sum_2_SeasonView2"/>
      <sheetName val="F1_Scenarios2"/>
      <sheetName val="Fct_Summary2"/>
      <sheetName val="Chris'_Tab2"/>
      <sheetName val="OTP_Summary_Result2"/>
      <sheetName val="OTP_Projection2"/>
      <sheetName val="Monthly_Loading2"/>
      <sheetName val="OTP_Source2"/>
      <sheetName val="FA14_Detail2"/>
      <sheetName val="Lynne's_Tab2"/>
      <sheetName val="SU14_Detail2"/>
      <sheetName val="Category_Callouts2"/>
      <sheetName val="Cap_Scenario2"/>
      <sheetName val="Subcapacity_outsoles_2"/>
      <sheetName val="PA_Scenarios2"/>
      <sheetName val="PA_Transfer_Summary2"/>
      <sheetName val="Monthly_Loading_-Summary2"/>
      <sheetName val="Monthly_Loading-PB_Data2"/>
      <sheetName val="Monthly_Loading-PrevOTP_Data2"/>
      <sheetName val="Data_Refresh2"/>
      <sheetName val="SUMM_LOADING_1"/>
      <sheetName val="Raw_Data_Sheet1"/>
      <sheetName val="IA_11"/>
      <sheetName val="DATA_MOLD_NEW_BALANCE1"/>
      <sheetName val="SSAI_IP_ORDER1"/>
      <sheetName val="Cutting_Dies_1"/>
      <sheetName val="CTTR_Transfer_Type7"/>
      <sheetName val="GFP_Type7"/>
      <sheetName val="GFP_Reasons7"/>
      <sheetName val="LAST_YEARS_CS6"/>
      <sheetName val="Fct_Sum_2_SeasonView3"/>
      <sheetName val="F1_Scenarios3"/>
      <sheetName val="Fct_Summary3"/>
      <sheetName val="Chris'_Tab3"/>
      <sheetName val="OTP_Summary_Result3"/>
      <sheetName val="OTP_Projection3"/>
      <sheetName val="Monthly_Loading3"/>
      <sheetName val="OTP_Source3"/>
      <sheetName val="FA14_Detail3"/>
      <sheetName val="Lynne's_Tab3"/>
      <sheetName val="SU14_Detail3"/>
      <sheetName val="Category_Callouts3"/>
      <sheetName val="Cap_Scenario3"/>
      <sheetName val="Subcapacity_outsoles_3"/>
      <sheetName val="PA_Scenarios3"/>
      <sheetName val="PA_Transfer_Summary3"/>
      <sheetName val="Monthly_Loading_-Summary3"/>
      <sheetName val="Monthly_Loading-PB_Data3"/>
      <sheetName val="Monthly_Loading-PrevOTP_Data3"/>
      <sheetName val="Data_Refresh3"/>
      <sheetName val="SUMM_LOADING_2"/>
      <sheetName val="Raw_Data_Sheet2"/>
      <sheetName val="IA_12"/>
      <sheetName val="DATA_MOLD_NEW_BALANCE2"/>
      <sheetName val="SSAI_IP_ORDER2"/>
      <sheetName val="Cutting_Dies_2"/>
      <sheetName val="CTTR_Transfer_Type8"/>
      <sheetName val="GFP_Type8"/>
      <sheetName val="GFP_Reasons8"/>
      <sheetName val="LAST_YEARS_CS7"/>
      <sheetName val="Fct_Sum_2_SeasonView4"/>
      <sheetName val="F1_Scenarios4"/>
      <sheetName val="Fct_Summary4"/>
      <sheetName val="Chris'_Tab4"/>
      <sheetName val="OTP_Summary_Result4"/>
      <sheetName val="OTP_Projection4"/>
      <sheetName val="Monthly_Loading4"/>
      <sheetName val="OTP_Source4"/>
      <sheetName val="FA14_Detail4"/>
      <sheetName val="Lynne's_Tab4"/>
      <sheetName val="SU14_Detail4"/>
      <sheetName val="Category_Callouts4"/>
      <sheetName val="Cap_Scenario4"/>
      <sheetName val="Subcapacity_outsoles_4"/>
      <sheetName val="PA_Scenarios4"/>
      <sheetName val="PA_Transfer_Summary4"/>
      <sheetName val="Monthly_Loading_-Summary4"/>
      <sheetName val="Monthly_Loading-PB_Data4"/>
      <sheetName val="Monthly_Loading-PrevOTP_Data4"/>
      <sheetName val="Data_Refresh4"/>
      <sheetName val="SUMM_LOADING_3"/>
      <sheetName val="Raw_Data_Sheet3"/>
      <sheetName val="IA_13"/>
      <sheetName val="DATA_MOLD_NEW_BALANCE3"/>
      <sheetName val="SSAI_IP_ORDER3"/>
      <sheetName val="Cutting_Dies_3"/>
      <sheetName val="CTTR_Transfer_Type9"/>
      <sheetName val="GFP_Type9"/>
      <sheetName val="GFP_Reasons9"/>
      <sheetName val="LAST_YEARS_CS8"/>
      <sheetName val="Fct_Sum_2_SeasonView5"/>
      <sheetName val="F1_Scenarios5"/>
      <sheetName val="Fct_Summary5"/>
      <sheetName val="Chris'_Tab5"/>
      <sheetName val="OTP_Summary_Result5"/>
      <sheetName val="OTP_Projection5"/>
      <sheetName val="Monthly_Loading5"/>
      <sheetName val="OTP_Source5"/>
      <sheetName val="FA14_Detail5"/>
      <sheetName val="Lynne's_Tab5"/>
      <sheetName val="SU14_Detail5"/>
      <sheetName val="Category_Callouts5"/>
      <sheetName val="Cap_Scenario5"/>
      <sheetName val="Subcapacity_outsoles_5"/>
      <sheetName val="PA_Scenarios5"/>
      <sheetName val="PA_Transfer_Summary5"/>
      <sheetName val="Monthly_Loading_-Summary5"/>
      <sheetName val="Monthly_Loading-PB_Data5"/>
      <sheetName val="Monthly_Loading-PrevOTP_Data5"/>
      <sheetName val="Data_Refresh5"/>
      <sheetName val="SUMM_LOADING_4"/>
      <sheetName val="Raw_Data_Sheet4"/>
      <sheetName val="IA_14"/>
      <sheetName val="DATA_MOLD_NEW_BALANCE4"/>
      <sheetName val="SSAI_IP_ORDER4"/>
      <sheetName val="Cutting_Dies_4"/>
      <sheetName val="CTTR_Transfer_Type10"/>
      <sheetName val="GFP_Type10"/>
      <sheetName val="GFP_Reasons10"/>
      <sheetName val="LAST_YEARS_CS9"/>
      <sheetName val="Fct_Sum_2_SeasonView6"/>
      <sheetName val="F1_Scenarios6"/>
      <sheetName val="Fct_Summary6"/>
      <sheetName val="Chris'_Tab6"/>
      <sheetName val="OTP_Summary_Result6"/>
      <sheetName val="OTP_Projection6"/>
      <sheetName val="Monthly_Loading6"/>
      <sheetName val="OTP_Source6"/>
      <sheetName val="FA14_Detail6"/>
      <sheetName val="Lynne's_Tab6"/>
      <sheetName val="SU14_Detail6"/>
      <sheetName val="Category_Callouts6"/>
      <sheetName val="Cap_Scenario6"/>
      <sheetName val="Subcapacity_outsoles_6"/>
      <sheetName val="PA_Scenarios6"/>
      <sheetName val="PA_Transfer_Summary6"/>
      <sheetName val="Monthly_Loading_-Summary6"/>
      <sheetName val="Monthly_Loading-PB_Data6"/>
      <sheetName val="Monthly_Loading-PrevOTP_Data6"/>
      <sheetName val="Data_Refresh6"/>
      <sheetName val="SUMM_LOADING_5"/>
      <sheetName val="Raw_Data_Sheet5"/>
      <sheetName val="IA_15"/>
      <sheetName val="DATA_MOLD_NEW_BALANCE5"/>
      <sheetName val="SSAI_IP_ORDER5"/>
      <sheetName val="Cutting_Dies_5"/>
      <sheetName val="Indirect List"/>
      <sheetName val="BASIS DATA"/>
      <sheetName val="SUBCONT STATUS"/>
      <sheetName val="CTTR_Transfer_Type18"/>
      <sheetName val="GFP_Type18"/>
      <sheetName val="GFP_Reasons18"/>
      <sheetName val="LAST_YEARS_CS17"/>
      <sheetName val="Fct_Sum_2_SeasonView14"/>
      <sheetName val="F1_Scenarios14"/>
      <sheetName val="Fct_Summary14"/>
      <sheetName val="Chris'_Tab14"/>
      <sheetName val="OTP_Summary_Result14"/>
      <sheetName val="OTP_Projection14"/>
      <sheetName val="Monthly_Loading14"/>
      <sheetName val="OTP_Source14"/>
      <sheetName val="FA14_Detail14"/>
      <sheetName val="Lynne's_Tab14"/>
      <sheetName val="SU14_Detail14"/>
      <sheetName val="Category_Callouts14"/>
      <sheetName val="Cap_Scenario14"/>
      <sheetName val="Subcapacity_outsoles_14"/>
      <sheetName val="PA_Scenarios14"/>
      <sheetName val="PA_Transfer_Summary14"/>
      <sheetName val="Monthly_Loading_-Summary14"/>
      <sheetName val="Monthly_Loading-PB_Data14"/>
      <sheetName val="Monthly_Loading-PrevOTP_Data14"/>
      <sheetName val="Data_Refresh14"/>
      <sheetName val="SUMM_LOADING_13"/>
      <sheetName val="Raw_Data_Sheet13"/>
      <sheetName val="IA_113"/>
      <sheetName val="DATA_MOLD_NEW_BALANCE13"/>
      <sheetName val="SSAI_IP_ORDER13"/>
      <sheetName val="Cutting_Dies_13"/>
      <sheetName val="CTTR_Transfer_Type17"/>
      <sheetName val="GFP_Type17"/>
      <sheetName val="GFP_Reasons17"/>
      <sheetName val="LAST_YEARS_CS16"/>
      <sheetName val="Fct_Sum_2_SeasonView13"/>
      <sheetName val="F1_Scenarios13"/>
      <sheetName val="Fct_Summary13"/>
      <sheetName val="Chris'_Tab13"/>
      <sheetName val="OTP_Summary_Result13"/>
      <sheetName val="OTP_Projection13"/>
      <sheetName val="Monthly_Loading13"/>
      <sheetName val="OTP_Source13"/>
      <sheetName val="FA14_Detail13"/>
      <sheetName val="Lynne's_Tab13"/>
      <sheetName val="SU14_Detail13"/>
      <sheetName val="Category_Callouts13"/>
      <sheetName val="Cap_Scenario13"/>
      <sheetName val="Subcapacity_outsoles_13"/>
      <sheetName val="PA_Scenarios13"/>
      <sheetName val="PA_Transfer_Summary13"/>
      <sheetName val="Monthly_Loading_-Summary13"/>
      <sheetName val="Monthly_Loading-PB_Data13"/>
      <sheetName val="Monthly_Loading-PrevOTP_Data13"/>
      <sheetName val="Data_Refresh13"/>
      <sheetName val="SUMM_LOADING_12"/>
      <sheetName val="Raw_Data_Sheet12"/>
      <sheetName val="IA_112"/>
      <sheetName val="DATA_MOLD_NEW_BALANCE12"/>
      <sheetName val="SSAI_IP_ORDER12"/>
      <sheetName val="Cutting_Dies_12"/>
      <sheetName val="CTTR_Transfer_Type15"/>
      <sheetName val="GFP_Type15"/>
      <sheetName val="GFP_Reasons15"/>
      <sheetName val="LAST_YEARS_CS14"/>
      <sheetName val="Fct_Sum_2_SeasonView11"/>
      <sheetName val="F1_Scenarios11"/>
      <sheetName val="Fct_Summary11"/>
      <sheetName val="Chris'_Tab11"/>
      <sheetName val="OTP_Summary_Result11"/>
      <sheetName val="OTP_Projection11"/>
      <sheetName val="Monthly_Loading11"/>
      <sheetName val="OTP_Source11"/>
      <sheetName val="FA14_Detail11"/>
      <sheetName val="Lynne's_Tab11"/>
      <sheetName val="SU14_Detail11"/>
      <sheetName val="Category_Callouts11"/>
      <sheetName val="Cap_Scenario11"/>
      <sheetName val="Subcapacity_outsoles_11"/>
      <sheetName val="PA_Scenarios11"/>
      <sheetName val="PA_Transfer_Summary11"/>
      <sheetName val="Monthly_Loading_-Summary11"/>
      <sheetName val="Monthly_Loading-PB_Data11"/>
      <sheetName val="Monthly_Loading-PrevOTP_Data11"/>
      <sheetName val="Data_Refresh11"/>
      <sheetName val="SUMM_LOADING_10"/>
      <sheetName val="Raw_Data_Sheet10"/>
      <sheetName val="IA_110"/>
      <sheetName val="DATA_MOLD_NEW_BALANCE10"/>
      <sheetName val="SSAI_IP_ORDER10"/>
      <sheetName val="Cutting_Dies_10"/>
      <sheetName val="CTTR_Transfer_Type14"/>
      <sheetName val="GFP_Type14"/>
      <sheetName val="GFP_Reasons14"/>
      <sheetName val="LAST_YEARS_CS13"/>
      <sheetName val="Fct_Sum_2_SeasonView10"/>
      <sheetName val="F1_Scenarios10"/>
      <sheetName val="Fct_Summary10"/>
      <sheetName val="Chris'_Tab10"/>
      <sheetName val="OTP_Summary_Result10"/>
      <sheetName val="OTP_Projection10"/>
      <sheetName val="Monthly_Loading10"/>
      <sheetName val="OTP_Source10"/>
      <sheetName val="FA14_Detail10"/>
      <sheetName val="Lynne's_Tab10"/>
      <sheetName val="SU14_Detail10"/>
      <sheetName val="Category_Callouts10"/>
      <sheetName val="Cap_Scenario10"/>
      <sheetName val="Subcapacity_outsoles_10"/>
      <sheetName val="PA_Scenarios10"/>
      <sheetName val="PA_Transfer_Summary10"/>
      <sheetName val="Monthly_Loading_-Summary10"/>
      <sheetName val="Monthly_Loading-PB_Data10"/>
      <sheetName val="Monthly_Loading-PrevOTP_Data10"/>
      <sheetName val="Data_Refresh10"/>
      <sheetName val="SUMM_LOADING_9"/>
      <sheetName val="Raw_Data_Sheet9"/>
      <sheetName val="IA_19"/>
      <sheetName val="DATA_MOLD_NEW_BALANCE9"/>
      <sheetName val="SSAI_IP_ORDER9"/>
      <sheetName val="Cutting_Dies_9"/>
      <sheetName val="CTTR_Transfer_Type13"/>
      <sheetName val="GFP_Type13"/>
      <sheetName val="GFP_Reasons13"/>
      <sheetName val="LAST_YEARS_CS12"/>
      <sheetName val="Fct_Sum_2_SeasonView9"/>
      <sheetName val="F1_Scenarios9"/>
      <sheetName val="Fct_Summary9"/>
      <sheetName val="Chris'_Tab9"/>
      <sheetName val="OTP_Summary_Result9"/>
      <sheetName val="OTP_Projection9"/>
      <sheetName val="Monthly_Loading9"/>
      <sheetName val="OTP_Source9"/>
      <sheetName val="FA14_Detail9"/>
      <sheetName val="Lynne's_Tab9"/>
      <sheetName val="SU14_Detail9"/>
      <sheetName val="Category_Callouts9"/>
      <sheetName val="Cap_Scenario9"/>
      <sheetName val="Subcapacity_outsoles_9"/>
      <sheetName val="PA_Scenarios9"/>
      <sheetName val="PA_Transfer_Summary9"/>
      <sheetName val="Monthly_Loading_-Summary9"/>
      <sheetName val="Monthly_Loading-PB_Data9"/>
      <sheetName val="Monthly_Loading-PrevOTP_Data9"/>
      <sheetName val="Data_Refresh9"/>
      <sheetName val="SUMM_LOADING_8"/>
      <sheetName val="Raw_Data_Sheet8"/>
      <sheetName val="IA_18"/>
      <sheetName val="DATA_MOLD_NEW_BALANCE8"/>
      <sheetName val="SSAI_IP_ORDER8"/>
      <sheetName val="Cutting_Dies_8"/>
      <sheetName val="CTTR_Transfer_Type12"/>
      <sheetName val="GFP_Type12"/>
      <sheetName val="GFP_Reasons12"/>
      <sheetName val="LAST_YEARS_CS11"/>
      <sheetName val="Fct_Sum_2_SeasonView8"/>
      <sheetName val="F1_Scenarios8"/>
      <sheetName val="Fct_Summary8"/>
      <sheetName val="Chris'_Tab8"/>
      <sheetName val="OTP_Summary_Result8"/>
      <sheetName val="OTP_Projection8"/>
      <sheetName val="Monthly_Loading8"/>
      <sheetName val="OTP_Source8"/>
      <sheetName val="FA14_Detail8"/>
      <sheetName val="Lynne's_Tab8"/>
      <sheetName val="SU14_Detail8"/>
      <sheetName val="Category_Callouts8"/>
      <sheetName val="Cap_Scenario8"/>
      <sheetName val="Subcapacity_outsoles_8"/>
      <sheetName val="PA_Scenarios8"/>
      <sheetName val="PA_Transfer_Summary8"/>
      <sheetName val="Monthly_Loading_-Summary8"/>
      <sheetName val="Monthly_Loading-PB_Data8"/>
      <sheetName val="Monthly_Loading-PrevOTP_Data8"/>
      <sheetName val="Data_Refresh8"/>
      <sheetName val="SUMM_LOADING_7"/>
      <sheetName val="Raw_Data_Sheet7"/>
      <sheetName val="IA_17"/>
      <sheetName val="DATA_MOLD_NEW_BALANCE7"/>
      <sheetName val="SSAI_IP_ORDER7"/>
      <sheetName val="Cutting_Dies_7"/>
      <sheetName val="CTTR_Transfer_Type11"/>
      <sheetName val="GFP_Type11"/>
      <sheetName val="GFP_Reasons11"/>
      <sheetName val="LAST_YEARS_CS10"/>
      <sheetName val="Fct_Sum_2_SeasonView7"/>
      <sheetName val="F1_Scenarios7"/>
      <sheetName val="Fct_Summary7"/>
      <sheetName val="Chris'_Tab7"/>
      <sheetName val="OTP_Summary_Result7"/>
      <sheetName val="OTP_Projection7"/>
      <sheetName val="Monthly_Loading7"/>
      <sheetName val="OTP_Source7"/>
      <sheetName val="FA14_Detail7"/>
      <sheetName val="Lynne's_Tab7"/>
      <sheetName val="SU14_Detail7"/>
      <sheetName val="Category_Callouts7"/>
      <sheetName val="Cap_Scenario7"/>
      <sheetName val="Subcapacity_outsoles_7"/>
      <sheetName val="PA_Scenarios7"/>
      <sheetName val="PA_Transfer_Summary7"/>
      <sheetName val="Monthly_Loading_-Summary7"/>
      <sheetName val="Monthly_Loading-PB_Data7"/>
      <sheetName val="Monthly_Loading-PrevOTP_Data7"/>
      <sheetName val="Data_Refresh7"/>
      <sheetName val="SUMM_LOADING_6"/>
      <sheetName val="Raw_Data_Sheet6"/>
      <sheetName val="IA_16"/>
      <sheetName val="DATA_MOLD_NEW_BALANCE6"/>
      <sheetName val="SSAI_IP_ORDER6"/>
      <sheetName val="Cutting_Dies_6"/>
      <sheetName val="CTTR_Transfer_Type16"/>
      <sheetName val="GFP_Type16"/>
      <sheetName val="GFP_Reasons16"/>
      <sheetName val="LAST_YEARS_CS15"/>
      <sheetName val="Fct_Sum_2_SeasonView12"/>
      <sheetName val="F1_Scenarios12"/>
      <sheetName val="Fct_Summary12"/>
      <sheetName val="Chris'_Tab12"/>
      <sheetName val="OTP_Summary_Result12"/>
      <sheetName val="OTP_Projection12"/>
      <sheetName val="Monthly_Loading12"/>
      <sheetName val="OTP_Source12"/>
      <sheetName val="FA14_Detail12"/>
      <sheetName val="Lynne's_Tab12"/>
      <sheetName val="SU14_Detail12"/>
      <sheetName val="Category_Callouts12"/>
      <sheetName val="Cap_Scenario12"/>
      <sheetName val="Subcapacity_outsoles_12"/>
      <sheetName val="PA_Scenarios12"/>
      <sheetName val="PA_Transfer_Summary12"/>
      <sheetName val="Monthly_Loading_-Summary12"/>
      <sheetName val="Monthly_Loading-PB_Data12"/>
      <sheetName val="Monthly_Loading-PrevOTP_Data12"/>
      <sheetName val="Data_Refresh12"/>
      <sheetName val="SUMM_LOADING_11"/>
      <sheetName val="Raw_Data_Sheet11"/>
      <sheetName val="IA_111"/>
      <sheetName val="DATA_MOLD_NEW_BALANCE11"/>
      <sheetName val="SSAI_IP_ORDER11"/>
      <sheetName val="Cutting_Dies_11"/>
      <sheetName val="CTTR_Transfer_Type22"/>
      <sheetName val="GFP_Type22"/>
      <sheetName val="GFP_Reasons22"/>
      <sheetName val="LAST_YEARS_CS21"/>
      <sheetName val="Fct_Sum_2_SeasonView18"/>
      <sheetName val="F1_Scenarios18"/>
      <sheetName val="Fct_Summary18"/>
      <sheetName val="Chris'_Tab18"/>
      <sheetName val="OTP_Summary_Result18"/>
      <sheetName val="OTP_Projection18"/>
      <sheetName val="Monthly_Loading18"/>
      <sheetName val="OTP_Source18"/>
      <sheetName val="FA14_Detail18"/>
      <sheetName val="Lynne's_Tab18"/>
      <sheetName val="SU14_Detail18"/>
      <sheetName val="Category_Callouts18"/>
      <sheetName val="Cap_Scenario18"/>
      <sheetName val="Subcapacity_outsoles_18"/>
      <sheetName val="PA_Scenarios18"/>
      <sheetName val="PA_Transfer_Summary18"/>
      <sheetName val="Monthly_Loading_-Summary18"/>
      <sheetName val="Monthly_Loading-PB_Data18"/>
      <sheetName val="Monthly_Loading-PrevOTP_Data18"/>
      <sheetName val="Data_Refresh18"/>
      <sheetName val="SUMM_LOADING_17"/>
      <sheetName val="Raw_Data_Sheet17"/>
      <sheetName val="IA_117"/>
      <sheetName val="DATA_MOLD_NEW_BALANCE17"/>
      <sheetName val="SSAI_IP_ORDER17"/>
      <sheetName val="Cutting_Dies_17"/>
      <sheetName val="Indirect_List3"/>
      <sheetName val="BASIS_DATA3"/>
      <sheetName val="SUBCONT_STATUS3"/>
      <sheetName val="CTTR_Transfer_Type21"/>
      <sheetName val="GFP_Type21"/>
      <sheetName val="GFP_Reasons21"/>
      <sheetName val="LAST_YEARS_CS20"/>
      <sheetName val="Fct_Sum_2_SeasonView17"/>
      <sheetName val="F1_Scenarios17"/>
      <sheetName val="Fct_Summary17"/>
      <sheetName val="Chris'_Tab17"/>
      <sheetName val="OTP_Summary_Result17"/>
      <sheetName val="OTP_Projection17"/>
      <sheetName val="Monthly_Loading17"/>
      <sheetName val="OTP_Source17"/>
      <sheetName val="FA14_Detail17"/>
      <sheetName val="Lynne's_Tab17"/>
      <sheetName val="SU14_Detail17"/>
      <sheetName val="Category_Callouts17"/>
      <sheetName val="Cap_Scenario17"/>
      <sheetName val="Subcapacity_outsoles_17"/>
      <sheetName val="PA_Scenarios17"/>
      <sheetName val="PA_Transfer_Summary17"/>
      <sheetName val="Monthly_Loading_-Summary17"/>
      <sheetName val="Monthly_Loading-PB_Data17"/>
      <sheetName val="Monthly_Loading-PrevOTP_Data17"/>
      <sheetName val="Data_Refresh17"/>
      <sheetName val="SUMM_LOADING_16"/>
      <sheetName val="Raw_Data_Sheet16"/>
      <sheetName val="IA_116"/>
      <sheetName val="DATA_MOLD_NEW_BALANCE16"/>
      <sheetName val="SSAI_IP_ORDER16"/>
      <sheetName val="Cutting_Dies_16"/>
      <sheetName val="Indirect_List2"/>
      <sheetName val="BASIS_DATA2"/>
      <sheetName val="SUBCONT_STATUS2"/>
      <sheetName val="CTTR_Transfer_Type20"/>
      <sheetName val="GFP_Type20"/>
      <sheetName val="GFP_Reasons20"/>
      <sheetName val="LAST_YEARS_CS19"/>
      <sheetName val="Fct_Sum_2_SeasonView16"/>
      <sheetName val="F1_Scenarios16"/>
      <sheetName val="Fct_Summary16"/>
      <sheetName val="Chris'_Tab16"/>
      <sheetName val="OTP_Summary_Result16"/>
      <sheetName val="OTP_Projection16"/>
      <sheetName val="Monthly_Loading16"/>
      <sheetName val="OTP_Source16"/>
      <sheetName val="FA14_Detail16"/>
      <sheetName val="Lynne's_Tab16"/>
      <sheetName val="SU14_Detail16"/>
      <sheetName val="Category_Callouts16"/>
      <sheetName val="Cap_Scenario16"/>
      <sheetName val="Subcapacity_outsoles_16"/>
      <sheetName val="PA_Scenarios16"/>
      <sheetName val="PA_Transfer_Summary16"/>
      <sheetName val="Monthly_Loading_-Summary16"/>
      <sheetName val="Monthly_Loading-PB_Data16"/>
      <sheetName val="Monthly_Loading-PrevOTP_Data16"/>
      <sheetName val="Data_Refresh16"/>
      <sheetName val="SUMM_LOADING_15"/>
      <sheetName val="Raw_Data_Sheet15"/>
      <sheetName val="IA_115"/>
      <sheetName val="DATA_MOLD_NEW_BALANCE15"/>
      <sheetName val="SSAI_IP_ORDER15"/>
      <sheetName val="Cutting_Dies_15"/>
      <sheetName val="Indirect_List1"/>
      <sheetName val="BASIS_DATA1"/>
      <sheetName val="SUBCONT_STATUS1"/>
      <sheetName val="CTTR_Transfer_Type19"/>
      <sheetName val="GFP_Type19"/>
      <sheetName val="GFP_Reasons19"/>
      <sheetName val="LAST_YEARS_CS18"/>
      <sheetName val="Fct_Sum_2_SeasonView15"/>
      <sheetName val="F1_Scenarios15"/>
      <sheetName val="Fct_Summary15"/>
      <sheetName val="Chris'_Tab15"/>
      <sheetName val="OTP_Summary_Result15"/>
      <sheetName val="OTP_Projection15"/>
      <sheetName val="Monthly_Loading15"/>
      <sheetName val="OTP_Source15"/>
      <sheetName val="FA14_Detail15"/>
      <sheetName val="Lynne's_Tab15"/>
      <sheetName val="SU14_Detail15"/>
      <sheetName val="Category_Callouts15"/>
      <sheetName val="Cap_Scenario15"/>
      <sheetName val="Subcapacity_outsoles_15"/>
      <sheetName val="PA_Scenarios15"/>
      <sheetName val="PA_Transfer_Summary15"/>
      <sheetName val="Monthly_Loading_-Summary15"/>
      <sheetName val="Monthly_Loading-PB_Data15"/>
      <sheetName val="Monthly_Loading-PrevOTP_Data15"/>
      <sheetName val="Data_Refresh15"/>
      <sheetName val="SUMM_LOADING_14"/>
      <sheetName val="Raw_Data_Sheet14"/>
      <sheetName val="IA_114"/>
      <sheetName val="DATA_MOLD_NEW_BALANCE14"/>
      <sheetName val="SSAI_IP_ORDER14"/>
      <sheetName val="Cutting_Dies_14"/>
      <sheetName val="Indirect_List"/>
      <sheetName val="BASIS_DATA"/>
      <sheetName val="SUBCONT_STATUS"/>
      <sheetName val="CTTR_Transfer_Type36"/>
      <sheetName val="GFP_Type36"/>
      <sheetName val="GFP_Reasons36"/>
      <sheetName val="LAST_YEARS_CS35"/>
      <sheetName val="Fct_Sum_2_SeasonView32"/>
      <sheetName val="F1_Scenarios32"/>
      <sheetName val="Fct_Summary32"/>
      <sheetName val="Chris'_Tab32"/>
      <sheetName val="OTP_Summary_Result32"/>
      <sheetName val="OTP_Projection32"/>
      <sheetName val="Monthly_Loading32"/>
      <sheetName val="OTP_Source32"/>
      <sheetName val="FA14_Detail32"/>
      <sheetName val="Lynne's_Tab32"/>
      <sheetName val="SU14_Detail32"/>
      <sheetName val="Category_Callouts32"/>
      <sheetName val="Cap_Scenario32"/>
      <sheetName val="Subcapacity_outsoles_32"/>
      <sheetName val="PA_Scenarios32"/>
      <sheetName val="PA_Transfer_Summary32"/>
      <sheetName val="Monthly_Loading_-Summary32"/>
      <sheetName val="Monthly_Loading-PB_Data32"/>
      <sheetName val="Monthly_Loading-PrevOTP_Data32"/>
      <sheetName val="Data_Refresh32"/>
      <sheetName val="SUMM_LOADING_31"/>
      <sheetName val="Raw_Data_Sheet31"/>
      <sheetName val="IA_131"/>
      <sheetName val="DATA_MOLD_NEW_BALANCE31"/>
      <sheetName val="SSAI_IP_ORDER31"/>
      <sheetName val="Cutting_Dies_31"/>
      <sheetName val="Indirect_List17"/>
      <sheetName val="BASIS_DATA17"/>
      <sheetName val="SUBCONT_STATUS17"/>
      <sheetName val="CTTR_Transfer_Type25"/>
      <sheetName val="GFP_Type25"/>
      <sheetName val="GFP_Reasons25"/>
      <sheetName val="LAST_YEARS_CS24"/>
      <sheetName val="Fct_Sum_2_SeasonView21"/>
      <sheetName val="F1_Scenarios21"/>
      <sheetName val="Fct_Summary21"/>
      <sheetName val="Chris'_Tab21"/>
      <sheetName val="OTP_Summary_Result21"/>
      <sheetName val="OTP_Projection21"/>
      <sheetName val="Monthly_Loading21"/>
      <sheetName val="OTP_Source21"/>
      <sheetName val="FA14_Detail21"/>
      <sheetName val="Lynne's_Tab21"/>
      <sheetName val="SU14_Detail21"/>
      <sheetName val="Category_Callouts21"/>
      <sheetName val="Cap_Scenario21"/>
      <sheetName val="Subcapacity_outsoles_21"/>
      <sheetName val="PA_Scenarios21"/>
      <sheetName val="PA_Transfer_Summary21"/>
      <sheetName val="Monthly_Loading_-Summary21"/>
      <sheetName val="Monthly_Loading-PB_Data21"/>
      <sheetName val="Monthly_Loading-PrevOTP_Data21"/>
      <sheetName val="Data_Refresh21"/>
      <sheetName val="SUMM_LOADING_20"/>
      <sheetName val="Raw_Data_Sheet20"/>
      <sheetName val="IA_120"/>
      <sheetName val="DATA_MOLD_NEW_BALANCE20"/>
      <sheetName val="SSAI_IP_ORDER20"/>
      <sheetName val="Cutting_Dies_20"/>
      <sheetName val="Indirect_List6"/>
      <sheetName val="BASIS_DATA6"/>
      <sheetName val="SUBCONT_STATUS6"/>
      <sheetName val="CTTR_Transfer_Type24"/>
      <sheetName val="GFP_Type24"/>
      <sheetName val="GFP_Reasons24"/>
      <sheetName val="LAST_YEARS_CS23"/>
      <sheetName val="Fct_Sum_2_SeasonView20"/>
      <sheetName val="F1_Scenarios20"/>
      <sheetName val="Fct_Summary20"/>
      <sheetName val="Chris'_Tab20"/>
      <sheetName val="OTP_Summary_Result20"/>
      <sheetName val="OTP_Projection20"/>
      <sheetName val="Monthly_Loading20"/>
      <sheetName val="OTP_Source20"/>
      <sheetName val="FA14_Detail20"/>
      <sheetName val="Lynne's_Tab20"/>
      <sheetName val="SU14_Detail20"/>
      <sheetName val="Category_Callouts20"/>
      <sheetName val="Cap_Scenario20"/>
      <sheetName val="Subcapacity_outsoles_20"/>
      <sheetName val="PA_Scenarios20"/>
      <sheetName val="PA_Transfer_Summary20"/>
      <sheetName val="Monthly_Loading_-Summary20"/>
      <sheetName val="Monthly_Loading-PB_Data20"/>
      <sheetName val="Monthly_Loading-PrevOTP_Data20"/>
      <sheetName val="Data_Refresh20"/>
      <sheetName val="SUMM_LOADING_19"/>
      <sheetName val="Raw_Data_Sheet19"/>
      <sheetName val="IA_119"/>
      <sheetName val="DATA_MOLD_NEW_BALANCE19"/>
      <sheetName val="SSAI_IP_ORDER19"/>
      <sheetName val="Cutting_Dies_19"/>
      <sheetName val="Indirect_List5"/>
      <sheetName val="BASIS_DATA5"/>
      <sheetName val="SUBCONT_STATUS5"/>
      <sheetName val="CTTR_Transfer_Type23"/>
      <sheetName val="GFP_Type23"/>
      <sheetName val="GFP_Reasons23"/>
      <sheetName val="LAST_YEARS_CS22"/>
      <sheetName val="Fct_Sum_2_SeasonView19"/>
      <sheetName val="F1_Scenarios19"/>
      <sheetName val="Fct_Summary19"/>
      <sheetName val="Chris'_Tab19"/>
      <sheetName val="OTP_Summary_Result19"/>
      <sheetName val="OTP_Projection19"/>
      <sheetName val="Monthly_Loading19"/>
      <sheetName val="OTP_Source19"/>
      <sheetName val="FA14_Detail19"/>
      <sheetName val="Lynne's_Tab19"/>
      <sheetName val="SU14_Detail19"/>
      <sheetName val="Category_Callouts19"/>
      <sheetName val="Cap_Scenario19"/>
      <sheetName val="Subcapacity_outsoles_19"/>
      <sheetName val="PA_Scenarios19"/>
      <sheetName val="PA_Transfer_Summary19"/>
      <sheetName val="Monthly_Loading_-Summary19"/>
      <sheetName val="Monthly_Loading-PB_Data19"/>
      <sheetName val="Monthly_Loading-PrevOTP_Data19"/>
      <sheetName val="Data_Refresh19"/>
      <sheetName val="SUMM_LOADING_18"/>
      <sheetName val="Raw_Data_Sheet18"/>
      <sheetName val="IA_118"/>
      <sheetName val="DATA_MOLD_NEW_BALANCE18"/>
      <sheetName val="SSAI_IP_ORDER18"/>
      <sheetName val="Cutting_Dies_18"/>
      <sheetName val="Indirect_List4"/>
      <sheetName val="BASIS_DATA4"/>
      <sheetName val="SUBCONT_STATUS4"/>
      <sheetName val="CTTR_Transfer_Type26"/>
      <sheetName val="GFP_Type26"/>
      <sheetName val="GFP_Reasons26"/>
      <sheetName val="LAST_YEARS_CS25"/>
      <sheetName val="Fct_Sum_2_SeasonView22"/>
      <sheetName val="F1_Scenarios22"/>
      <sheetName val="Fct_Summary22"/>
      <sheetName val="Chris'_Tab22"/>
      <sheetName val="OTP_Summary_Result22"/>
      <sheetName val="OTP_Projection22"/>
      <sheetName val="Monthly_Loading22"/>
      <sheetName val="OTP_Source22"/>
      <sheetName val="FA14_Detail22"/>
      <sheetName val="Lynne's_Tab22"/>
      <sheetName val="SU14_Detail22"/>
      <sheetName val="Category_Callouts22"/>
      <sheetName val="Cap_Scenario22"/>
      <sheetName val="Subcapacity_outsoles_22"/>
      <sheetName val="PA_Scenarios22"/>
      <sheetName val="PA_Transfer_Summary22"/>
      <sheetName val="Monthly_Loading_-Summary22"/>
      <sheetName val="Monthly_Loading-PB_Data22"/>
      <sheetName val="Monthly_Loading-PrevOTP_Data22"/>
      <sheetName val="Data_Refresh22"/>
      <sheetName val="SUMM_LOADING_21"/>
      <sheetName val="Raw_Data_Sheet21"/>
      <sheetName val="IA_121"/>
      <sheetName val="DATA_MOLD_NEW_BALANCE21"/>
      <sheetName val="SSAI_IP_ORDER21"/>
      <sheetName val="Cutting_Dies_21"/>
      <sheetName val="Indirect_List7"/>
      <sheetName val="BASIS_DATA7"/>
      <sheetName val="SUBCONT_STATUS7"/>
      <sheetName val="CTTR_Transfer_Type33"/>
      <sheetName val="GFP_Type33"/>
      <sheetName val="GFP_Reasons33"/>
      <sheetName val="LAST_YEARS_CS32"/>
      <sheetName val="Fct_Sum_2_SeasonView29"/>
      <sheetName val="F1_Scenarios29"/>
      <sheetName val="Fct_Summary29"/>
      <sheetName val="Chris'_Tab29"/>
      <sheetName val="OTP_Summary_Result29"/>
      <sheetName val="OTP_Projection29"/>
      <sheetName val="Monthly_Loading29"/>
      <sheetName val="OTP_Source29"/>
      <sheetName val="FA14_Detail29"/>
      <sheetName val="Lynne's_Tab29"/>
      <sheetName val="SU14_Detail29"/>
      <sheetName val="Category_Callouts29"/>
      <sheetName val="Cap_Scenario29"/>
      <sheetName val="Subcapacity_outsoles_29"/>
      <sheetName val="PA_Scenarios29"/>
      <sheetName val="PA_Transfer_Summary29"/>
      <sheetName val="Monthly_Loading_-Summary29"/>
      <sheetName val="Monthly_Loading-PB_Data29"/>
      <sheetName val="Monthly_Loading-PrevOTP_Data29"/>
      <sheetName val="Data_Refresh29"/>
      <sheetName val="SUMM_LOADING_28"/>
      <sheetName val="Raw_Data_Sheet28"/>
      <sheetName val="IA_128"/>
      <sheetName val="DATA_MOLD_NEW_BALANCE28"/>
      <sheetName val="SSAI_IP_ORDER28"/>
      <sheetName val="Cutting_Dies_28"/>
      <sheetName val="Indirect_List14"/>
      <sheetName val="BASIS_DATA14"/>
      <sheetName val="SUBCONT_STATUS14"/>
      <sheetName val="CTTR_Transfer_Type32"/>
      <sheetName val="GFP_Type32"/>
      <sheetName val="GFP_Reasons32"/>
      <sheetName val="LAST_YEARS_CS31"/>
      <sheetName val="Fct_Sum_2_SeasonView28"/>
      <sheetName val="F1_Scenarios28"/>
      <sheetName val="Fct_Summary28"/>
      <sheetName val="Chris'_Tab28"/>
      <sheetName val="OTP_Summary_Result28"/>
      <sheetName val="OTP_Projection28"/>
      <sheetName val="Monthly_Loading28"/>
      <sheetName val="OTP_Source28"/>
      <sheetName val="FA14_Detail28"/>
      <sheetName val="Lynne's_Tab28"/>
      <sheetName val="SU14_Detail28"/>
      <sheetName val="Category_Callouts28"/>
      <sheetName val="Cap_Scenario28"/>
      <sheetName val="Subcapacity_outsoles_28"/>
      <sheetName val="PA_Scenarios28"/>
      <sheetName val="PA_Transfer_Summary28"/>
      <sheetName val="Monthly_Loading_-Summary28"/>
      <sheetName val="Monthly_Loading-PB_Data28"/>
      <sheetName val="Monthly_Loading-PrevOTP_Data28"/>
      <sheetName val="Data_Refresh28"/>
      <sheetName val="SUMM_LOADING_27"/>
      <sheetName val="Raw_Data_Sheet27"/>
      <sheetName val="IA_127"/>
      <sheetName val="DATA_MOLD_NEW_BALANCE27"/>
      <sheetName val="SSAI_IP_ORDER27"/>
      <sheetName val="Cutting_Dies_27"/>
      <sheetName val="Indirect_List13"/>
      <sheetName val="BASIS_DATA13"/>
      <sheetName val="SUBCONT_STATUS13"/>
      <sheetName val="CTTR_Transfer_Type31"/>
      <sheetName val="GFP_Type31"/>
      <sheetName val="GFP_Reasons31"/>
      <sheetName val="LAST_YEARS_CS30"/>
      <sheetName val="Fct_Sum_2_SeasonView27"/>
      <sheetName val="F1_Scenarios27"/>
      <sheetName val="Fct_Summary27"/>
      <sheetName val="Chris'_Tab27"/>
      <sheetName val="OTP_Summary_Result27"/>
      <sheetName val="OTP_Projection27"/>
      <sheetName val="Monthly_Loading27"/>
      <sheetName val="OTP_Source27"/>
      <sheetName val="FA14_Detail27"/>
      <sheetName val="Lynne's_Tab27"/>
      <sheetName val="SU14_Detail27"/>
      <sheetName val="Category_Callouts27"/>
      <sheetName val="Cap_Scenario27"/>
      <sheetName val="Subcapacity_outsoles_27"/>
      <sheetName val="PA_Scenarios27"/>
      <sheetName val="PA_Transfer_Summary27"/>
      <sheetName val="Monthly_Loading_-Summary27"/>
      <sheetName val="Monthly_Loading-PB_Data27"/>
      <sheetName val="Monthly_Loading-PrevOTP_Data27"/>
      <sheetName val="Data_Refresh27"/>
      <sheetName val="SUMM_LOADING_26"/>
      <sheetName val="Raw_Data_Sheet26"/>
      <sheetName val="IA_126"/>
      <sheetName val="DATA_MOLD_NEW_BALANCE26"/>
      <sheetName val="SSAI_IP_ORDER26"/>
      <sheetName val="Cutting_Dies_26"/>
      <sheetName val="Indirect_List12"/>
      <sheetName val="BASIS_DATA12"/>
      <sheetName val="SUBCONT_STATUS12"/>
      <sheetName val="CTTR_Transfer_Type28"/>
      <sheetName val="GFP_Type28"/>
      <sheetName val="GFP_Reasons28"/>
      <sheetName val="LAST_YEARS_CS27"/>
      <sheetName val="Fct_Sum_2_SeasonView24"/>
      <sheetName val="F1_Scenarios24"/>
      <sheetName val="Fct_Summary24"/>
      <sheetName val="Chris'_Tab24"/>
      <sheetName val="OTP_Summary_Result24"/>
      <sheetName val="OTP_Projection24"/>
      <sheetName val="Monthly_Loading24"/>
      <sheetName val="OTP_Source24"/>
      <sheetName val="FA14_Detail24"/>
      <sheetName val="Lynne's_Tab24"/>
      <sheetName val="SU14_Detail24"/>
      <sheetName val="Category_Callouts24"/>
      <sheetName val="Cap_Scenario24"/>
      <sheetName val="Subcapacity_outsoles_24"/>
      <sheetName val="PA_Scenarios24"/>
      <sheetName val="PA_Transfer_Summary24"/>
      <sheetName val="Monthly_Loading_-Summary24"/>
      <sheetName val="Monthly_Loading-PB_Data24"/>
      <sheetName val="Monthly_Loading-PrevOTP_Data24"/>
      <sheetName val="Data_Refresh24"/>
      <sheetName val="SUMM_LOADING_23"/>
      <sheetName val="Raw_Data_Sheet23"/>
      <sheetName val="IA_123"/>
      <sheetName val="DATA_MOLD_NEW_BALANCE23"/>
      <sheetName val="SSAI_IP_ORDER23"/>
      <sheetName val="Cutting_Dies_23"/>
      <sheetName val="Indirect_List9"/>
      <sheetName val="BASIS_DATA9"/>
      <sheetName val="SUBCONT_STATUS9"/>
      <sheetName val="CTTR_Transfer_Type27"/>
      <sheetName val="GFP_Type27"/>
      <sheetName val="GFP_Reasons27"/>
      <sheetName val="LAST_YEARS_CS26"/>
      <sheetName val="Fct_Sum_2_SeasonView23"/>
      <sheetName val="F1_Scenarios23"/>
      <sheetName val="Fct_Summary23"/>
      <sheetName val="Chris'_Tab23"/>
      <sheetName val="OTP_Summary_Result23"/>
      <sheetName val="OTP_Projection23"/>
      <sheetName val="Monthly_Loading23"/>
      <sheetName val="OTP_Source23"/>
      <sheetName val="FA14_Detail23"/>
      <sheetName val="Lynne's_Tab23"/>
      <sheetName val="SU14_Detail23"/>
      <sheetName val="Category_Callouts23"/>
      <sheetName val="Cap_Scenario23"/>
      <sheetName val="Subcapacity_outsoles_23"/>
      <sheetName val="PA_Scenarios23"/>
      <sheetName val="PA_Transfer_Summary23"/>
      <sheetName val="Monthly_Loading_-Summary23"/>
      <sheetName val="Monthly_Loading-PB_Data23"/>
      <sheetName val="Monthly_Loading-PrevOTP_Data23"/>
      <sheetName val="Data_Refresh23"/>
      <sheetName val="SUMM_LOADING_22"/>
      <sheetName val="Raw_Data_Sheet22"/>
      <sheetName val="IA_122"/>
      <sheetName val="DATA_MOLD_NEW_BALANCE22"/>
      <sheetName val="SSAI_IP_ORDER22"/>
      <sheetName val="Cutting_Dies_22"/>
      <sheetName val="Indirect_List8"/>
      <sheetName val="BASIS_DATA8"/>
      <sheetName val="SUBCONT_STATUS8"/>
      <sheetName val="CTTR_Transfer_Type29"/>
      <sheetName val="GFP_Type29"/>
      <sheetName val="GFP_Reasons29"/>
      <sheetName val="LAST_YEARS_CS28"/>
      <sheetName val="Fct_Sum_2_SeasonView25"/>
      <sheetName val="F1_Scenarios25"/>
      <sheetName val="Fct_Summary25"/>
      <sheetName val="Chris'_Tab25"/>
      <sheetName val="OTP_Summary_Result25"/>
      <sheetName val="OTP_Projection25"/>
      <sheetName val="Monthly_Loading25"/>
      <sheetName val="OTP_Source25"/>
      <sheetName val="FA14_Detail25"/>
      <sheetName val="Lynne's_Tab25"/>
      <sheetName val="SU14_Detail25"/>
      <sheetName val="Category_Callouts25"/>
      <sheetName val="Cap_Scenario25"/>
      <sheetName val="Subcapacity_outsoles_25"/>
      <sheetName val="PA_Scenarios25"/>
      <sheetName val="PA_Transfer_Summary25"/>
      <sheetName val="Monthly_Loading_-Summary25"/>
      <sheetName val="Monthly_Loading-PB_Data25"/>
      <sheetName val="Monthly_Loading-PrevOTP_Data25"/>
      <sheetName val="Data_Refresh25"/>
      <sheetName val="SUMM_LOADING_24"/>
      <sheetName val="Raw_Data_Sheet24"/>
      <sheetName val="IA_124"/>
      <sheetName val="DATA_MOLD_NEW_BALANCE24"/>
      <sheetName val="SSAI_IP_ORDER24"/>
      <sheetName val="Cutting_Dies_24"/>
      <sheetName val="Indirect_List10"/>
      <sheetName val="BASIS_DATA10"/>
      <sheetName val="SUBCONT_STATUS10"/>
      <sheetName val="CTTR_Transfer_Type30"/>
      <sheetName val="GFP_Type30"/>
      <sheetName val="GFP_Reasons30"/>
      <sheetName val="LAST_YEARS_CS29"/>
      <sheetName val="Fct_Sum_2_SeasonView26"/>
      <sheetName val="F1_Scenarios26"/>
      <sheetName val="Fct_Summary26"/>
      <sheetName val="Chris'_Tab26"/>
      <sheetName val="OTP_Summary_Result26"/>
      <sheetName val="OTP_Projection26"/>
      <sheetName val="Monthly_Loading26"/>
      <sheetName val="OTP_Source26"/>
      <sheetName val="FA14_Detail26"/>
      <sheetName val="Lynne's_Tab26"/>
      <sheetName val="SU14_Detail26"/>
      <sheetName val="Category_Callouts26"/>
      <sheetName val="Cap_Scenario26"/>
      <sheetName val="Subcapacity_outsoles_26"/>
      <sheetName val="PA_Scenarios26"/>
      <sheetName val="PA_Transfer_Summary26"/>
      <sheetName val="Monthly_Loading_-Summary26"/>
      <sheetName val="Monthly_Loading-PB_Data26"/>
      <sheetName val="Monthly_Loading-PrevOTP_Data26"/>
      <sheetName val="Data_Refresh26"/>
      <sheetName val="SUMM_LOADING_25"/>
      <sheetName val="Raw_Data_Sheet25"/>
      <sheetName val="IA_125"/>
      <sheetName val="DATA_MOLD_NEW_BALANCE25"/>
      <sheetName val="SSAI_IP_ORDER25"/>
      <sheetName val="Cutting_Dies_25"/>
      <sheetName val="Indirect_List11"/>
      <sheetName val="BASIS_DATA11"/>
      <sheetName val="SUBCONT_STATUS11"/>
      <sheetName val="CTTR_Transfer_Type34"/>
      <sheetName val="GFP_Type34"/>
      <sheetName val="GFP_Reasons34"/>
      <sheetName val="LAST_YEARS_CS33"/>
      <sheetName val="Fct_Sum_2_SeasonView30"/>
      <sheetName val="F1_Scenarios30"/>
      <sheetName val="Fct_Summary30"/>
      <sheetName val="Chris'_Tab30"/>
      <sheetName val="OTP_Summary_Result30"/>
      <sheetName val="OTP_Projection30"/>
      <sheetName val="Monthly_Loading30"/>
      <sheetName val="OTP_Source30"/>
      <sheetName val="FA14_Detail30"/>
      <sheetName val="Lynne's_Tab30"/>
      <sheetName val="SU14_Detail30"/>
      <sheetName val="Category_Callouts30"/>
      <sheetName val="Cap_Scenario30"/>
      <sheetName val="Subcapacity_outsoles_30"/>
      <sheetName val="PA_Scenarios30"/>
      <sheetName val="PA_Transfer_Summary30"/>
      <sheetName val="Monthly_Loading_-Summary30"/>
      <sheetName val="Monthly_Loading-PB_Data30"/>
      <sheetName val="Monthly_Loading-PrevOTP_Data30"/>
      <sheetName val="Data_Refresh30"/>
      <sheetName val="SUMM_LOADING_29"/>
      <sheetName val="Raw_Data_Sheet29"/>
      <sheetName val="IA_129"/>
      <sheetName val="DATA_MOLD_NEW_BALANCE29"/>
      <sheetName val="SSAI_IP_ORDER29"/>
      <sheetName val="Cutting_Dies_29"/>
      <sheetName val="Indirect_List15"/>
      <sheetName val="BASIS_DATA15"/>
      <sheetName val="SUBCONT_STATUS15"/>
      <sheetName val="CTTR_Transfer_Type35"/>
      <sheetName val="GFP_Type35"/>
      <sheetName val="GFP_Reasons35"/>
      <sheetName val="LAST_YEARS_CS34"/>
      <sheetName val="Fct_Sum_2_SeasonView31"/>
      <sheetName val="F1_Scenarios31"/>
      <sheetName val="Fct_Summary31"/>
      <sheetName val="Chris'_Tab31"/>
      <sheetName val="OTP_Summary_Result31"/>
      <sheetName val="OTP_Projection31"/>
      <sheetName val="Monthly_Loading31"/>
      <sheetName val="OTP_Source31"/>
      <sheetName val="FA14_Detail31"/>
      <sheetName val="Lynne's_Tab31"/>
      <sheetName val="SU14_Detail31"/>
      <sheetName val="Category_Callouts31"/>
      <sheetName val="Cap_Scenario31"/>
      <sheetName val="Subcapacity_outsoles_31"/>
      <sheetName val="PA_Scenarios31"/>
      <sheetName val="PA_Transfer_Summary31"/>
      <sheetName val="Monthly_Loading_-Summary31"/>
      <sheetName val="Monthly_Loading-PB_Data31"/>
      <sheetName val="Monthly_Loading-PrevOTP_Data31"/>
      <sheetName val="Data_Refresh31"/>
      <sheetName val="SUMM_LOADING_30"/>
      <sheetName val="Raw_Data_Sheet30"/>
      <sheetName val="IA_130"/>
      <sheetName val="DATA_MOLD_NEW_BALANCE30"/>
      <sheetName val="SSAI_IP_ORDER30"/>
      <sheetName val="Cutting_Dies_30"/>
      <sheetName val="Indirect_List16"/>
      <sheetName val="BASIS_DATA16"/>
      <sheetName val="SUBCONT_STATUS16"/>
      <sheetName val="CTTR_Transfer_Type44"/>
      <sheetName val="GFP_Type44"/>
      <sheetName val="GFP_Reasons44"/>
      <sheetName val="LAST_YEARS_CS43"/>
      <sheetName val="Fct_Sum_2_SeasonView40"/>
      <sheetName val="F1_Scenarios40"/>
      <sheetName val="Fct_Summary40"/>
      <sheetName val="Chris'_Tab40"/>
      <sheetName val="OTP_Summary_Result40"/>
      <sheetName val="OTP_Projection40"/>
      <sheetName val="Monthly_Loading40"/>
      <sheetName val="OTP_Source40"/>
      <sheetName val="FA14_Detail40"/>
      <sheetName val="Lynne's_Tab40"/>
      <sheetName val="SU14_Detail40"/>
      <sheetName val="Category_Callouts40"/>
      <sheetName val="Cap_Scenario40"/>
      <sheetName val="Subcapacity_outsoles_40"/>
      <sheetName val="PA_Scenarios40"/>
      <sheetName val="PA_Transfer_Summary40"/>
      <sheetName val="Monthly_Loading_-Summary40"/>
      <sheetName val="Monthly_Loading-PB_Data40"/>
      <sheetName val="Monthly_Loading-PrevOTP_Data40"/>
      <sheetName val="Data_Refresh40"/>
      <sheetName val="SUMM_LOADING_39"/>
      <sheetName val="Raw_Data_Sheet39"/>
      <sheetName val="IA_139"/>
      <sheetName val="DATA_MOLD_NEW_BALANCE39"/>
      <sheetName val="SSAI_IP_ORDER39"/>
      <sheetName val="Cutting_Dies_39"/>
      <sheetName val="Indirect_List25"/>
      <sheetName val="BASIS_DATA25"/>
      <sheetName val="SUBCONT_STATUS25"/>
      <sheetName val="CTTR_Transfer_Type42"/>
      <sheetName val="GFP_Type42"/>
      <sheetName val="GFP_Reasons42"/>
      <sheetName val="LAST_YEARS_CS41"/>
      <sheetName val="Fct_Sum_2_SeasonView38"/>
      <sheetName val="F1_Scenarios38"/>
      <sheetName val="Fct_Summary38"/>
      <sheetName val="Chris'_Tab38"/>
      <sheetName val="OTP_Summary_Result38"/>
      <sheetName val="OTP_Projection38"/>
      <sheetName val="Monthly_Loading38"/>
      <sheetName val="OTP_Source38"/>
      <sheetName val="FA14_Detail38"/>
      <sheetName val="Lynne's_Tab38"/>
      <sheetName val="SU14_Detail38"/>
      <sheetName val="Category_Callouts38"/>
      <sheetName val="Cap_Scenario38"/>
      <sheetName val="Subcapacity_outsoles_38"/>
      <sheetName val="PA_Scenarios38"/>
      <sheetName val="PA_Transfer_Summary38"/>
      <sheetName val="Monthly_Loading_-Summary38"/>
      <sheetName val="Monthly_Loading-PB_Data38"/>
      <sheetName val="Monthly_Loading-PrevOTP_Data38"/>
      <sheetName val="Data_Refresh38"/>
      <sheetName val="SUMM_LOADING_37"/>
      <sheetName val="Raw_Data_Sheet37"/>
      <sheetName val="IA_137"/>
      <sheetName val="DATA_MOLD_NEW_BALANCE37"/>
      <sheetName val="SSAI_IP_ORDER37"/>
      <sheetName val="Cutting_Dies_37"/>
      <sheetName val="Indirect_List23"/>
      <sheetName val="BASIS_DATA23"/>
      <sheetName val="SUBCONT_STATUS23"/>
      <sheetName val="CTTR_Transfer_Type39"/>
      <sheetName val="GFP_Type39"/>
      <sheetName val="GFP_Reasons39"/>
      <sheetName val="LAST_YEARS_CS38"/>
      <sheetName val="Fct_Sum_2_SeasonView35"/>
      <sheetName val="F1_Scenarios35"/>
      <sheetName val="Fct_Summary35"/>
      <sheetName val="Chris'_Tab35"/>
      <sheetName val="OTP_Summary_Result35"/>
      <sheetName val="OTP_Projection35"/>
      <sheetName val="Monthly_Loading35"/>
      <sheetName val="OTP_Source35"/>
      <sheetName val="FA14_Detail35"/>
      <sheetName val="Lynne's_Tab35"/>
      <sheetName val="SU14_Detail35"/>
      <sheetName val="Category_Callouts35"/>
      <sheetName val="Cap_Scenario35"/>
      <sheetName val="Subcapacity_outsoles_35"/>
      <sheetName val="PA_Scenarios35"/>
      <sheetName val="PA_Transfer_Summary35"/>
      <sheetName val="Monthly_Loading_-Summary35"/>
      <sheetName val="Monthly_Loading-PB_Data35"/>
      <sheetName val="Monthly_Loading-PrevOTP_Data35"/>
      <sheetName val="Data_Refresh35"/>
      <sheetName val="SUMM_LOADING_34"/>
      <sheetName val="Raw_Data_Sheet34"/>
      <sheetName val="IA_134"/>
      <sheetName val="DATA_MOLD_NEW_BALANCE34"/>
      <sheetName val="SSAI_IP_ORDER34"/>
      <sheetName val="Cutting_Dies_34"/>
      <sheetName val="Indirect_List20"/>
      <sheetName val="BASIS_DATA20"/>
      <sheetName val="SUBCONT_STATUS20"/>
      <sheetName val="CTTR_Transfer_Type38"/>
      <sheetName val="GFP_Type38"/>
      <sheetName val="GFP_Reasons38"/>
      <sheetName val="LAST_YEARS_CS37"/>
      <sheetName val="Fct_Sum_2_SeasonView34"/>
      <sheetName val="F1_Scenarios34"/>
      <sheetName val="Fct_Summary34"/>
      <sheetName val="Chris'_Tab34"/>
      <sheetName val="OTP_Summary_Result34"/>
      <sheetName val="OTP_Projection34"/>
      <sheetName val="Monthly_Loading34"/>
      <sheetName val="OTP_Source34"/>
      <sheetName val="FA14_Detail34"/>
      <sheetName val="Lynne's_Tab34"/>
      <sheetName val="SU14_Detail34"/>
      <sheetName val="Category_Callouts34"/>
      <sheetName val="Cap_Scenario34"/>
      <sheetName val="Subcapacity_outsoles_34"/>
      <sheetName val="PA_Scenarios34"/>
      <sheetName val="PA_Transfer_Summary34"/>
      <sheetName val="Monthly_Loading_-Summary34"/>
      <sheetName val="Monthly_Loading-PB_Data34"/>
      <sheetName val="Monthly_Loading-PrevOTP_Data34"/>
      <sheetName val="Data_Refresh34"/>
      <sheetName val="SUMM_LOADING_33"/>
      <sheetName val="Raw_Data_Sheet33"/>
      <sheetName val="IA_133"/>
      <sheetName val="DATA_MOLD_NEW_BALANCE33"/>
      <sheetName val="SSAI_IP_ORDER33"/>
      <sheetName val="Cutting_Dies_33"/>
      <sheetName val="Indirect_List19"/>
      <sheetName val="BASIS_DATA19"/>
      <sheetName val="SUBCONT_STATUS19"/>
      <sheetName val="CTTR_Transfer_Type37"/>
      <sheetName val="GFP_Type37"/>
      <sheetName val="GFP_Reasons37"/>
      <sheetName val="LAST_YEARS_CS36"/>
      <sheetName val="Fct_Sum_2_SeasonView33"/>
      <sheetName val="F1_Scenarios33"/>
      <sheetName val="Fct_Summary33"/>
      <sheetName val="Chris'_Tab33"/>
      <sheetName val="OTP_Summary_Result33"/>
      <sheetName val="OTP_Projection33"/>
      <sheetName val="Monthly_Loading33"/>
      <sheetName val="OTP_Source33"/>
      <sheetName val="FA14_Detail33"/>
      <sheetName val="Lynne's_Tab33"/>
      <sheetName val="SU14_Detail33"/>
      <sheetName val="Category_Callouts33"/>
      <sheetName val="Cap_Scenario33"/>
      <sheetName val="Subcapacity_outsoles_33"/>
      <sheetName val="PA_Scenarios33"/>
      <sheetName val="PA_Transfer_Summary33"/>
      <sheetName val="Monthly_Loading_-Summary33"/>
      <sheetName val="Monthly_Loading-PB_Data33"/>
      <sheetName val="Monthly_Loading-PrevOTP_Data33"/>
      <sheetName val="Data_Refresh33"/>
      <sheetName val="SUMM_LOADING_32"/>
      <sheetName val="Raw_Data_Sheet32"/>
      <sheetName val="IA_132"/>
      <sheetName val="DATA_MOLD_NEW_BALANCE32"/>
      <sheetName val="SSAI_IP_ORDER32"/>
      <sheetName val="Cutting_Dies_32"/>
      <sheetName val="Indirect_List18"/>
      <sheetName val="BASIS_DATA18"/>
      <sheetName val="SUBCONT_STATUS18"/>
      <sheetName val="CTTR_Transfer_Type40"/>
      <sheetName val="GFP_Type40"/>
      <sheetName val="GFP_Reasons40"/>
      <sheetName val="LAST_YEARS_CS39"/>
      <sheetName val="Fct_Sum_2_SeasonView36"/>
      <sheetName val="F1_Scenarios36"/>
      <sheetName val="Fct_Summary36"/>
      <sheetName val="Chris'_Tab36"/>
      <sheetName val="OTP_Summary_Result36"/>
      <sheetName val="OTP_Projection36"/>
      <sheetName val="Monthly_Loading36"/>
      <sheetName val="OTP_Source36"/>
      <sheetName val="FA14_Detail36"/>
      <sheetName val="Lynne's_Tab36"/>
      <sheetName val="SU14_Detail36"/>
      <sheetName val="Category_Callouts36"/>
      <sheetName val="Cap_Scenario36"/>
      <sheetName val="Subcapacity_outsoles_36"/>
      <sheetName val="PA_Scenarios36"/>
      <sheetName val="PA_Transfer_Summary36"/>
      <sheetName val="Monthly_Loading_-Summary36"/>
      <sheetName val="Monthly_Loading-PB_Data36"/>
      <sheetName val="Monthly_Loading-PrevOTP_Data36"/>
      <sheetName val="Data_Refresh36"/>
      <sheetName val="SUMM_LOADING_35"/>
      <sheetName val="Raw_Data_Sheet35"/>
      <sheetName val="IA_135"/>
      <sheetName val="DATA_MOLD_NEW_BALANCE35"/>
      <sheetName val="SSAI_IP_ORDER35"/>
      <sheetName val="Cutting_Dies_35"/>
      <sheetName val="Indirect_List21"/>
      <sheetName val="BASIS_DATA21"/>
      <sheetName val="SUBCONT_STATUS21"/>
      <sheetName val="CTTR_Transfer_Type41"/>
      <sheetName val="GFP_Type41"/>
      <sheetName val="GFP_Reasons41"/>
      <sheetName val="LAST_YEARS_CS40"/>
      <sheetName val="Fct_Sum_2_SeasonView37"/>
      <sheetName val="F1_Scenarios37"/>
      <sheetName val="Fct_Summary37"/>
      <sheetName val="Chris'_Tab37"/>
      <sheetName val="OTP_Summary_Result37"/>
      <sheetName val="OTP_Projection37"/>
      <sheetName val="Monthly_Loading37"/>
      <sheetName val="OTP_Source37"/>
      <sheetName val="FA14_Detail37"/>
      <sheetName val="Lynne's_Tab37"/>
      <sheetName val="SU14_Detail37"/>
      <sheetName val="Category_Callouts37"/>
      <sheetName val="Cap_Scenario37"/>
      <sheetName val="Subcapacity_outsoles_37"/>
      <sheetName val="PA_Scenarios37"/>
      <sheetName val="PA_Transfer_Summary37"/>
      <sheetName val="Monthly_Loading_-Summary37"/>
      <sheetName val="Monthly_Loading-PB_Data37"/>
      <sheetName val="Monthly_Loading-PrevOTP_Data37"/>
      <sheetName val="Data_Refresh37"/>
      <sheetName val="SUMM_LOADING_36"/>
      <sheetName val="Raw_Data_Sheet36"/>
      <sheetName val="IA_136"/>
      <sheetName val="DATA_MOLD_NEW_BALANCE36"/>
      <sheetName val="SSAI_IP_ORDER36"/>
      <sheetName val="Cutting_Dies_36"/>
      <sheetName val="Indirect_List22"/>
      <sheetName val="BASIS_DATA22"/>
      <sheetName val="SUBCONT_STATUS22"/>
      <sheetName val="CTTR_Transfer_Type43"/>
      <sheetName val="GFP_Type43"/>
      <sheetName val="GFP_Reasons43"/>
      <sheetName val="LAST_YEARS_CS42"/>
      <sheetName val="Fct_Sum_2_SeasonView39"/>
      <sheetName val="F1_Scenarios39"/>
      <sheetName val="Fct_Summary39"/>
      <sheetName val="Chris'_Tab39"/>
      <sheetName val="OTP_Summary_Result39"/>
      <sheetName val="OTP_Projection39"/>
      <sheetName val="Monthly_Loading39"/>
      <sheetName val="OTP_Source39"/>
      <sheetName val="FA14_Detail39"/>
      <sheetName val="Lynne's_Tab39"/>
      <sheetName val="SU14_Detail39"/>
      <sheetName val="Category_Callouts39"/>
      <sheetName val="Cap_Scenario39"/>
      <sheetName val="Subcapacity_outsoles_39"/>
      <sheetName val="PA_Scenarios39"/>
      <sheetName val="PA_Transfer_Summary39"/>
      <sheetName val="Monthly_Loading_-Summary39"/>
      <sheetName val="Monthly_Loading-PB_Data39"/>
      <sheetName val="Monthly_Loading-PrevOTP_Data39"/>
      <sheetName val="Data_Refresh39"/>
      <sheetName val="SUMM_LOADING_38"/>
      <sheetName val="Raw_Data_Sheet38"/>
      <sheetName val="IA_138"/>
      <sheetName val="DATA_MOLD_NEW_BALANCE38"/>
      <sheetName val="SSAI_IP_ORDER38"/>
      <sheetName val="Cutting_Dies_38"/>
      <sheetName val="Indirect_List24"/>
      <sheetName val="BASIS_DATA24"/>
      <sheetName val="SUBCONT_STATUS24"/>
      <sheetName val="CTTR_Transfer_Type45"/>
      <sheetName val="GFP_Type45"/>
      <sheetName val="GFP_Reasons45"/>
      <sheetName val="LAST_YEARS_CS44"/>
      <sheetName val="Fct_Sum_2_SeasonView41"/>
      <sheetName val="F1_Scenarios41"/>
      <sheetName val="Fct_Summary41"/>
      <sheetName val="Chris'_Tab41"/>
      <sheetName val="OTP_Summary_Result41"/>
      <sheetName val="OTP_Projection41"/>
      <sheetName val="Monthly_Loading41"/>
      <sheetName val="OTP_Source41"/>
      <sheetName val="FA14_Detail41"/>
      <sheetName val="Lynne's_Tab41"/>
      <sheetName val="SU14_Detail41"/>
      <sheetName val="Category_Callouts41"/>
      <sheetName val="Cap_Scenario41"/>
      <sheetName val="Subcapacity_outsoles_41"/>
      <sheetName val="PA_Scenarios41"/>
      <sheetName val="PA_Transfer_Summary41"/>
      <sheetName val="Monthly_Loading_-Summary41"/>
      <sheetName val="Monthly_Loading-PB_Data41"/>
      <sheetName val="Monthly_Loading-PrevOTP_Data41"/>
      <sheetName val="Data_Refresh41"/>
      <sheetName val="SUMM_LOADING_40"/>
      <sheetName val="Raw_Data_Sheet40"/>
      <sheetName val="IA_140"/>
      <sheetName val="DATA_MOLD_NEW_BALANCE40"/>
      <sheetName val="SSAI_IP_ORDER40"/>
      <sheetName val="Cutting_Dies_40"/>
      <sheetName val="Indirect_List26"/>
      <sheetName val="BASIS_DATA26"/>
      <sheetName val="SUBCONT_STATUS26"/>
      <sheetName val="CTTR_Transfer_Type46"/>
      <sheetName val="GFP_Type46"/>
      <sheetName val="GFP_Reasons46"/>
      <sheetName val="LAST_YEARS_CS45"/>
      <sheetName val="Fct_Sum_2_SeasonView42"/>
      <sheetName val="F1_Scenarios42"/>
      <sheetName val="Fct_Summary42"/>
      <sheetName val="Chris'_Tab42"/>
      <sheetName val="OTP_Summary_Result42"/>
      <sheetName val="OTP_Projection42"/>
      <sheetName val="Monthly_Loading42"/>
      <sheetName val="OTP_Source42"/>
      <sheetName val="FA14_Detail42"/>
      <sheetName val="Lynne's_Tab42"/>
      <sheetName val="SU14_Detail42"/>
      <sheetName val="Category_Callouts42"/>
      <sheetName val="Cap_Scenario42"/>
      <sheetName val="Subcapacity_outsoles_42"/>
      <sheetName val="PA_Scenarios42"/>
      <sheetName val="PA_Transfer_Summary42"/>
      <sheetName val="Monthly_Loading_-Summary42"/>
      <sheetName val="Monthly_Loading-PB_Data42"/>
      <sheetName val="Monthly_Loading-PrevOTP_Data42"/>
      <sheetName val="Data_Refresh42"/>
      <sheetName val="SUMM_LOADING_41"/>
      <sheetName val="Raw_Data_Sheet41"/>
      <sheetName val="IA_141"/>
      <sheetName val="DATA_MOLD_NEW_BALANCE41"/>
      <sheetName val="SSAI_IP_ORDER41"/>
      <sheetName val="Cutting_Dies_41"/>
      <sheetName val="Indirect_List27"/>
      <sheetName val="BASIS_DATA27"/>
      <sheetName val="SUBCONT_STATUS27"/>
      <sheetName val="CTTR_Transfer_Type47"/>
      <sheetName val="GFP_Type47"/>
      <sheetName val="GFP_Reasons47"/>
      <sheetName val="LAST_YEARS_CS46"/>
      <sheetName val="Fct_Sum_2_SeasonView43"/>
      <sheetName val="F1_Scenarios43"/>
      <sheetName val="Fct_Summary43"/>
      <sheetName val="Chris'_Tab43"/>
      <sheetName val="OTP_Summary_Result43"/>
      <sheetName val="OTP_Projection43"/>
      <sheetName val="Monthly_Loading43"/>
      <sheetName val="OTP_Source43"/>
      <sheetName val="FA14_Detail43"/>
      <sheetName val="Lynne's_Tab43"/>
      <sheetName val="SU14_Detail43"/>
      <sheetName val="Category_Callouts43"/>
      <sheetName val="Cap_Scenario43"/>
      <sheetName val="Subcapacity_outsoles_43"/>
      <sheetName val="PA_Scenarios43"/>
      <sheetName val="PA_Transfer_Summary43"/>
      <sheetName val="Monthly_Loading_-Summary43"/>
      <sheetName val="Monthly_Loading-PB_Data43"/>
      <sheetName val="Monthly_Loading-PrevOTP_Data43"/>
      <sheetName val="Data_Refresh43"/>
      <sheetName val="SUMM_LOADING_42"/>
      <sheetName val="Raw_Data_Sheet42"/>
      <sheetName val="IA_142"/>
      <sheetName val="DATA_MOLD_NEW_BALANCE42"/>
      <sheetName val="SSAI_IP_ORDER42"/>
      <sheetName val="Cutting_Dies_42"/>
      <sheetName val="Indirect_List28"/>
      <sheetName val="BASIS_DATA28"/>
      <sheetName val="SUBCONT_STATUS28"/>
      <sheetName val="CTTR_Transfer_Type65"/>
      <sheetName val="GFP_Type65"/>
      <sheetName val="GFP_Reasons65"/>
      <sheetName val="LAST_YEARS_CS64"/>
      <sheetName val="Fct_Sum_2_SeasonView61"/>
      <sheetName val="F1_Scenarios61"/>
      <sheetName val="Fct_Summary61"/>
      <sheetName val="Chris'_Tab61"/>
      <sheetName val="OTP_Summary_Result61"/>
      <sheetName val="OTP_Projection61"/>
      <sheetName val="Monthly_Loading61"/>
      <sheetName val="OTP_Source61"/>
      <sheetName val="FA14_Detail61"/>
      <sheetName val="Lynne's_Tab61"/>
      <sheetName val="SU14_Detail61"/>
      <sheetName val="Category_Callouts61"/>
      <sheetName val="Cap_Scenario61"/>
      <sheetName val="Subcapacity_outsoles_61"/>
      <sheetName val="PA_Scenarios61"/>
      <sheetName val="PA_Transfer_Summary61"/>
      <sheetName val="Monthly_Loading_-Summary61"/>
      <sheetName val="Monthly_Loading-PB_Data61"/>
      <sheetName val="Monthly_Loading-PrevOTP_Data61"/>
      <sheetName val="Data_Refresh61"/>
      <sheetName val="SUMM_LOADING_60"/>
      <sheetName val="Raw_Data_Sheet60"/>
      <sheetName val="IA_160"/>
      <sheetName val="DATA_MOLD_NEW_BALANCE60"/>
      <sheetName val="SSAI_IP_ORDER60"/>
      <sheetName val="Cutting_Dies_60"/>
      <sheetName val="Indirect_List46"/>
      <sheetName val="BASIS_DATA46"/>
      <sheetName val="SUBCONT_STATUS46"/>
      <sheetName val="CTTR_Transfer_Type61"/>
      <sheetName val="GFP_Type61"/>
      <sheetName val="GFP_Reasons61"/>
      <sheetName val="LAST_YEARS_CS60"/>
      <sheetName val="Fct_Sum_2_SeasonView57"/>
      <sheetName val="F1_Scenarios57"/>
      <sheetName val="Fct_Summary57"/>
      <sheetName val="Chris'_Tab57"/>
      <sheetName val="OTP_Summary_Result57"/>
      <sheetName val="OTP_Projection57"/>
      <sheetName val="Monthly_Loading57"/>
      <sheetName val="OTP_Source57"/>
      <sheetName val="FA14_Detail57"/>
      <sheetName val="Lynne's_Tab57"/>
      <sheetName val="SU14_Detail57"/>
      <sheetName val="Category_Callouts57"/>
      <sheetName val="Cap_Scenario57"/>
      <sheetName val="Subcapacity_outsoles_57"/>
      <sheetName val="PA_Scenarios57"/>
      <sheetName val="PA_Transfer_Summary57"/>
      <sheetName val="Monthly_Loading_-Summary57"/>
      <sheetName val="Monthly_Loading-PB_Data57"/>
      <sheetName val="Monthly_Loading-PrevOTP_Data57"/>
      <sheetName val="Data_Refresh57"/>
      <sheetName val="SUMM_LOADING_56"/>
      <sheetName val="Raw_Data_Sheet56"/>
      <sheetName val="IA_156"/>
      <sheetName val="DATA_MOLD_NEW_BALANCE56"/>
      <sheetName val="SSAI_IP_ORDER56"/>
      <sheetName val="Cutting_Dies_56"/>
      <sheetName val="Indirect_List42"/>
      <sheetName val="BASIS_DATA42"/>
      <sheetName val="SUBCONT_STATUS42"/>
      <sheetName val="CTTR_Transfer_Type60"/>
      <sheetName val="GFP_Type60"/>
      <sheetName val="GFP_Reasons60"/>
      <sheetName val="LAST_YEARS_CS59"/>
      <sheetName val="Fct_Sum_2_SeasonView56"/>
      <sheetName val="F1_Scenarios56"/>
      <sheetName val="Fct_Summary56"/>
      <sheetName val="Chris'_Tab56"/>
      <sheetName val="OTP_Summary_Result56"/>
      <sheetName val="OTP_Projection56"/>
      <sheetName val="Monthly_Loading56"/>
      <sheetName val="OTP_Source56"/>
      <sheetName val="FA14_Detail56"/>
      <sheetName val="Lynne's_Tab56"/>
      <sheetName val="SU14_Detail56"/>
      <sheetName val="Category_Callouts56"/>
      <sheetName val="Cap_Scenario56"/>
      <sheetName val="Subcapacity_outsoles_56"/>
      <sheetName val="PA_Scenarios56"/>
      <sheetName val="PA_Transfer_Summary56"/>
      <sheetName val="Monthly_Loading_-Summary56"/>
      <sheetName val="Monthly_Loading-PB_Data56"/>
      <sheetName val="Monthly_Loading-PrevOTP_Data56"/>
      <sheetName val="Data_Refresh56"/>
      <sheetName val="SUMM_LOADING_55"/>
      <sheetName val="Raw_Data_Sheet55"/>
      <sheetName val="IA_155"/>
      <sheetName val="DATA_MOLD_NEW_BALANCE55"/>
      <sheetName val="SSAI_IP_ORDER55"/>
      <sheetName val="Cutting_Dies_55"/>
      <sheetName val="Indirect_List41"/>
      <sheetName val="BASIS_DATA41"/>
      <sheetName val="SUBCONT_STATUS41"/>
      <sheetName val="CTTR_Transfer_Type58"/>
      <sheetName val="GFP_Type58"/>
      <sheetName val="GFP_Reasons58"/>
      <sheetName val="LAST_YEARS_CS57"/>
      <sheetName val="Fct_Sum_2_SeasonView54"/>
      <sheetName val="F1_Scenarios54"/>
      <sheetName val="Fct_Summary54"/>
      <sheetName val="Chris'_Tab54"/>
      <sheetName val="OTP_Summary_Result54"/>
      <sheetName val="OTP_Projection54"/>
      <sheetName val="Monthly_Loading54"/>
      <sheetName val="OTP_Source54"/>
      <sheetName val="FA14_Detail54"/>
      <sheetName val="Lynne's_Tab54"/>
      <sheetName val="SU14_Detail54"/>
      <sheetName val="Category_Callouts54"/>
      <sheetName val="Cap_Scenario54"/>
      <sheetName val="Subcapacity_outsoles_54"/>
      <sheetName val="PA_Scenarios54"/>
      <sheetName val="PA_Transfer_Summary54"/>
      <sheetName val="Monthly_Loading_-Summary54"/>
      <sheetName val="Monthly_Loading-PB_Data54"/>
      <sheetName val="Monthly_Loading-PrevOTP_Data54"/>
      <sheetName val="Data_Refresh54"/>
      <sheetName val="SUMM_LOADING_53"/>
      <sheetName val="Raw_Data_Sheet53"/>
      <sheetName val="IA_153"/>
      <sheetName val="DATA_MOLD_NEW_BALANCE53"/>
      <sheetName val="SSAI_IP_ORDER53"/>
      <sheetName val="Cutting_Dies_53"/>
      <sheetName val="Indirect_List39"/>
      <sheetName val="BASIS_DATA39"/>
      <sheetName val="SUBCONT_STATUS39"/>
      <sheetName val="CTTR_Transfer_Type57"/>
      <sheetName val="GFP_Type57"/>
      <sheetName val="GFP_Reasons57"/>
      <sheetName val="LAST_YEARS_CS56"/>
      <sheetName val="Fct_Sum_2_SeasonView53"/>
      <sheetName val="F1_Scenarios53"/>
      <sheetName val="Fct_Summary53"/>
      <sheetName val="Chris'_Tab53"/>
      <sheetName val="OTP_Summary_Result53"/>
      <sheetName val="OTP_Projection53"/>
      <sheetName val="Monthly_Loading53"/>
      <sheetName val="OTP_Source53"/>
      <sheetName val="FA14_Detail53"/>
      <sheetName val="Lynne's_Tab53"/>
      <sheetName val="SU14_Detail53"/>
      <sheetName val="Category_Callouts53"/>
      <sheetName val="Cap_Scenario53"/>
      <sheetName val="Subcapacity_outsoles_53"/>
      <sheetName val="PA_Scenarios53"/>
      <sheetName val="PA_Transfer_Summary53"/>
      <sheetName val="Monthly_Loading_-Summary53"/>
      <sheetName val="Monthly_Loading-PB_Data53"/>
      <sheetName val="Monthly_Loading-PrevOTP_Data53"/>
      <sheetName val="Data_Refresh53"/>
      <sheetName val="SUMM_LOADING_52"/>
      <sheetName val="Raw_Data_Sheet52"/>
      <sheetName val="IA_152"/>
      <sheetName val="DATA_MOLD_NEW_BALANCE52"/>
      <sheetName val="SSAI_IP_ORDER52"/>
      <sheetName val="Cutting_Dies_52"/>
      <sheetName val="Indirect_List38"/>
      <sheetName val="BASIS_DATA38"/>
      <sheetName val="SUBCONT_STATUS38"/>
      <sheetName val="CTTR_Transfer_Type55"/>
      <sheetName val="GFP_Type55"/>
      <sheetName val="GFP_Reasons55"/>
      <sheetName val="LAST_YEARS_CS54"/>
      <sheetName val="Fct_Sum_2_SeasonView51"/>
      <sheetName val="F1_Scenarios51"/>
      <sheetName val="Fct_Summary51"/>
      <sheetName val="Chris'_Tab51"/>
      <sheetName val="OTP_Summary_Result51"/>
      <sheetName val="OTP_Projection51"/>
      <sheetName val="Monthly_Loading51"/>
      <sheetName val="OTP_Source51"/>
      <sheetName val="FA14_Detail51"/>
      <sheetName val="Lynne's_Tab51"/>
      <sheetName val="SU14_Detail51"/>
      <sheetName val="Category_Callouts51"/>
      <sheetName val="Cap_Scenario51"/>
      <sheetName val="Subcapacity_outsoles_51"/>
      <sheetName val="PA_Scenarios51"/>
      <sheetName val="PA_Transfer_Summary51"/>
      <sheetName val="Monthly_Loading_-Summary51"/>
      <sheetName val="Monthly_Loading-PB_Data51"/>
      <sheetName val="Monthly_Loading-PrevOTP_Data51"/>
      <sheetName val="Data_Refresh51"/>
      <sheetName val="SUMM_LOADING_50"/>
      <sheetName val="Raw_Data_Sheet50"/>
      <sheetName val="IA_150"/>
      <sheetName val="DATA_MOLD_NEW_BALANCE50"/>
      <sheetName val="SSAI_IP_ORDER50"/>
      <sheetName val="Cutting_Dies_50"/>
      <sheetName val="Indirect_List36"/>
      <sheetName val="BASIS_DATA36"/>
      <sheetName val="SUBCONT_STATUS36"/>
      <sheetName val="CTTR_Transfer_Type52"/>
      <sheetName val="GFP_Type52"/>
      <sheetName val="GFP_Reasons52"/>
      <sheetName val="LAST_YEARS_CS51"/>
      <sheetName val="Fct_Sum_2_SeasonView48"/>
      <sheetName val="F1_Scenarios48"/>
      <sheetName val="Fct_Summary48"/>
      <sheetName val="Chris'_Tab48"/>
      <sheetName val="OTP_Summary_Result48"/>
      <sheetName val="OTP_Projection48"/>
      <sheetName val="Monthly_Loading48"/>
      <sheetName val="OTP_Source48"/>
      <sheetName val="FA14_Detail48"/>
      <sheetName val="Lynne's_Tab48"/>
      <sheetName val="SU14_Detail48"/>
      <sheetName val="Category_Callouts48"/>
      <sheetName val="Cap_Scenario48"/>
      <sheetName val="Subcapacity_outsoles_48"/>
      <sheetName val="PA_Scenarios48"/>
      <sheetName val="PA_Transfer_Summary48"/>
      <sheetName val="Monthly_Loading_-Summary48"/>
      <sheetName val="Monthly_Loading-PB_Data48"/>
      <sheetName val="Monthly_Loading-PrevOTP_Data48"/>
      <sheetName val="Data_Refresh48"/>
      <sheetName val="SUMM_LOADING_47"/>
      <sheetName val="Raw_Data_Sheet47"/>
      <sheetName val="IA_147"/>
      <sheetName val="DATA_MOLD_NEW_BALANCE47"/>
      <sheetName val="SSAI_IP_ORDER47"/>
      <sheetName val="Cutting_Dies_47"/>
      <sheetName val="Indirect_List33"/>
      <sheetName val="BASIS_DATA33"/>
      <sheetName val="SUBCONT_STATUS33"/>
      <sheetName val="CTTR_Transfer_Type51"/>
      <sheetName val="GFP_Type51"/>
      <sheetName val="GFP_Reasons51"/>
      <sheetName val="LAST_YEARS_CS50"/>
      <sheetName val="Fct_Sum_2_SeasonView47"/>
      <sheetName val="F1_Scenarios47"/>
      <sheetName val="Fct_Summary47"/>
      <sheetName val="Chris'_Tab47"/>
      <sheetName val="OTP_Summary_Result47"/>
      <sheetName val="OTP_Projection47"/>
      <sheetName val="Monthly_Loading47"/>
      <sheetName val="OTP_Source47"/>
      <sheetName val="FA14_Detail47"/>
      <sheetName val="Lynne's_Tab47"/>
      <sheetName val="SU14_Detail47"/>
      <sheetName val="Category_Callouts47"/>
      <sheetName val="Cap_Scenario47"/>
      <sheetName val="Subcapacity_outsoles_47"/>
      <sheetName val="PA_Scenarios47"/>
      <sheetName val="PA_Transfer_Summary47"/>
      <sheetName val="Monthly_Loading_-Summary47"/>
      <sheetName val="Monthly_Loading-PB_Data47"/>
      <sheetName val="Monthly_Loading-PrevOTP_Data47"/>
      <sheetName val="Data_Refresh47"/>
      <sheetName val="SUMM_LOADING_46"/>
      <sheetName val="Raw_Data_Sheet46"/>
      <sheetName val="IA_146"/>
      <sheetName val="DATA_MOLD_NEW_BALANCE46"/>
      <sheetName val="SSAI_IP_ORDER46"/>
      <sheetName val="Cutting_Dies_46"/>
      <sheetName val="Indirect_List32"/>
      <sheetName val="BASIS_DATA32"/>
      <sheetName val="SUBCONT_STATUS32"/>
      <sheetName val="CTTR_Transfer_Type48"/>
      <sheetName val="GFP_Type48"/>
      <sheetName val="GFP_Reasons48"/>
      <sheetName val="LAST_YEARS_CS47"/>
      <sheetName val="Fct_Sum_2_SeasonView44"/>
      <sheetName val="F1_Scenarios44"/>
      <sheetName val="Fct_Summary44"/>
      <sheetName val="Chris'_Tab44"/>
      <sheetName val="OTP_Summary_Result44"/>
      <sheetName val="OTP_Projection44"/>
      <sheetName val="Monthly_Loading44"/>
      <sheetName val="OTP_Source44"/>
      <sheetName val="FA14_Detail44"/>
      <sheetName val="Lynne's_Tab44"/>
      <sheetName val="SU14_Detail44"/>
      <sheetName val="Category_Callouts44"/>
      <sheetName val="Cap_Scenario44"/>
      <sheetName val="Subcapacity_outsoles_44"/>
      <sheetName val="PA_Scenarios44"/>
      <sheetName val="PA_Transfer_Summary44"/>
      <sheetName val="Monthly_Loading_-Summary44"/>
      <sheetName val="Monthly_Loading-PB_Data44"/>
      <sheetName val="Monthly_Loading-PrevOTP_Data44"/>
      <sheetName val="Data_Refresh44"/>
      <sheetName val="SUMM_LOADING_43"/>
      <sheetName val="Raw_Data_Sheet43"/>
      <sheetName val="IA_143"/>
      <sheetName val="DATA_MOLD_NEW_BALANCE43"/>
      <sheetName val="SSAI_IP_ORDER43"/>
      <sheetName val="Cutting_Dies_43"/>
      <sheetName val="Indirect_List29"/>
      <sheetName val="BASIS_DATA29"/>
      <sheetName val="SUBCONT_STATUS29"/>
      <sheetName val="CTTR_Transfer_Type49"/>
      <sheetName val="GFP_Type49"/>
      <sheetName val="GFP_Reasons49"/>
      <sheetName val="LAST_YEARS_CS48"/>
      <sheetName val="Fct_Sum_2_SeasonView45"/>
      <sheetName val="F1_Scenarios45"/>
      <sheetName val="Fct_Summary45"/>
      <sheetName val="Chris'_Tab45"/>
      <sheetName val="OTP_Summary_Result45"/>
      <sheetName val="OTP_Projection45"/>
      <sheetName val="Monthly_Loading45"/>
      <sheetName val="OTP_Source45"/>
      <sheetName val="FA14_Detail45"/>
      <sheetName val="Lynne's_Tab45"/>
      <sheetName val="SU14_Detail45"/>
      <sheetName val="Category_Callouts45"/>
      <sheetName val="Cap_Scenario45"/>
      <sheetName val="Subcapacity_outsoles_45"/>
      <sheetName val="PA_Scenarios45"/>
      <sheetName val="PA_Transfer_Summary45"/>
      <sheetName val="Monthly_Loading_-Summary45"/>
      <sheetName val="Monthly_Loading-PB_Data45"/>
      <sheetName val="Monthly_Loading-PrevOTP_Data45"/>
      <sheetName val="Data_Refresh45"/>
      <sheetName val="SUMM_LOADING_44"/>
      <sheetName val="Raw_Data_Sheet44"/>
      <sheetName val="IA_144"/>
      <sheetName val="DATA_MOLD_NEW_BALANCE44"/>
      <sheetName val="SSAI_IP_ORDER44"/>
      <sheetName val="Cutting_Dies_44"/>
      <sheetName val="Indirect_List30"/>
      <sheetName val="BASIS_DATA30"/>
      <sheetName val="SUBCONT_STATUS30"/>
      <sheetName val="CTTR_Transfer_Type50"/>
      <sheetName val="GFP_Type50"/>
      <sheetName val="GFP_Reasons50"/>
      <sheetName val="LAST_YEARS_CS49"/>
      <sheetName val="Fct_Sum_2_SeasonView46"/>
      <sheetName val="F1_Scenarios46"/>
      <sheetName val="Fct_Summary46"/>
      <sheetName val="Chris'_Tab46"/>
      <sheetName val="OTP_Summary_Result46"/>
      <sheetName val="OTP_Projection46"/>
      <sheetName val="Monthly_Loading46"/>
      <sheetName val="OTP_Source46"/>
      <sheetName val="FA14_Detail46"/>
      <sheetName val="Lynne's_Tab46"/>
      <sheetName val="SU14_Detail46"/>
      <sheetName val="Category_Callouts46"/>
      <sheetName val="Cap_Scenario46"/>
      <sheetName val="Subcapacity_outsoles_46"/>
      <sheetName val="PA_Scenarios46"/>
      <sheetName val="PA_Transfer_Summary46"/>
      <sheetName val="Monthly_Loading_-Summary46"/>
      <sheetName val="Monthly_Loading-PB_Data46"/>
      <sheetName val="Monthly_Loading-PrevOTP_Data46"/>
      <sheetName val="Data_Refresh46"/>
      <sheetName val="SUMM_LOADING_45"/>
      <sheetName val="Raw_Data_Sheet45"/>
      <sheetName val="IA_145"/>
      <sheetName val="DATA_MOLD_NEW_BALANCE45"/>
      <sheetName val="SSAI_IP_ORDER45"/>
      <sheetName val="Cutting_Dies_45"/>
      <sheetName val="Indirect_List31"/>
      <sheetName val="BASIS_DATA31"/>
      <sheetName val="SUBCONT_STATUS31"/>
      <sheetName val="CTTR_Transfer_Type53"/>
      <sheetName val="GFP_Type53"/>
      <sheetName val="GFP_Reasons53"/>
      <sheetName val="LAST_YEARS_CS52"/>
      <sheetName val="Fct_Sum_2_SeasonView49"/>
      <sheetName val="F1_Scenarios49"/>
      <sheetName val="Fct_Summary49"/>
      <sheetName val="Chris'_Tab49"/>
      <sheetName val="OTP_Summary_Result49"/>
      <sheetName val="OTP_Projection49"/>
      <sheetName val="Monthly_Loading49"/>
      <sheetName val="OTP_Source49"/>
      <sheetName val="FA14_Detail49"/>
      <sheetName val="Lynne's_Tab49"/>
      <sheetName val="SU14_Detail49"/>
      <sheetName val="Category_Callouts49"/>
      <sheetName val="Cap_Scenario49"/>
      <sheetName val="Subcapacity_outsoles_49"/>
      <sheetName val="PA_Scenarios49"/>
      <sheetName val="PA_Transfer_Summary49"/>
      <sheetName val="Monthly_Loading_-Summary49"/>
      <sheetName val="Monthly_Loading-PB_Data49"/>
      <sheetName val="Monthly_Loading-PrevOTP_Data49"/>
      <sheetName val="Data_Refresh49"/>
      <sheetName val="SUMM_LOADING_48"/>
      <sheetName val="Raw_Data_Sheet48"/>
      <sheetName val="IA_148"/>
      <sheetName val="DATA_MOLD_NEW_BALANCE48"/>
      <sheetName val="SSAI_IP_ORDER48"/>
      <sheetName val="Cutting_Dies_48"/>
      <sheetName val="Indirect_List34"/>
      <sheetName val="BASIS_DATA34"/>
      <sheetName val="SUBCONT_STATUS34"/>
      <sheetName val="CTTR_Transfer_Type54"/>
      <sheetName val="GFP_Type54"/>
      <sheetName val="GFP_Reasons54"/>
      <sheetName val="LAST_YEARS_CS53"/>
      <sheetName val="Fct_Sum_2_SeasonView50"/>
      <sheetName val="F1_Scenarios50"/>
      <sheetName val="Fct_Summary50"/>
      <sheetName val="Chris'_Tab50"/>
      <sheetName val="OTP_Summary_Result50"/>
      <sheetName val="OTP_Projection50"/>
      <sheetName val="Monthly_Loading50"/>
      <sheetName val="OTP_Source50"/>
      <sheetName val="FA14_Detail50"/>
      <sheetName val="Lynne's_Tab50"/>
      <sheetName val="SU14_Detail50"/>
      <sheetName val="Category_Callouts50"/>
      <sheetName val="Cap_Scenario50"/>
      <sheetName val="Subcapacity_outsoles_50"/>
      <sheetName val="PA_Scenarios50"/>
      <sheetName val="PA_Transfer_Summary50"/>
      <sheetName val="Monthly_Loading_-Summary50"/>
      <sheetName val="Monthly_Loading-PB_Data50"/>
      <sheetName val="Monthly_Loading-PrevOTP_Data50"/>
      <sheetName val="Data_Refresh50"/>
      <sheetName val="SUMM_LOADING_49"/>
      <sheetName val="Raw_Data_Sheet49"/>
      <sheetName val="IA_149"/>
      <sheetName val="DATA_MOLD_NEW_BALANCE49"/>
      <sheetName val="SSAI_IP_ORDER49"/>
      <sheetName val="Cutting_Dies_49"/>
      <sheetName val="Indirect_List35"/>
      <sheetName val="BASIS_DATA35"/>
      <sheetName val="SUBCONT_STATUS35"/>
      <sheetName val="CTTR_Transfer_Type56"/>
      <sheetName val="GFP_Type56"/>
      <sheetName val="GFP_Reasons56"/>
      <sheetName val="LAST_YEARS_CS55"/>
      <sheetName val="Fct_Sum_2_SeasonView52"/>
      <sheetName val="F1_Scenarios52"/>
      <sheetName val="Fct_Summary52"/>
      <sheetName val="Chris'_Tab52"/>
      <sheetName val="OTP_Summary_Result52"/>
      <sheetName val="OTP_Projection52"/>
      <sheetName val="Monthly_Loading52"/>
      <sheetName val="OTP_Source52"/>
      <sheetName val="FA14_Detail52"/>
      <sheetName val="Lynne's_Tab52"/>
      <sheetName val="SU14_Detail52"/>
      <sheetName val="Category_Callouts52"/>
      <sheetName val="Cap_Scenario52"/>
      <sheetName val="Subcapacity_outsoles_52"/>
      <sheetName val="PA_Scenarios52"/>
      <sheetName val="PA_Transfer_Summary52"/>
      <sheetName val="Monthly_Loading_-Summary52"/>
      <sheetName val="Monthly_Loading-PB_Data52"/>
      <sheetName val="Monthly_Loading-PrevOTP_Data52"/>
      <sheetName val="Data_Refresh52"/>
      <sheetName val="SUMM_LOADING_51"/>
      <sheetName val="Raw_Data_Sheet51"/>
      <sheetName val="IA_151"/>
      <sheetName val="DATA_MOLD_NEW_BALANCE51"/>
      <sheetName val="SSAI_IP_ORDER51"/>
      <sheetName val="Cutting_Dies_51"/>
      <sheetName val="Indirect_List37"/>
      <sheetName val="BASIS_DATA37"/>
      <sheetName val="SUBCONT_STATUS37"/>
      <sheetName val="CTTR_Transfer_Type59"/>
      <sheetName val="GFP_Type59"/>
      <sheetName val="GFP_Reasons59"/>
      <sheetName val="LAST_YEARS_CS58"/>
      <sheetName val="Fct_Sum_2_SeasonView55"/>
      <sheetName val="F1_Scenarios55"/>
      <sheetName val="Fct_Summary55"/>
      <sheetName val="Chris'_Tab55"/>
      <sheetName val="OTP_Summary_Result55"/>
      <sheetName val="OTP_Projection55"/>
      <sheetName val="Monthly_Loading55"/>
      <sheetName val="OTP_Source55"/>
      <sheetName val="FA14_Detail55"/>
      <sheetName val="Lynne's_Tab55"/>
      <sheetName val="SU14_Detail55"/>
      <sheetName val="Category_Callouts55"/>
      <sheetName val="Cap_Scenario55"/>
      <sheetName val="Subcapacity_outsoles_55"/>
      <sheetName val="PA_Scenarios55"/>
      <sheetName val="PA_Transfer_Summary55"/>
      <sheetName val="Monthly_Loading_-Summary55"/>
      <sheetName val="Monthly_Loading-PB_Data55"/>
      <sheetName val="Monthly_Loading-PrevOTP_Data55"/>
      <sheetName val="Data_Refresh55"/>
      <sheetName val="SUMM_LOADING_54"/>
      <sheetName val="Raw_Data_Sheet54"/>
      <sheetName val="IA_154"/>
      <sheetName val="DATA_MOLD_NEW_BALANCE54"/>
      <sheetName val="SSAI_IP_ORDER54"/>
      <sheetName val="Cutting_Dies_54"/>
      <sheetName val="Indirect_List40"/>
      <sheetName val="BASIS_DATA40"/>
      <sheetName val="SUBCONT_STATUS40"/>
      <sheetName val="CTTR_Transfer_Type62"/>
      <sheetName val="GFP_Type62"/>
      <sheetName val="GFP_Reasons62"/>
      <sheetName val="LAST_YEARS_CS61"/>
      <sheetName val="Fct_Sum_2_SeasonView58"/>
      <sheetName val="F1_Scenarios58"/>
      <sheetName val="Fct_Summary58"/>
      <sheetName val="Chris'_Tab58"/>
      <sheetName val="OTP_Summary_Result58"/>
      <sheetName val="OTP_Projection58"/>
      <sheetName val="Monthly_Loading58"/>
      <sheetName val="OTP_Source58"/>
      <sheetName val="FA14_Detail58"/>
      <sheetName val="Lynne's_Tab58"/>
      <sheetName val="SU14_Detail58"/>
      <sheetName val="Category_Callouts58"/>
      <sheetName val="Cap_Scenario58"/>
      <sheetName val="Subcapacity_outsoles_58"/>
      <sheetName val="PA_Scenarios58"/>
      <sheetName val="PA_Transfer_Summary58"/>
      <sheetName val="Monthly_Loading_-Summary58"/>
      <sheetName val="Monthly_Loading-PB_Data58"/>
      <sheetName val="Monthly_Loading-PrevOTP_Data58"/>
      <sheetName val="Data_Refresh58"/>
      <sheetName val="SUMM_LOADING_57"/>
      <sheetName val="Raw_Data_Sheet57"/>
      <sheetName val="IA_157"/>
      <sheetName val="DATA_MOLD_NEW_BALANCE57"/>
      <sheetName val="SSAI_IP_ORDER57"/>
      <sheetName val="Cutting_Dies_57"/>
      <sheetName val="Indirect_List43"/>
      <sheetName val="BASIS_DATA43"/>
      <sheetName val="SUBCONT_STATUS43"/>
      <sheetName val="CTTR_Transfer_Type63"/>
      <sheetName val="GFP_Type63"/>
      <sheetName val="GFP_Reasons63"/>
      <sheetName val="LAST_YEARS_CS62"/>
      <sheetName val="Fct_Sum_2_SeasonView59"/>
      <sheetName val="F1_Scenarios59"/>
      <sheetName val="Fct_Summary59"/>
      <sheetName val="Chris'_Tab59"/>
      <sheetName val="OTP_Summary_Result59"/>
      <sheetName val="OTP_Projection59"/>
      <sheetName val="Monthly_Loading59"/>
      <sheetName val="OTP_Source59"/>
      <sheetName val="FA14_Detail59"/>
      <sheetName val="Lynne's_Tab59"/>
      <sheetName val="SU14_Detail59"/>
      <sheetName val="Category_Callouts59"/>
      <sheetName val="Cap_Scenario59"/>
      <sheetName val="Subcapacity_outsoles_59"/>
      <sheetName val="PA_Scenarios59"/>
      <sheetName val="PA_Transfer_Summary59"/>
      <sheetName val="Monthly_Loading_-Summary59"/>
      <sheetName val="Monthly_Loading-PB_Data59"/>
      <sheetName val="Monthly_Loading-PrevOTP_Data59"/>
      <sheetName val="Data_Refresh59"/>
      <sheetName val="SUMM_LOADING_58"/>
      <sheetName val="Raw_Data_Sheet58"/>
      <sheetName val="IA_158"/>
      <sheetName val="DATA_MOLD_NEW_BALANCE58"/>
      <sheetName val="SSAI_IP_ORDER58"/>
      <sheetName val="Cutting_Dies_58"/>
      <sheetName val="Indirect_List44"/>
      <sheetName val="BASIS_DATA44"/>
      <sheetName val="SUBCONT_STATUS44"/>
      <sheetName val="CTTR_Transfer_Type64"/>
      <sheetName val="GFP_Type64"/>
      <sheetName val="GFP_Reasons64"/>
      <sheetName val="LAST_YEARS_CS63"/>
      <sheetName val="Fct_Sum_2_SeasonView60"/>
      <sheetName val="F1_Scenarios60"/>
      <sheetName val="Fct_Summary60"/>
      <sheetName val="Chris'_Tab60"/>
      <sheetName val="OTP_Summary_Result60"/>
      <sheetName val="OTP_Projection60"/>
      <sheetName val="Monthly_Loading60"/>
      <sheetName val="OTP_Source60"/>
      <sheetName val="FA14_Detail60"/>
      <sheetName val="Lynne's_Tab60"/>
      <sheetName val="SU14_Detail60"/>
      <sheetName val="Category_Callouts60"/>
      <sheetName val="Cap_Scenario60"/>
      <sheetName val="Subcapacity_outsoles_60"/>
      <sheetName val="PA_Scenarios60"/>
      <sheetName val="PA_Transfer_Summary60"/>
      <sheetName val="Monthly_Loading_-Summary60"/>
      <sheetName val="Monthly_Loading-PB_Data60"/>
      <sheetName val="Monthly_Loading-PrevOTP_Data60"/>
      <sheetName val="Data_Refresh60"/>
      <sheetName val="SUMM_LOADING_59"/>
      <sheetName val="Raw_Data_Sheet59"/>
      <sheetName val="IA_159"/>
      <sheetName val="DATA_MOLD_NEW_BALANCE59"/>
      <sheetName val="SSAI_IP_ORDER59"/>
      <sheetName val="Cutting_Dies_59"/>
      <sheetName val="Indirect_List45"/>
      <sheetName val="BASIS_DATA45"/>
      <sheetName val="SUBCONT_STATUS45"/>
      <sheetName val="CTTR_Transfer_Type66"/>
      <sheetName val="GFP_Type66"/>
      <sheetName val="GFP_Reasons66"/>
      <sheetName val="LAST_YEARS_CS65"/>
      <sheetName val="Fct_Sum_2_SeasonView62"/>
      <sheetName val="F1_Scenarios62"/>
      <sheetName val="Fct_Summary62"/>
      <sheetName val="Chris'_Tab62"/>
      <sheetName val="OTP_Summary_Result62"/>
      <sheetName val="OTP_Projection62"/>
      <sheetName val="Monthly_Loading62"/>
      <sheetName val="OTP_Source62"/>
      <sheetName val="FA14_Detail62"/>
      <sheetName val="Lynne's_Tab62"/>
      <sheetName val="SU14_Detail62"/>
      <sheetName val="Category_Callouts62"/>
      <sheetName val="Cap_Scenario62"/>
      <sheetName val="Subcapacity_outsoles_62"/>
      <sheetName val="PA_Scenarios62"/>
      <sheetName val="PA_Transfer_Summary62"/>
      <sheetName val="Monthly_Loading_-Summary62"/>
      <sheetName val="Monthly_Loading-PB_Data62"/>
      <sheetName val="Monthly_Loading-PrevOTP_Data62"/>
      <sheetName val="Data_Refresh62"/>
      <sheetName val="SUMM_LOADING_61"/>
      <sheetName val="Raw_Data_Sheet61"/>
      <sheetName val="IA_161"/>
      <sheetName val="DATA_MOLD_NEW_BALANCE61"/>
      <sheetName val="SSAI_IP_ORDER61"/>
      <sheetName val="Cutting_Dies_61"/>
      <sheetName val="Indirect_List47"/>
      <sheetName val="BASIS_DATA47"/>
      <sheetName val="SUBCONT_STATUS47"/>
      <sheetName val="文書プロパティ"/>
      <sheetName val="CTTR_Transfer_Type67"/>
      <sheetName val="GFP_Type67"/>
      <sheetName val="GFP_Reasons67"/>
      <sheetName val="LAST_YEARS_CS66"/>
      <sheetName val="Fct_Sum_2_SeasonView63"/>
      <sheetName val="F1_Scenarios63"/>
      <sheetName val="Fct_Summary63"/>
      <sheetName val="Chris'_Tab63"/>
      <sheetName val="OTP_Summary_Result63"/>
      <sheetName val="OTP_Projection63"/>
      <sheetName val="Monthly_Loading63"/>
      <sheetName val="OTP_Source63"/>
      <sheetName val="FA14_Detail63"/>
      <sheetName val="Lynne's_Tab63"/>
      <sheetName val="SU14_Detail63"/>
      <sheetName val="Category_Callouts63"/>
      <sheetName val="Cap_Scenario63"/>
      <sheetName val="Subcapacity_outsoles_63"/>
      <sheetName val="PA_Scenarios63"/>
      <sheetName val="PA_Transfer_Summary63"/>
      <sheetName val="Monthly_Loading_-Summary63"/>
      <sheetName val="Monthly_Loading-PB_Data63"/>
      <sheetName val="Monthly_Loading-PrevOTP_Data63"/>
      <sheetName val="Data_Refresh63"/>
      <sheetName val="SUMM_LOADING_62"/>
      <sheetName val="Raw_Data_Sheet62"/>
      <sheetName val="IA_162"/>
      <sheetName val="DATA_MOLD_NEW_BALANCE62"/>
      <sheetName val="SSAI_IP_ORDER62"/>
      <sheetName val="Cutting_Dies_62"/>
      <sheetName val="Indirect_List48"/>
      <sheetName val="BASIS_DATA48"/>
      <sheetName val="SUBCONT_STATUS48"/>
      <sheetName val="CTTR_Transfer_Type68"/>
      <sheetName val="GFP_Type68"/>
      <sheetName val="GFP_Reasons68"/>
      <sheetName val="LAST_YEARS_CS67"/>
      <sheetName val="Fct_Sum_2_SeasonView64"/>
      <sheetName val="F1_Scenarios64"/>
      <sheetName val="Fct_Summary64"/>
      <sheetName val="Chris'_Tab64"/>
      <sheetName val="OTP_Summary_Result64"/>
      <sheetName val="OTP_Projection64"/>
      <sheetName val="Monthly_Loading64"/>
      <sheetName val="OTP_Source64"/>
      <sheetName val="FA14_Detail64"/>
      <sheetName val="Lynne's_Tab64"/>
      <sheetName val="SU14_Detail64"/>
      <sheetName val="Category_Callouts64"/>
      <sheetName val="Cap_Scenario64"/>
      <sheetName val="Subcapacity_outsoles_64"/>
      <sheetName val="PA_Scenarios64"/>
      <sheetName val="PA_Transfer_Summary64"/>
      <sheetName val="Monthly_Loading_-Summary64"/>
      <sheetName val="Monthly_Loading-PB_Data64"/>
      <sheetName val="Monthly_Loading-PrevOTP_Data64"/>
      <sheetName val="Data_Refresh64"/>
      <sheetName val="SUMM_LOADING_63"/>
      <sheetName val="Raw_Data_Sheet63"/>
      <sheetName val="IA_163"/>
      <sheetName val="DATA_MOLD_NEW_BALANCE63"/>
      <sheetName val="SSAI_IP_ORDER63"/>
      <sheetName val="Cutting_Dies_63"/>
      <sheetName val="Indirect_List49"/>
      <sheetName val="BASIS_DATA49"/>
      <sheetName val="SUBCONT_STATUS49"/>
      <sheetName val="cumulus 16"/>
      <sheetName val="CTTR_Transfer_Type71"/>
      <sheetName val="GFP_Type71"/>
      <sheetName val="GFP_Reasons71"/>
      <sheetName val="LAST_YEARS_CS70"/>
      <sheetName val="Fct_Sum_2_SeasonView67"/>
      <sheetName val="F1_Scenarios67"/>
      <sheetName val="Fct_Summary67"/>
      <sheetName val="Chris'_Tab67"/>
      <sheetName val="OTP_Summary_Result67"/>
      <sheetName val="OTP_Projection67"/>
      <sheetName val="Monthly_Loading67"/>
      <sheetName val="OTP_Source67"/>
      <sheetName val="FA14_Detail67"/>
      <sheetName val="Lynne's_Tab67"/>
      <sheetName val="SU14_Detail67"/>
      <sheetName val="Category_Callouts67"/>
      <sheetName val="Cap_Scenario67"/>
      <sheetName val="Subcapacity_outsoles_67"/>
      <sheetName val="PA_Scenarios67"/>
      <sheetName val="PA_Transfer_Summary67"/>
      <sheetName val="Monthly_Loading_-Summary67"/>
      <sheetName val="Monthly_Loading-PB_Data67"/>
      <sheetName val="Monthly_Loading-PrevOTP_Data67"/>
      <sheetName val="Data_Refresh67"/>
      <sheetName val="SUMM_LOADING_66"/>
      <sheetName val="Raw_Data_Sheet66"/>
      <sheetName val="IA_166"/>
      <sheetName val="DATA_MOLD_NEW_BALANCE66"/>
      <sheetName val="SSAI_IP_ORDER66"/>
      <sheetName val="Cutting_Dies_66"/>
      <sheetName val="Indirect_List52"/>
      <sheetName val="BASIS_DATA52"/>
      <sheetName val="SUBCONT_STATUS52"/>
      <sheetName val="CTTR_Transfer_Type70"/>
      <sheetName val="GFP_Type70"/>
      <sheetName val="GFP_Reasons70"/>
      <sheetName val="LAST_YEARS_CS69"/>
      <sheetName val="Fct_Sum_2_SeasonView66"/>
      <sheetName val="F1_Scenarios66"/>
      <sheetName val="Fct_Summary66"/>
      <sheetName val="Chris'_Tab66"/>
      <sheetName val="OTP_Summary_Result66"/>
      <sheetName val="OTP_Projection66"/>
      <sheetName val="Monthly_Loading66"/>
      <sheetName val="OTP_Source66"/>
      <sheetName val="FA14_Detail66"/>
      <sheetName val="Lynne's_Tab66"/>
      <sheetName val="SU14_Detail66"/>
      <sheetName val="Category_Callouts66"/>
      <sheetName val="Cap_Scenario66"/>
      <sheetName val="Subcapacity_outsoles_66"/>
      <sheetName val="PA_Scenarios66"/>
      <sheetName val="PA_Transfer_Summary66"/>
      <sheetName val="Monthly_Loading_-Summary66"/>
      <sheetName val="Monthly_Loading-PB_Data66"/>
      <sheetName val="Monthly_Loading-PrevOTP_Data66"/>
      <sheetName val="Data_Refresh66"/>
      <sheetName val="SUMM_LOADING_65"/>
      <sheetName val="Raw_Data_Sheet65"/>
      <sheetName val="IA_165"/>
      <sheetName val="DATA_MOLD_NEW_BALANCE65"/>
      <sheetName val="SSAI_IP_ORDER65"/>
      <sheetName val="Cutting_Dies_65"/>
      <sheetName val="Indirect_List51"/>
      <sheetName val="BASIS_DATA51"/>
      <sheetName val="SUBCONT_STATUS51"/>
      <sheetName val="CTTR_Transfer_Type69"/>
      <sheetName val="GFP_Type69"/>
      <sheetName val="GFP_Reasons69"/>
      <sheetName val="LAST_YEARS_CS68"/>
      <sheetName val="Fct_Sum_2_SeasonView65"/>
      <sheetName val="F1_Scenarios65"/>
      <sheetName val="Fct_Summary65"/>
      <sheetName val="Chris'_Tab65"/>
      <sheetName val="OTP_Summary_Result65"/>
      <sheetName val="OTP_Projection65"/>
      <sheetName val="Monthly_Loading65"/>
      <sheetName val="OTP_Source65"/>
      <sheetName val="FA14_Detail65"/>
      <sheetName val="Lynne's_Tab65"/>
      <sheetName val="SU14_Detail65"/>
      <sheetName val="Category_Callouts65"/>
      <sheetName val="Cap_Scenario65"/>
      <sheetName val="Subcapacity_outsoles_65"/>
      <sheetName val="PA_Scenarios65"/>
      <sheetName val="PA_Transfer_Summary65"/>
      <sheetName val="Monthly_Loading_-Summary65"/>
      <sheetName val="Monthly_Loading-PB_Data65"/>
      <sheetName val="Monthly_Loading-PrevOTP_Data65"/>
      <sheetName val="Data_Refresh65"/>
      <sheetName val="SUMM_LOADING_64"/>
      <sheetName val="Raw_Data_Sheet64"/>
      <sheetName val="IA_164"/>
      <sheetName val="DATA_MOLD_NEW_BALANCE64"/>
      <sheetName val="SSAI_IP_ORDER64"/>
      <sheetName val="Cutting_Dies_64"/>
      <sheetName val="Indirect_List50"/>
      <sheetName val="BASIS_DATA50"/>
      <sheetName val="SUBCONT_STATUS50"/>
      <sheetName val="CTTR_Transfer_Type72"/>
      <sheetName val="GFP_Type72"/>
      <sheetName val="GFP_Reasons72"/>
      <sheetName val="LAST_YEARS_CS71"/>
      <sheetName val="Fct_Sum_2_SeasonView68"/>
      <sheetName val="F1_Scenarios68"/>
      <sheetName val="Fct_Summary68"/>
      <sheetName val="Chris'_Tab68"/>
      <sheetName val="OTP_Summary_Result68"/>
      <sheetName val="OTP_Projection68"/>
      <sheetName val="Monthly_Loading68"/>
      <sheetName val="OTP_Source68"/>
      <sheetName val="FA14_Detail68"/>
      <sheetName val="Lynne's_Tab68"/>
      <sheetName val="SU14_Detail68"/>
      <sheetName val="Category_Callouts68"/>
      <sheetName val="Cap_Scenario68"/>
      <sheetName val="Subcapacity_outsoles_68"/>
      <sheetName val="PA_Scenarios68"/>
      <sheetName val="PA_Transfer_Summary68"/>
      <sheetName val="Monthly_Loading_-Summary68"/>
      <sheetName val="Monthly_Loading-PB_Data68"/>
      <sheetName val="Monthly_Loading-PrevOTP_Data68"/>
      <sheetName val="Data_Refresh68"/>
      <sheetName val="SUMM_LOADING_67"/>
      <sheetName val="Raw_Data_Sheet67"/>
      <sheetName val="IA_167"/>
      <sheetName val="DATA_MOLD_NEW_BALANCE67"/>
      <sheetName val="SSAI_IP_ORDER67"/>
      <sheetName val="Cutting_Dies_67"/>
      <sheetName val="Indirect_List53"/>
      <sheetName val="BASIS_DATA53"/>
      <sheetName val="SUBCONT_STATUS53"/>
      <sheetName val="CTTR_Transfer_Type73"/>
      <sheetName val="GFP_Type73"/>
      <sheetName val="GFP_Reasons73"/>
      <sheetName val="LAST_YEARS_CS72"/>
      <sheetName val="Fct_Sum_2_SeasonView69"/>
      <sheetName val="F1_Scenarios69"/>
      <sheetName val="Fct_Summary69"/>
      <sheetName val="Chris'_Tab69"/>
      <sheetName val="OTP_Summary_Result69"/>
      <sheetName val="OTP_Projection69"/>
      <sheetName val="Monthly_Loading69"/>
      <sheetName val="OTP_Source69"/>
      <sheetName val="FA14_Detail69"/>
      <sheetName val="Lynne's_Tab69"/>
      <sheetName val="SU14_Detail69"/>
      <sheetName val="Category_Callouts69"/>
      <sheetName val="Cap_Scenario69"/>
      <sheetName val="Subcapacity_outsoles_69"/>
      <sheetName val="PA_Scenarios69"/>
      <sheetName val="PA_Transfer_Summary69"/>
      <sheetName val="Monthly_Loading_-Summary69"/>
      <sheetName val="Monthly_Loading-PB_Data69"/>
      <sheetName val="Monthly_Loading-PrevOTP_Data69"/>
      <sheetName val="Data_Refresh69"/>
      <sheetName val="SUMM_LOADING_68"/>
      <sheetName val="Raw_Data_Sheet68"/>
      <sheetName val="IA_168"/>
      <sheetName val="DATA_MOLD_NEW_BALANCE68"/>
      <sheetName val="SSAI_IP_ORDER68"/>
      <sheetName val="Cutting_Dies_68"/>
      <sheetName val="Indirect_List54"/>
      <sheetName val="BASIS_DATA54"/>
      <sheetName val="SUBCONT_STATUS54"/>
      <sheetName val="cumulus_16"/>
      <sheetName val="CTTR_Transfer_Type74"/>
      <sheetName val="GFP_Type74"/>
      <sheetName val="GFP_Reasons74"/>
      <sheetName val="LAST_YEARS_CS73"/>
      <sheetName val="Fct_Sum_2_SeasonView70"/>
      <sheetName val="F1_Scenarios70"/>
      <sheetName val="Fct_Summary70"/>
      <sheetName val="Chris'_Tab70"/>
      <sheetName val="OTP_Summary_Result70"/>
      <sheetName val="OTP_Projection70"/>
      <sheetName val="Monthly_Loading70"/>
      <sheetName val="OTP_Source70"/>
      <sheetName val="FA14_Detail70"/>
      <sheetName val="Lynne's_Tab70"/>
      <sheetName val="SU14_Detail70"/>
      <sheetName val="Category_Callouts70"/>
      <sheetName val="Cap_Scenario70"/>
      <sheetName val="Subcapacity_outsoles_70"/>
      <sheetName val="PA_Scenarios70"/>
      <sheetName val="PA_Transfer_Summary70"/>
      <sheetName val="Monthly_Loading_-Summary70"/>
      <sheetName val="Monthly_Loading-PB_Data70"/>
      <sheetName val="Monthly_Loading-PrevOTP_Data70"/>
      <sheetName val="Data_Refresh70"/>
      <sheetName val="SUMM_LOADING_69"/>
      <sheetName val="Raw_Data_Sheet69"/>
      <sheetName val="IA_169"/>
      <sheetName val="DATA_MOLD_NEW_BALANCE69"/>
      <sheetName val="SSAI_IP_ORDER69"/>
      <sheetName val="Cutting_Dies_69"/>
      <sheetName val="Indirect_List55"/>
      <sheetName val="BASIS_DATA55"/>
      <sheetName val="SUBCONT_STATUS55"/>
      <sheetName val="cumulus_161"/>
      <sheetName val="EAM INVENTORY"/>
      <sheetName val="acuan_posisi"/>
      <sheetName val="Maintenance Work Order"/>
      <sheetName val="9908AAA庫存"/>
      <sheetName val="CTTR_Transfer_Type97"/>
      <sheetName val="GFP_Type97"/>
      <sheetName val="GFP_Reasons97"/>
      <sheetName val="LAST_YEARS_CS96"/>
      <sheetName val="Fct_Sum_2_SeasonView93"/>
      <sheetName val="F1_Scenarios93"/>
      <sheetName val="Fct_Summary93"/>
      <sheetName val="Chris'_Tab93"/>
      <sheetName val="OTP_Summary_Result93"/>
      <sheetName val="OTP_Projection93"/>
      <sheetName val="Monthly_Loading93"/>
      <sheetName val="OTP_Source93"/>
      <sheetName val="FA14_Detail93"/>
      <sheetName val="Lynne's_Tab93"/>
      <sheetName val="SU14_Detail93"/>
      <sheetName val="Category_Callouts93"/>
      <sheetName val="Cap_Scenario93"/>
      <sheetName val="Subcapacity_outsoles_93"/>
      <sheetName val="PA_Scenarios93"/>
      <sheetName val="PA_Transfer_Summary93"/>
      <sheetName val="Monthly_Loading_-Summary93"/>
      <sheetName val="Monthly_Loading-PB_Data93"/>
      <sheetName val="Monthly_Loading-PrevOTP_Data93"/>
      <sheetName val="Data_Refresh93"/>
      <sheetName val="SUMM_LOADING_92"/>
      <sheetName val="Raw_Data_Sheet92"/>
      <sheetName val="IA_192"/>
      <sheetName val="DATA_MOLD_NEW_BALANCE92"/>
      <sheetName val="SSAI_IP_ORDER92"/>
      <sheetName val="Cutting_Dies_92"/>
      <sheetName val="Indirect_List78"/>
      <sheetName val="BASIS_DATA78"/>
      <sheetName val="SUBCONT_STATUS78"/>
      <sheetName val="cumulus_1624"/>
      <sheetName val="CTTR_Transfer_Type96"/>
      <sheetName val="GFP_Type96"/>
      <sheetName val="GFP_Reasons96"/>
      <sheetName val="LAST_YEARS_CS95"/>
      <sheetName val="Fct_Sum_2_SeasonView92"/>
      <sheetName val="F1_Scenarios92"/>
      <sheetName val="Fct_Summary92"/>
      <sheetName val="Chris'_Tab92"/>
      <sheetName val="OTP_Summary_Result92"/>
      <sheetName val="OTP_Projection92"/>
      <sheetName val="Monthly_Loading92"/>
      <sheetName val="OTP_Source92"/>
      <sheetName val="FA14_Detail92"/>
      <sheetName val="Lynne's_Tab92"/>
      <sheetName val="SU14_Detail92"/>
      <sheetName val="Category_Callouts92"/>
      <sheetName val="Cap_Scenario92"/>
      <sheetName val="Subcapacity_outsoles_92"/>
      <sheetName val="PA_Scenarios92"/>
      <sheetName val="PA_Transfer_Summary92"/>
      <sheetName val="Monthly_Loading_-Summary92"/>
      <sheetName val="Monthly_Loading-PB_Data92"/>
      <sheetName val="Monthly_Loading-PrevOTP_Data92"/>
      <sheetName val="Data_Refresh92"/>
      <sheetName val="SUMM_LOADING_91"/>
      <sheetName val="Raw_Data_Sheet91"/>
      <sheetName val="IA_191"/>
      <sheetName val="DATA_MOLD_NEW_BALANCE91"/>
      <sheetName val="SSAI_IP_ORDER91"/>
      <sheetName val="Cutting_Dies_91"/>
      <sheetName val="Indirect_List77"/>
      <sheetName val="BASIS_DATA77"/>
      <sheetName val="SUBCONT_STATUS77"/>
      <sheetName val="cumulus_1623"/>
      <sheetName val="CTTR_Transfer_Type92"/>
      <sheetName val="GFP_Type92"/>
      <sheetName val="GFP_Reasons92"/>
      <sheetName val="LAST_YEARS_CS91"/>
      <sheetName val="Fct_Sum_2_SeasonView88"/>
      <sheetName val="F1_Scenarios88"/>
      <sheetName val="Fct_Summary88"/>
      <sheetName val="Chris'_Tab88"/>
      <sheetName val="OTP_Summary_Result88"/>
      <sheetName val="OTP_Projection88"/>
      <sheetName val="Monthly_Loading88"/>
      <sheetName val="OTP_Source88"/>
      <sheetName val="FA14_Detail88"/>
      <sheetName val="Lynne's_Tab88"/>
      <sheetName val="SU14_Detail88"/>
      <sheetName val="Category_Callouts88"/>
      <sheetName val="Cap_Scenario88"/>
      <sheetName val="Subcapacity_outsoles_88"/>
      <sheetName val="PA_Scenarios88"/>
      <sheetName val="PA_Transfer_Summary88"/>
      <sheetName val="Monthly_Loading_-Summary88"/>
      <sheetName val="Monthly_Loading-PB_Data88"/>
      <sheetName val="Monthly_Loading-PrevOTP_Data88"/>
      <sheetName val="Data_Refresh88"/>
      <sheetName val="SUMM_LOADING_87"/>
      <sheetName val="Raw_Data_Sheet87"/>
      <sheetName val="IA_187"/>
      <sheetName val="DATA_MOLD_NEW_BALANCE87"/>
      <sheetName val="SSAI_IP_ORDER87"/>
      <sheetName val="Cutting_Dies_87"/>
      <sheetName val="Indirect_List73"/>
      <sheetName val="BASIS_DATA73"/>
      <sheetName val="SUBCONT_STATUS73"/>
      <sheetName val="cumulus_1619"/>
      <sheetName val="CTTR_Transfer_Type89"/>
      <sheetName val="GFP_Type89"/>
      <sheetName val="GFP_Reasons89"/>
      <sheetName val="LAST_YEARS_CS88"/>
      <sheetName val="Fct_Sum_2_SeasonView85"/>
      <sheetName val="F1_Scenarios85"/>
      <sheetName val="Fct_Summary85"/>
      <sheetName val="Chris'_Tab85"/>
      <sheetName val="OTP_Summary_Result85"/>
      <sheetName val="OTP_Projection85"/>
      <sheetName val="Monthly_Loading85"/>
      <sheetName val="OTP_Source85"/>
      <sheetName val="FA14_Detail85"/>
      <sheetName val="Lynne's_Tab85"/>
      <sheetName val="SU14_Detail85"/>
      <sheetName val="Category_Callouts85"/>
      <sheetName val="Cap_Scenario85"/>
      <sheetName val="Subcapacity_outsoles_85"/>
      <sheetName val="PA_Scenarios85"/>
      <sheetName val="PA_Transfer_Summary85"/>
      <sheetName val="Monthly_Loading_-Summary85"/>
      <sheetName val="Monthly_Loading-PB_Data85"/>
      <sheetName val="Monthly_Loading-PrevOTP_Data85"/>
      <sheetName val="Data_Refresh85"/>
      <sheetName val="SUMM_LOADING_84"/>
      <sheetName val="Raw_Data_Sheet84"/>
      <sheetName val="IA_184"/>
      <sheetName val="DATA_MOLD_NEW_BALANCE84"/>
      <sheetName val="SSAI_IP_ORDER84"/>
      <sheetName val="Cutting_Dies_84"/>
      <sheetName val="Indirect_List70"/>
      <sheetName val="BASIS_DATA70"/>
      <sheetName val="SUBCONT_STATUS70"/>
      <sheetName val="cumulus_1616"/>
      <sheetName val="CTTR_Transfer_Type79"/>
      <sheetName val="GFP_Type79"/>
      <sheetName val="GFP_Reasons79"/>
      <sheetName val="LAST_YEARS_CS78"/>
      <sheetName val="Fct_Sum_2_SeasonView75"/>
      <sheetName val="F1_Scenarios75"/>
      <sheetName val="Fct_Summary75"/>
      <sheetName val="Chris'_Tab75"/>
      <sheetName val="OTP_Summary_Result75"/>
      <sheetName val="OTP_Projection75"/>
      <sheetName val="Monthly_Loading75"/>
      <sheetName val="OTP_Source75"/>
      <sheetName val="FA14_Detail75"/>
      <sheetName val="Lynne's_Tab75"/>
      <sheetName val="SU14_Detail75"/>
      <sheetName val="Category_Callouts75"/>
      <sheetName val="Cap_Scenario75"/>
      <sheetName val="Subcapacity_outsoles_75"/>
      <sheetName val="PA_Scenarios75"/>
      <sheetName val="PA_Transfer_Summary75"/>
      <sheetName val="Monthly_Loading_-Summary75"/>
      <sheetName val="Monthly_Loading-PB_Data75"/>
      <sheetName val="Monthly_Loading-PrevOTP_Data75"/>
      <sheetName val="Data_Refresh75"/>
      <sheetName val="SUMM_LOADING_74"/>
      <sheetName val="Raw_Data_Sheet74"/>
      <sheetName val="IA_174"/>
      <sheetName val="DATA_MOLD_NEW_BALANCE74"/>
      <sheetName val="SSAI_IP_ORDER74"/>
      <sheetName val="Cutting_Dies_74"/>
      <sheetName val="Indirect_List60"/>
      <sheetName val="BASIS_DATA60"/>
      <sheetName val="SUBCONT_STATUS60"/>
      <sheetName val="cumulus_166"/>
      <sheetName val="CTTR_Transfer_Type75"/>
      <sheetName val="GFP_Type75"/>
      <sheetName val="GFP_Reasons75"/>
      <sheetName val="LAST_YEARS_CS74"/>
      <sheetName val="Fct_Sum_2_SeasonView71"/>
      <sheetName val="F1_Scenarios71"/>
      <sheetName val="Fct_Summary71"/>
      <sheetName val="Chris'_Tab71"/>
      <sheetName val="OTP_Summary_Result71"/>
      <sheetName val="OTP_Projection71"/>
      <sheetName val="Monthly_Loading71"/>
      <sheetName val="OTP_Source71"/>
      <sheetName val="FA14_Detail71"/>
      <sheetName val="Lynne's_Tab71"/>
      <sheetName val="SU14_Detail71"/>
      <sheetName val="Category_Callouts71"/>
      <sheetName val="Cap_Scenario71"/>
      <sheetName val="Subcapacity_outsoles_71"/>
      <sheetName val="PA_Scenarios71"/>
      <sheetName val="PA_Transfer_Summary71"/>
      <sheetName val="Monthly_Loading_-Summary71"/>
      <sheetName val="Monthly_Loading-PB_Data71"/>
      <sheetName val="Monthly_Loading-PrevOTP_Data71"/>
      <sheetName val="Data_Refresh71"/>
      <sheetName val="SUMM_LOADING_70"/>
      <sheetName val="Raw_Data_Sheet70"/>
      <sheetName val="IA_170"/>
      <sheetName val="DATA_MOLD_NEW_BALANCE70"/>
      <sheetName val="SSAI_IP_ORDER70"/>
      <sheetName val="Cutting_Dies_70"/>
      <sheetName val="Indirect_List56"/>
      <sheetName val="BASIS_DATA56"/>
      <sheetName val="SUBCONT_STATUS56"/>
      <sheetName val="cumulus_162"/>
      <sheetName val="CTTR_Transfer_Type76"/>
      <sheetName val="GFP_Type76"/>
      <sheetName val="GFP_Reasons76"/>
      <sheetName val="LAST_YEARS_CS75"/>
      <sheetName val="Fct_Sum_2_SeasonView72"/>
      <sheetName val="F1_Scenarios72"/>
      <sheetName val="Fct_Summary72"/>
      <sheetName val="Chris'_Tab72"/>
      <sheetName val="OTP_Summary_Result72"/>
      <sheetName val="OTP_Projection72"/>
      <sheetName val="Monthly_Loading72"/>
      <sheetName val="OTP_Source72"/>
      <sheetName val="FA14_Detail72"/>
      <sheetName val="Lynne's_Tab72"/>
      <sheetName val="SU14_Detail72"/>
      <sheetName val="Category_Callouts72"/>
      <sheetName val="Cap_Scenario72"/>
      <sheetName val="Subcapacity_outsoles_72"/>
      <sheetName val="PA_Scenarios72"/>
      <sheetName val="PA_Transfer_Summary72"/>
      <sheetName val="Monthly_Loading_-Summary72"/>
      <sheetName val="Monthly_Loading-PB_Data72"/>
      <sheetName val="Monthly_Loading-PrevOTP_Data72"/>
      <sheetName val="Data_Refresh72"/>
      <sheetName val="SUMM_LOADING_71"/>
      <sheetName val="Raw_Data_Sheet71"/>
      <sheetName val="IA_171"/>
      <sheetName val="DATA_MOLD_NEW_BALANCE71"/>
      <sheetName val="SSAI_IP_ORDER71"/>
      <sheetName val="Cutting_Dies_71"/>
      <sheetName val="Indirect_List57"/>
      <sheetName val="BASIS_DATA57"/>
      <sheetName val="SUBCONT_STATUS57"/>
      <sheetName val="cumulus_163"/>
      <sheetName val="CTTR_Transfer_Type77"/>
      <sheetName val="GFP_Type77"/>
      <sheetName val="GFP_Reasons77"/>
      <sheetName val="LAST_YEARS_CS76"/>
      <sheetName val="Fct_Sum_2_SeasonView73"/>
      <sheetName val="F1_Scenarios73"/>
      <sheetName val="Fct_Summary73"/>
      <sheetName val="Chris'_Tab73"/>
      <sheetName val="OTP_Summary_Result73"/>
      <sheetName val="OTP_Projection73"/>
      <sheetName val="Monthly_Loading73"/>
      <sheetName val="OTP_Source73"/>
      <sheetName val="FA14_Detail73"/>
      <sheetName val="Lynne's_Tab73"/>
      <sheetName val="SU14_Detail73"/>
      <sheetName val="Category_Callouts73"/>
      <sheetName val="Cap_Scenario73"/>
      <sheetName val="Subcapacity_outsoles_73"/>
      <sheetName val="PA_Scenarios73"/>
      <sheetName val="PA_Transfer_Summary73"/>
      <sheetName val="Monthly_Loading_-Summary73"/>
      <sheetName val="Monthly_Loading-PB_Data73"/>
      <sheetName val="Monthly_Loading-PrevOTP_Data73"/>
      <sheetName val="Data_Refresh73"/>
      <sheetName val="SUMM_LOADING_72"/>
      <sheetName val="Raw_Data_Sheet72"/>
      <sheetName val="IA_172"/>
      <sheetName val="DATA_MOLD_NEW_BALANCE72"/>
      <sheetName val="SSAI_IP_ORDER72"/>
      <sheetName val="Cutting_Dies_72"/>
      <sheetName val="Indirect_List58"/>
      <sheetName val="BASIS_DATA58"/>
      <sheetName val="SUBCONT_STATUS58"/>
      <sheetName val="cumulus_164"/>
      <sheetName val="CTTR_Transfer_Type78"/>
      <sheetName val="GFP_Type78"/>
      <sheetName val="GFP_Reasons78"/>
      <sheetName val="LAST_YEARS_CS77"/>
      <sheetName val="Fct_Sum_2_SeasonView74"/>
      <sheetName val="F1_Scenarios74"/>
      <sheetName val="Fct_Summary74"/>
      <sheetName val="Chris'_Tab74"/>
      <sheetName val="OTP_Summary_Result74"/>
      <sheetName val="OTP_Projection74"/>
      <sheetName val="Monthly_Loading74"/>
      <sheetName val="OTP_Source74"/>
      <sheetName val="FA14_Detail74"/>
      <sheetName val="Lynne's_Tab74"/>
      <sheetName val="SU14_Detail74"/>
      <sheetName val="Category_Callouts74"/>
      <sheetName val="Cap_Scenario74"/>
      <sheetName val="Subcapacity_outsoles_74"/>
      <sheetName val="PA_Scenarios74"/>
      <sheetName val="PA_Transfer_Summary74"/>
      <sheetName val="Monthly_Loading_-Summary74"/>
      <sheetName val="Monthly_Loading-PB_Data74"/>
      <sheetName val="Monthly_Loading-PrevOTP_Data74"/>
      <sheetName val="Data_Refresh74"/>
      <sheetName val="SUMM_LOADING_73"/>
      <sheetName val="Raw_Data_Sheet73"/>
      <sheetName val="IA_173"/>
      <sheetName val="DATA_MOLD_NEW_BALANCE73"/>
      <sheetName val="SSAI_IP_ORDER73"/>
      <sheetName val="Cutting_Dies_73"/>
      <sheetName val="Indirect_List59"/>
      <sheetName val="BASIS_DATA59"/>
      <sheetName val="SUBCONT_STATUS59"/>
      <sheetName val="cumulus_165"/>
      <sheetName val="CTTR_Transfer_Type80"/>
      <sheetName val="GFP_Type80"/>
      <sheetName val="GFP_Reasons80"/>
      <sheetName val="LAST_YEARS_CS79"/>
      <sheetName val="Fct_Sum_2_SeasonView76"/>
      <sheetName val="F1_Scenarios76"/>
      <sheetName val="Fct_Summary76"/>
      <sheetName val="Chris'_Tab76"/>
      <sheetName val="OTP_Summary_Result76"/>
      <sheetName val="OTP_Projection76"/>
      <sheetName val="Monthly_Loading76"/>
      <sheetName val="OTP_Source76"/>
      <sheetName val="FA14_Detail76"/>
      <sheetName val="Lynne's_Tab76"/>
      <sheetName val="SU14_Detail76"/>
      <sheetName val="Category_Callouts76"/>
      <sheetName val="Cap_Scenario76"/>
      <sheetName val="Subcapacity_outsoles_76"/>
      <sheetName val="PA_Scenarios76"/>
      <sheetName val="PA_Transfer_Summary76"/>
      <sheetName val="Monthly_Loading_-Summary76"/>
      <sheetName val="Monthly_Loading-PB_Data76"/>
      <sheetName val="Monthly_Loading-PrevOTP_Data76"/>
      <sheetName val="Data_Refresh76"/>
      <sheetName val="SUMM_LOADING_75"/>
      <sheetName val="Raw_Data_Sheet75"/>
      <sheetName val="IA_175"/>
      <sheetName val="DATA_MOLD_NEW_BALANCE75"/>
      <sheetName val="SSAI_IP_ORDER75"/>
      <sheetName val="Cutting_Dies_75"/>
      <sheetName val="Indirect_List61"/>
      <sheetName val="BASIS_DATA61"/>
      <sheetName val="SUBCONT_STATUS61"/>
      <sheetName val="cumulus_167"/>
      <sheetName val="CTTR_Transfer_Type81"/>
      <sheetName val="GFP_Type81"/>
      <sheetName val="GFP_Reasons81"/>
      <sheetName val="LAST_YEARS_CS80"/>
      <sheetName val="Fct_Sum_2_SeasonView77"/>
      <sheetName val="F1_Scenarios77"/>
      <sheetName val="Fct_Summary77"/>
      <sheetName val="Chris'_Tab77"/>
      <sheetName val="OTP_Summary_Result77"/>
      <sheetName val="OTP_Projection77"/>
      <sheetName val="Monthly_Loading77"/>
      <sheetName val="OTP_Source77"/>
      <sheetName val="FA14_Detail77"/>
      <sheetName val="Lynne's_Tab77"/>
      <sheetName val="SU14_Detail77"/>
      <sheetName val="Category_Callouts77"/>
      <sheetName val="Cap_Scenario77"/>
      <sheetName val="Subcapacity_outsoles_77"/>
      <sheetName val="PA_Scenarios77"/>
      <sheetName val="PA_Transfer_Summary77"/>
      <sheetName val="Monthly_Loading_-Summary77"/>
      <sheetName val="Monthly_Loading-PB_Data77"/>
      <sheetName val="Monthly_Loading-PrevOTP_Data77"/>
      <sheetName val="Data_Refresh77"/>
      <sheetName val="SUMM_LOADING_76"/>
      <sheetName val="Raw_Data_Sheet76"/>
      <sheetName val="IA_176"/>
      <sheetName val="DATA_MOLD_NEW_BALANCE76"/>
      <sheetName val="SSAI_IP_ORDER76"/>
      <sheetName val="Cutting_Dies_76"/>
      <sheetName val="Indirect_List62"/>
      <sheetName val="BASIS_DATA62"/>
      <sheetName val="SUBCONT_STATUS62"/>
      <sheetName val="cumulus_168"/>
      <sheetName val="CTTR_Transfer_Type82"/>
      <sheetName val="GFP_Type82"/>
      <sheetName val="GFP_Reasons82"/>
      <sheetName val="LAST_YEARS_CS81"/>
      <sheetName val="Fct_Sum_2_SeasonView78"/>
      <sheetName val="F1_Scenarios78"/>
      <sheetName val="Fct_Summary78"/>
      <sheetName val="Chris'_Tab78"/>
      <sheetName val="OTP_Summary_Result78"/>
      <sheetName val="OTP_Projection78"/>
      <sheetName val="Monthly_Loading78"/>
      <sheetName val="OTP_Source78"/>
      <sheetName val="FA14_Detail78"/>
      <sheetName val="Lynne's_Tab78"/>
      <sheetName val="SU14_Detail78"/>
      <sheetName val="Category_Callouts78"/>
      <sheetName val="Cap_Scenario78"/>
      <sheetName val="Subcapacity_outsoles_78"/>
      <sheetName val="PA_Scenarios78"/>
      <sheetName val="PA_Transfer_Summary78"/>
      <sheetName val="Monthly_Loading_-Summary78"/>
      <sheetName val="Monthly_Loading-PB_Data78"/>
      <sheetName val="Monthly_Loading-PrevOTP_Data78"/>
      <sheetName val="Data_Refresh78"/>
      <sheetName val="SUMM_LOADING_77"/>
      <sheetName val="Raw_Data_Sheet77"/>
      <sheetName val="IA_177"/>
      <sheetName val="DATA_MOLD_NEW_BALANCE77"/>
      <sheetName val="SSAI_IP_ORDER77"/>
      <sheetName val="Cutting_Dies_77"/>
      <sheetName val="Indirect_List63"/>
      <sheetName val="BASIS_DATA63"/>
      <sheetName val="SUBCONT_STATUS63"/>
      <sheetName val="cumulus_169"/>
      <sheetName val="CTTR_Transfer_Type83"/>
      <sheetName val="GFP_Type83"/>
      <sheetName val="GFP_Reasons83"/>
      <sheetName val="LAST_YEARS_CS82"/>
      <sheetName val="Fct_Sum_2_SeasonView79"/>
      <sheetName val="F1_Scenarios79"/>
      <sheetName val="Fct_Summary79"/>
      <sheetName val="Chris'_Tab79"/>
      <sheetName val="OTP_Summary_Result79"/>
      <sheetName val="OTP_Projection79"/>
      <sheetName val="Monthly_Loading79"/>
      <sheetName val="OTP_Source79"/>
      <sheetName val="FA14_Detail79"/>
      <sheetName val="Lynne's_Tab79"/>
      <sheetName val="SU14_Detail79"/>
      <sheetName val="Category_Callouts79"/>
      <sheetName val="Cap_Scenario79"/>
      <sheetName val="Subcapacity_outsoles_79"/>
      <sheetName val="PA_Scenarios79"/>
      <sheetName val="PA_Transfer_Summary79"/>
      <sheetName val="Monthly_Loading_-Summary79"/>
      <sheetName val="Monthly_Loading-PB_Data79"/>
      <sheetName val="Monthly_Loading-PrevOTP_Data79"/>
      <sheetName val="Data_Refresh79"/>
      <sheetName val="SUMM_LOADING_78"/>
      <sheetName val="Raw_Data_Sheet78"/>
      <sheetName val="IA_178"/>
      <sheetName val="DATA_MOLD_NEW_BALANCE78"/>
      <sheetName val="SSAI_IP_ORDER78"/>
      <sheetName val="Cutting_Dies_78"/>
      <sheetName val="Indirect_List64"/>
      <sheetName val="BASIS_DATA64"/>
      <sheetName val="SUBCONT_STATUS64"/>
      <sheetName val="cumulus_1610"/>
      <sheetName val="CTTR_Transfer_Type84"/>
      <sheetName val="GFP_Type84"/>
      <sheetName val="GFP_Reasons84"/>
      <sheetName val="LAST_YEARS_CS83"/>
      <sheetName val="Fct_Sum_2_SeasonView80"/>
      <sheetName val="F1_Scenarios80"/>
      <sheetName val="Fct_Summary80"/>
      <sheetName val="Chris'_Tab80"/>
      <sheetName val="OTP_Summary_Result80"/>
      <sheetName val="OTP_Projection80"/>
      <sheetName val="Monthly_Loading80"/>
      <sheetName val="OTP_Source80"/>
      <sheetName val="FA14_Detail80"/>
      <sheetName val="Lynne's_Tab80"/>
      <sheetName val="SU14_Detail80"/>
      <sheetName val="Category_Callouts80"/>
      <sheetName val="Cap_Scenario80"/>
      <sheetName val="Subcapacity_outsoles_80"/>
      <sheetName val="PA_Scenarios80"/>
      <sheetName val="PA_Transfer_Summary80"/>
      <sheetName val="Monthly_Loading_-Summary80"/>
      <sheetName val="Monthly_Loading-PB_Data80"/>
      <sheetName val="Monthly_Loading-PrevOTP_Data80"/>
      <sheetName val="Data_Refresh80"/>
      <sheetName val="SUMM_LOADING_79"/>
      <sheetName val="Raw_Data_Sheet79"/>
      <sheetName val="IA_179"/>
      <sheetName val="DATA_MOLD_NEW_BALANCE79"/>
      <sheetName val="SSAI_IP_ORDER79"/>
      <sheetName val="Cutting_Dies_79"/>
      <sheetName val="Indirect_List65"/>
      <sheetName val="BASIS_DATA65"/>
      <sheetName val="SUBCONT_STATUS65"/>
      <sheetName val="cumulus_1611"/>
      <sheetName val="CTTR_Transfer_Type85"/>
      <sheetName val="GFP_Type85"/>
      <sheetName val="GFP_Reasons85"/>
      <sheetName val="LAST_YEARS_CS84"/>
      <sheetName val="Fct_Sum_2_SeasonView81"/>
      <sheetName val="F1_Scenarios81"/>
      <sheetName val="Fct_Summary81"/>
      <sheetName val="Chris'_Tab81"/>
      <sheetName val="OTP_Summary_Result81"/>
      <sheetName val="OTP_Projection81"/>
      <sheetName val="Monthly_Loading81"/>
      <sheetName val="OTP_Source81"/>
      <sheetName val="FA14_Detail81"/>
      <sheetName val="Lynne's_Tab81"/>
      <sheetName val="SU14_Detail81"/>
      <sheetName val="Category_Callouts81"/>
      <sheetName val="Cap_Scenario81"/>
      <sheetName val="Subcapacity_outsoles_81"/>
      <sheetName val="PA_Scenarios81"/>
      <sheetName val="PA_Transfer_Summary81"/>
      <sheetName val="Monthly_Loading_-Summary81"/>
      <sheetName val="Monthly_Loading-PB_Data81"/>
      <sheetName val="Monthly_Loading-PrevOTP_Data81"/>
      <sheetName val="Data_Refresh81"/>
      <sheetName val="SUMM_LOADING_80"/>
      <sheetName val="Raw_Data_Sheet80"/>
      <sheetName val="IA_180"/>
      <sheetName val="DATA_MOLD_NEW_BALANCE80"/>
      <sheetName val="SSAI_IP_ORDER80"/>
      <sheetName val="Cutting_Dies_80"/>
      <sheetName val="Indirect_List66"/>
      <sheetName val="BASIS_DATA66"/>
      <sheetName val="SUBCONT_STATUS66"/>
      <sheetName val="cumulus_1612"/>
      <sheetName val="CTTR_Transfer_Type86"/>
      <sheetName val="GFP_Type86"/>
      <sheetName val="GFP_Reasons86"/>
      <sheetName val="LAST_YEARS_CS85"/>
      <sheetName val="Fct_Sum_2_SeasonView82"/>
      <sheetName val="F1_Scenarios82"/>
      <sheetName val="Fct_Summary82"/>
      <sheetName val="Chris'_Tab82"/>
      <sheetName val="OTP_Summary_Result82"/>
      <sheetName val="OTP_Projection82"/>
      <sheetName val="Monthly_Loading82"/>
      <sheetName val="OTP_Source82"/>
      <sheetName val="FA14_Detail82"/>
      <sheetName val="Lynne's_Tab82"/>
      <sheetName val="SU14_Detail82"/>
      <sheetName val="Category_Callouts82"/>
      <sheetName val="Cap_Scenario82"/>
      <sheetName val="Subcapacity_outsoles_82"/>
      <sheetName val="PA_Scenarios82"/>
      <sheetName val="PA_Transfer_Summary82"/>
      <sheetName val="Monthly_Loading_-Summary82"/>
      <sheetName val="Monthly_Loading-PB_Data82"/>
      <sheetName val="Monthly_Loading-PrevOTP_Data82"/>
      <sheetName val="Data_Refresh82"/>
      <sheetName val="SUMM_LOADING_81"/>
      <sheetName val="Raw_Data_Sheet81"/>
      <sheetName val="IA_181"/>
      <sheetName val="DATA_MOLD_NEW_BALANCE81"/>
      <sheetName val="SSAI_IP_ORDER81"/>
      <sheetName val="Cutting_Dies_81"/>
      <sheetName val="Indirect_List67"/>
      <sheetName val="BASIS_DATA67"/>
      <sheetName val="SUBCONT_STATUS67"/>
      <sheetName val="cumulus_1613"/>
      <sheetName val="CTTR_Transfer_Type87"/>
      <sheetName val="GFP_Type87"/>
      <sheetName val="GFP_Reasons87"/>
      <sheetName val="LAST_YEARS_CS86"/>
      <sheetName val="Fct_Sum_2_SeasonView83"/>
      <sheetName val="F1_Scenarios83"/>
      <sheetName val="Fct_Summary83"/>
      <sheetName val="Chris'_Tab83"/>
      <sheetName val="OTP_Summary_Result83"/>
      <sheetName val="OTP_Projection83"/>
      <sheetName val="Monthly_Loading83"/>
      <sheetName val="OTP_Source83"/>
      <sheetName val="FA14_Detail83"/>
      <sheetName val="Lynne's_Tab83"/>
      <sheetName val="SU14_Detail83"/>
      <sheetName val="Category_Callouts83"/>
      <sheetName val="Cap_Scenario83"/>
      <sheetName val="Subcapacity_outsoles_83"/>
      <sheetName val="PA_Scenarios83"/>
      <sheetName val="PA_Transfer_Summary83"/>
      <sheetName val="Monthly_Loading_-Summary83"/>
      <sheetName val="Monthly_Loading-PB_Data83"/>
      <sheetName val="Monthly_Loading-PrevOTP_Data83"/>
      <sheetName val="Data_Refresh83"/>
      <sheetName val="SUMM_LOADING_82"/>
      <sheetName val="Raw_Data_Sheet82"/>
      <sheetName val="IA_182"/>
      <sheetName val="DATA_MOLD_NEW_BALANCE82"/>
      <sheetName val="SSAI_IP_ORDER82"/>
      <sheetName val="Cutting_Dies_82"/>
      <sheetName val="Indirect_List68"/>
      <sheetName val="BASIS_DATA68"/>
      <sheetName val="SUBCONT_STATUS68"/>
      <sheetName val="cumulus_1614"/>
      <sheetName val="CTTR_Transfer_Type88"/>
      <sheetName val="GFP_Type88"/>
      <sheetName val="GFP_Reasons88"/>
      <sheetName val="LAST_YEARS_CS87"/>
      <sheetName val="Fct_Sum_2_SeasonView84"/>
      <sheetName val="F1_Scenarios84"/>
      <sheetName val="Fct_Summary84"/>
      <sheetName val="Chris'_Tab84"/>
      <sheetName val="OTP_Summary_Result84"/>
      <sheetName val="OTP_Projection84"/>
      <sheetName val="Monthly_Loading84"/>
      <sheetName val="OTP_Source84"/>
      <sheetName val="FA14_Detail84"/>
      <sheetName val="Lynne's_Tab84"/>
      <sheetName val="SU14_Detail84"/>
      <sheetName val="Category_Callouts84"/>
      <sheetName val="Cap_Scenario84"/>
      <sheetName val="Subcapacity_outsoles_84"/>
      <sheetName val="PA_Scenarios84"/>
      <sheetName val="PA_Transfer_Summary84"/>
      <sheetName val="Monthly_Loading_-Summary84"/>
      <sheetName val="Monthly_Loading-PB_Data84"/>
      <sheetName val="Monthly_Loading-PrevOTP_Data84"/>
      <sheetName val="Data_Refresh84"/>
      <sheetName val="SUMM_LOADING_83"/>
      <sheetName val="Raw_Data_Sheet83"/>
      <sheetName val="IA_183"/>
      <sheetName val="DATA_MOLD_NEW_BALANCE83"/>
      <sheetName val="SSAI_IP_ORDER83"/>
      <sheetName val="Cutting_Dies_83"/>
      <sheetName val="Indirect_List69"/>
      <sheetName val="BASIS_DATA69"/>
      <sheetName val="SUBCONT_STATUS69"/>
      <sheetName val="cumulus_1615"/>
      <sheetName val="CTTR_Transfer_Type90"/>
      <sheetName val="GFP_Type90"/>
      <sheetName val="GFP_Reasons90"/>
      <sheetName val="LAST_YEARS_CS89"/>
      <sheetName val="Fct_Sum_2_SeasonView86"/>
      <sheetName val="F1_Scenarios86"/>
      <sheetName val="Fct_Summary86"/>
      <sheetName val="Chris'_Tab86"/>
      <sheetName val="OTP_Summary_Result86"/>
      <sheetName val="OTP_Projection86"/>
      <sheetName val="Monthly_Loading86"/>
      <sheetName val="OTP_Source86"/>
      <sheetName val="FA14_Detail86"/>
      <sheetName val="Lynne's_Tab86"/>
      <sheetName val="SU14_Detail86"/>
      <sheetName val="Category_Callouts86"/>
      <sheetName val="Cap_Scenario86"/>
      <sheetName val="Subcapacity_outsoles_86"/>
      <sheetName val="PA_Scenarios86"/>
      <sheetName val="PA_Transfer_Summary86"/>
      <sheetName val="Monthly_Loading_-Summary86"/>
      <sheetName val="Monthly_Loading-PB_Data86"/>
      <sheetName val="Monthly_Loading-PrevOTP_Data86"/>
      <sheetName val="Data_Refresh86"/>
      <sheetName val="SUMM_LOADING_85"/>
      <sheetName val="Raw_Data_Sheet85"/>
      <sheetName val="IA_185"/>
      <sheetName val="DATA_MOLD_NEW_BALANCE85"/>
      <sheetName val="SSAI_IP_ORDER85"/>
      <sheetName val="Cutting_Dies_85"/>
      <sheetName val="Indirect_List71"/>
      <sheetName val="BASIS_DATA71"/>
      <sheetName val="SUBCONT_STATUS71"/>
      <sheetName val="cumulus_1617"/>
      <sheetName val="CTTR_Transfer_Type91"/>
      <sheetName val="GFP_Type91"/>
      <sheetName val="GFP_Reasons91"/>
      <sheetName val="LAST_YEARS_CS90"/>
      <sheetName val="Fct_Sum_2_SeasonView87"/>
      <sheetName val="F1_Scenarios87"/>
      <sheetName val="Fct_Summary87"/>
      <sheetName val="Chris'_Tab87"/>
      <sheetName val="OTP_Summary_Result87"/>
      <sheetName val="OTP_Projection87"/>
      <sheetName val="Monthly_Loading87"/>
      <sheetName val="OTP_Source87"/>
      <sheetName val="FA14_Detail87"/>
      <sheetName val="Lynne's_Tab87"/>
      <sheetName val="SU14_Detail87"/>
      <sheetName val="Category_Callouts87"/>
      <sheetName val="Cap_Scenario87"/>
      <sheetName val="Subcapacity_outsoles_87"/>
      <sheetName val="PA_Scenarios87"/>
      <sheetName val="PA_Transfer_Summary87"/>
      <sheetName val="Monthly_Loading_-Summary87"/>
      <sheetName val="Monthly_Loading-PB_Data87"/>
      <sheetName val="Monthly_Loading-PrevOTP_Data87"/>
      <sheetName val="Data_Refresh87"/>
      <sheetName val="SUMM_LOADING_86"/>
      <sheetName val="Raw_Data_Sheet86"/>
      <sheetName val="IA_186"/>
      <sheetName val="DATA_MOLD_NEW_BALANCE86"/>
      <sheetName val="SSAI_IP_ORDER86"/>
      <sheetName val="Cutting_Dies_86"/>
      <sheetName val="Indirect_List72"/>
      <sheetName val="BASIS_DATA72"/>
      <sheetName val="SUBCONT_STATUS72"/>
      <sheetName val="cumulus_1618"/>
      <sheetName val="CTTR_Transfer_Type93"/>
      <sheetName val="GFP_Type93"/>
      <sheetName val="GFP_Reasons93"/>
      <sheetName val="LAST_YEARS_CS92"/>
      <sheetName val="Fct_Sum_2_SeasonView89"/>
      <sheetName val="F1_Scenarios89"/>
      <sheetName val="Fct_Summary89"/>
      <sheetName val="Chris'_Tab89"/>
      <sheetName val="OTP_Summary_Result89"/>
      <sheetName val="OTP_Projection89"/>
      <sheetName val="Monthly_Loading89"/>
      <sheetName val="OTP_Source89"/>
      <sheetName val="FA14_Detail89"/>
      <sheetName val="Lynne's_Tab89"/>
      <sheetName val="SU14_Detail89"/>
      <sheetName val="Category_Callouts89"/>
      <sheetName val="Cap_Scenario89"/>
      <sheetName val="Subcapacity_outsoles_89"/>
      <sheetName val="PA_Scenarios89"/>
      <sheetName val="PA_Transfer_Summary89"/>
      <sheetName val="Monthly_Loading_-Summary89"/>
      <sheetName val="Monthly_Loading-PB_Data89"/>
      <sheetName val="Monthly_Loading-PrevOTP_Data89"/>
      <sheetName val="Data_Refresh89"/>
      <sheetName val="SUMM_LOADING_88"/>
      <sheetName val="Raw_Data_Sheet88"/>
      <sheetName val="IA_188"/>
      <sheetName val="DATA_MOLD_NEW_BALANCE88"/>
      <sheetName val="SSAI_IP_ORDER88"/>
      <sheetName val="Cutting_Dies_88"/>
      <sheetName val="Indirect_List74"/>
      <sheetName val="BASIS_DATA74"/>
      <sheetName val="SUBCONT_STATUS74"/>
      <sheetName val="cumulus_1620"/>
      <sheetName val="CTTR_Transfer_Type94"/>
      <sheetName val="GFP_Type94"/>
      <sheetName val="GFP_Reasons94"/>
      <sheetName val="LAST_YEARS_CS93"/>
      <sheetName val="Fct_Sum_2_SeasonView90"/>
      <sheetName val="F1_Scenarios90"/>
      <sheetName val="Fct_Summary90"/>
      <sheetName val="Chris'_Tab90"/>
      <sheetName val="OTP_Summary_Result90"/>
      <sheetName val="OTP_Projection90"/>
      <sheetName val="Monthly_Loading90"/>
      <sheetName val="OTP_Source90"/>
      <sheetName val="FA14_Detail90"/>
      <sheetName val="Lynne's_Tab90"/>
      <sheetName val="SU14_Detail90"/>
      <sheetName val="Category_Callouts90"/>
      <sheetName val="Cap_Scenario90"/>
      <sheetName val="Subcapacity_outsoles_90"/>
      <sheetName val="PA_Scenarios90"/>
      <sheetName val="PA_Transfer_Summary90"/>
      <sheetName val="Monthly_Loading_-Summary90"/>
      <sheetName val="Monthly_Loading-PB_Data90"/>
      <sheetName val="Monthly_Loading-PrevOTP_Data90"/>
      <sheetName val="Data_Refresh90"/>
      <sheetName val="SUMM_LOADING_89"/>
      <sheetName val="Raw_Data_Sheet89"/>
      <sheetName val="IA_189"/>
      <sheetName val="DATA_MOLD_NEW_BALANCE89"/>
      <sheetName val="SSAI_IP_ORDER89"/>
      <sheetName val="Cutting_Dies_89"/>
      <sheetName val="Indirect_List75"/>
      <sheetName val="BASIS_DATA75"/>
      <sheetName val="SUBCONT_STATUS75"/>
      <sheetName val="cumulus_1621"/>
      <sheetName val="CTTR_Transfer_Type95"/>
      <sheetName val="GFP_Type95"/>
      <sheetName val="GFP_Reasons95"/>
      <sheetName val="LAST_YEARS_CS94"/>
      <sheetName val="Fct_Sum_2_SeasonView91"/>
      <sheetName val="F1_Scenarios91"/>
      <sheetName val="Fct_Summary91"/>
      <sheetName val="Chris'_Tab91"/>
      <sheetName val="OTP_Summary_Result91"/>
      <sheetName val="OTP_Projection91"/>
      <sheetName val="Monthly_Loading91"/>
      <sheetName val="OTP_Source91"/>
      <sheetName val="FA14_Detail91"/>
      <sheetName val="Lynne's_Tab91"/>
      <sheetName val="SU14_Detail91"/>
      <sheetName val="Category_Callouts91"/>
      <sheetName val="Cap_Scenario91"/>
      <sheetName val="Subcapacity_outsoles_91"/>
      <sheetName val="PA_Scenarios91"/>
      <sheetName val="PA_Transfer_Summary91"/>
      <sheetName val="Monthly_Loading_-Summary91"/>
      <sheetName val="Monthly_Loading-PB_Data91"/>
      <sheetName val="Monthly_Loading-PrevOTP_Data91"/>
      <sheetName val="Data_Refresh91"/>
      <sheetName val="SUMM_LOADING_90"/>
      <sheetName val="Raw_Data_Sheet90"/>
      <sheetName val="IA_190"/>
      <sheetName val="DATA_MOLD_NEW_BALANCE90"/>
      <sheetName val="SSAI_IP_ORDER90"/>
      <sheetName val="Cutting_Dies_90"/>
      <sheetName val="Indirect_List76"/>
      <sheetName val="BASIS_DATA76"/>
      <sheetName val="SUBCONT_STATUS76"/>
      <sheetName val="cumulus_1622"/>
      <sheetName val="CTTR_Transfer_Type98"/>
      <sheetName val="GFP_Type98"/>
      <sheetName val="GFP_Reasons98"/>
      <sheetName val="LAST_YEARS_CS97"/>
      <sheetName val="Fct_Sum_2_SeasonView94"/>
      <sheetName val="F1_Scenarios94"/>
      <sheetName val="Fct_Summary94"/>
      <sheetName val="Chris'_Tab94"/>
      <sheetName val="OTP_Summary_Result94"/>
      <sheetName val="OTP_Projection94"/>
      <sheetName val="Monthly_Loading94"/>
      <sheetName val="OTP_Source94"/>
      <sheetName val="FA14_Detail94"/>
      <sheetName val="Lynne's_Tab94"/>
      <sheetName val="SU14_Detail94"/>
      <sheetName val="Category_Callouts94"/>
      <sheetName val="Cap_Scenario94"/>
      <sheetName val="Subcapacity_outsoles_94"/>
      <sheetName val="PA_Scenarios94"/>
      <sheetName val="PA_Transfer_Summary94"/>
      <sheetName val="Monthly_Loading_-Summary94"/>
      <sheetName val="Monthly_Loading-PB_Data94"/>
      <sheetName val="Monthly_Loading-PrevOTP_Data94"/>
      <sheetName val="Data_Refresh94"/>
      <sheetName val="SUMM_LOADING_93"/>
      <sheetName val="Raw_Data_Sheet93"/>
      <sheetName val="IA_193"/>
      <sheetName val="DATA_MOLD_NEW_BALANCE93"/>
      <sheetName val="SSAI_IP_ORDER93"/>
      <sheetName val="Cutting_Dies_93"/>
      <sheetName val="Indirect_List79"/>
      <sheetName val="BASIS_DATA79"/>
      <sheetName val="SUBCONT_STATUS79"/>
      <sheetName val="cumulus_1625"/>
      <sheetName val="CTTR_Transfer_Type99"/>
      <sheetName val="GFP_Type99"/>
      <sheetName val="GFP_Reasons99"/>
      <sheetName val="LAST_YEARS_CS98"/>
      <sheetName val="Fct_Sum_2_SeasonView95"/>
      <sheetName val="F1_Scenarios95"/>
      <sheetName val="Fct_Summary95"/>
      <sheetName val="Chris'_Tab95"/>
      <sheetName val="OTP_Summary_Result95"/>
      <sheetName val="OTP_Projection95"/>
      <sheetName val="Monthly_Loading95"/>
      <sheetName val="OTP_Source95"/>
      <sheetName val="FA14_Detail95"/>
      <sheetName val="Lynne's_Tab95"/>
      <sheetName val="SU14_Detail95"/>
      <sheetName val="Category_Callouts95"/>
      <sheetName val="Cap_Scenario95"/>
      <sheetName val="Subcapacity_outsoles_95"/>
      <sheetName val="PA_Scenarios95"/>
      <sheetName val="PA_Transfer_Summary95"/>
      <sheetName val="Monthly_Loading_-Summary95"/>
      <sheetName val="Monthly_Loading-PB_Data95"/>
      <sheetName val="Monthly_Loading-PrevOTP_Data95"/>
      <sheetName val="Data_Refresh95"/>
      <sheetName val="SUMM_LOADING_94"/>
      <sheetName val="Raw_Data_Sheet94"/>
      <sheetName val="IA_194"/>
      <sheetName val="DATA_MOLD_NEW_BALANCE94"/>
      <sheetName val="SSAI_IP_ORDER94"/>
      <sheetName val="Cutting_Dies_94"/>
      <sheetName val="Indirect_List80"/>
      <sheetName val="BASIS_DATA80"/>
      <sheetName val="SUBCONT_STATUS80"/>
      <sheetName val="cumulus_1626"/>
      <sheetName val="CTTR_Transfer_Type100"/>
      <sheetName val="GFP_Type100"/>
      <sheetName val="GFP_Reasons100"/>
      <sheetName val="LAST_YEARS_CS99"/>
      <sheetName val="Fct_Sum_2_SeasonView96"/>
      <sheetName val="F1_Scenarios96"/>
      <sheetName val="Fct_Summary96"/>
      <sheetName val="Chris'_Tab96"/>
      <sheetName val="OTP_Summary_Result96"/>
      <sheetName val="OTP_Projection96"/>
      <sheetName val="Monthly_Loading96"/>
      <sheetName val="OTP_Source96"/>
      <sheetName val="FA14_Detail96"/>
      <sheetName val="Lynne's_Tab96"/>
      <sheetName val="SU14_Detail96"/>
      <sheetName val="Category_Callouts96"/>
      <sheetName val="Cap_Scenario96"/>
      <sheetName val="Subcapacity_outsoles_96"/>
      <sheetName val="PA_Scenarios96"/>
      <sheetName val="PA_Transfer_Summary96"/>
      <sheetName val="Monthly_Loading_-Summary96"/>
      <sheetName val="Monthly_Loading-PB_Data96"/>
      <sheetName val="Monthly_Loading-PrevOTP_Data96"/>
      <sheetName val="Data_Refresh96"/>
      <sheetName val="SUMM_LOADING_95"/>
      <sheetName val="Raw_Data_Sheet95"/>
      <sheetName val="IA_195"/>
      <sheetName val="DATA_MOLD_NEW_BALANCE95"/>
      <sheetName val="SSAI_IP_ORDER95"/>
      <sheetName val="Cutting_Dies_95"/>
      <sheetName val="Indirect_List81"/>
      <sheetName val="BASIS_DATA81"/>
      <sheetName val="SUBCONT_STATUS81"/>
      <sheetName val="cumulus_1627"/>
      <sheetName val="CTTR_Transfer_Type101"/>
      <sheetName val="GFP_Type101"/>
      <sheetName val="GFP_Reasons101"/>
      <sheetName val="LAST_YEARS_CS100"/>
      <sheetName val="Fct_Sum_2_SeasonView97"/>
      <sheetName val="F1_Scenarios97"/>
      <sheetName val="Fct_Summary97"/>
      <sheetName val="Chris'_Tab97"/>
      <sheetName val="OTP_Summary_Result97"/>
      <sheetName val="OTP_Projection97"/>
      <sheetName val="Monthly_Loading97"/>
      <sheetName val="OTP_Source97"/>
      <sheetName val="FA14_Detail97"/>
      <sheetName val="Lynne's_Tab97"/>
      <sheetName val="SU14_Detail97"/>
      <sheetName val="Category_Callouts97"/>
      <sheetName val="Cap_Scenario97"/>
      <sheetName val="Subcapacity_outsoles_97"/>
      <sheetName val="PA_Scenarios97"/>
      <sheetName val="PA_Transfer_Summary97"/>
      <sheetName val="Monthly_Loading_-Summary97"/>
      <sheetName val="Monthly_Loading-PB_Data97"/>
      <sheetName val="Monthly_Loading-PrevOTP_Data97"/>
      <sheetName val="Data_Refresh97"/>
      <sheetName val="SUMM_LOADING_96"/>
      <sheetName val="Raw_Data_Sheet96"/>
      <sheetName val="IA_196"/>
      <sheetName val="DATA_MOLD_NEW_BALANCE96"/>
      <sheetName val="SSAI_IP_ORDER96"/>
      <sheetName val="Cutting_Dies_96"/>
      <sheetName val="Indirect_List82"/>
      <sheetName val="BASIS_DATA82"/>
      <sheetName val="SUBCONT_STATUS82"/>
      <sheetName val="cumulus_1628"/>
      <sheetName val="CTTR_Transfer_Type102"/>
      <sheetName val="GFP_Type102"/>
      <sheetName val="GFP_Reasons102"/>
      <sheetName val="LAST_YEARS_CS101"/>
      <sheetName val="Fct_Sum_2_SeasonView98"/>
      <sheetName val="F1_Scenarios98"/>
      <sheetName val="Fct_Summary98"/>
      <sheetName val="Chris'_Tab98"/>
      <sheetName val="OTP_Summary_Result98"/>
      <sheetName val="OTP_Projection98"/>
      <sheetName val="Monthly_Loading98"/>
      <sheetName val="OTP_Source98"/>
      <sheetName val="FA14_Detail98"/>
      <sheetName val="Lynne's_Tab98"/>
      <sheetName val="SU14_Detail98"/>
      <sheetName val="Category_Callouts98"/>
      <sheetName val="Cap_Scenario98"/>
      <sheetName val="Subcapacity_outsoles_98"/>
      <sheetName val="PA_Scenarios98"/>
      <sheetName val="PA_Transfer_Summary98"/>
      <sheetName val="Monthly_Loading_-Summary98"/>
      <sheetName val="Monthly_Loading-PB_Data98"/>
      <sheetName val="Monthly_Loading-PrevOTP_Data98"/>
      <sheetName val="Data_Refresh98"/>
      <sheetName val="SUMM_LOADING_97"/>
      <sheetName val="Raw_Data_Sheet97"/>
      <sheetName val="IA_197"/>
      <sheetName val="DATA_MOLD_NEW_BALANCE97"/>
      <sheetName val="SSAI_IP_ORDER97"/>
      <sheetName val="Cutting_Dies_97"/>
      <sheetName val="Indirect_List83"/>
      <sheetName val="BASIS_DATA83"/>
      <sheetName val="SUBCONT_STATUS83"/>
      <sheetName val="cumulus_1629"/>
      <sheetName val="CTTR_Transfer_Type106"/>
      <sheetName val="GFP_Type106"/>
      <sheetName val="GFP_Reasons106"/>
      <sheetName val="LAST_YEARS_CS105"/>
      <sheetName val="Fct_Sum_2_SeasonView102"/>
      <sheetName val="F1_Scenarios102"/>
      <sheetName val="Fct_Summary102"/>
      <sheetName val="Chris'_Tab102"/>
      <sheetName val="OTP_Summary_Result102"/>
      <sheetName val="OTP_Projection102"/>
      <sheetName val="Monthly_Loading102"/>
      <sheetName val="OTP_Source102"/>
      <sheetName val="FA14_Detail102"/>
      <sheetName val="Lynne's_Tab102"/>
      <sheetName val="SU14_Detail102"/>
      <sheetName val="Category_Callouts102"/>
      <sheetName val="Cap_Scenario102"/>
      <sheetName val="Subcapacity_outsoles_102"/>
      <sheetName val="PA_Scenarios102"/>
      <sheetName val="PA_Transfer_Summary102"/>
      <sheetName val="Monthly_Loading_-Summary102"/>
      <sheetName val="Monthly_Loading-PB_Data102"/>
      <sheetName val="Monthly_Loading-PrevOTP_Data102"/>
      <sheetName val="Data_Refresh102"/>
      <sheetName val="SUMM_LOADING_101"/>
      <sheetName val="Raw_Data_Sheet101"/>
      <sheetName val="IA_1101"/>
      <sheetName val="DATA_MOLD_NEW_BALANCE101"/>
      <sheetName val="SSAI_IP_ORDER101"/>
      <sheetName val="Cutting_Dies_101"/>
      <sheetName val="Indirect_List87"/>
      <sheetName val="BASIS_DATA87"/>
      <sheetName val="SUBCONT_STATUS87"/>
      <sheetName val="cumulus_1633"/>
      <sheetName val="CTTR_Transfer_Type103"/>
      <sheetName val="GFP_Type103"/>
      <sheetName val="GFP_Reasons103"/>
      <sheetName val="LAST_YEARS_CS102"/>
      <sheetName val="Fct_Sum_2_SeasonView99"/>
      <sheetName val="F1_Scenarios99"/>
      <sheetName val="Fct_Summary99"/>
      <sheetName val="Chris'_Tab99"/>
      <sheetName val="OTP_Summary_Result99"/>
      <sheetName val="OTP_Projection99"/>
      <sheetName val="Monthly_Loading99"/>
      <sheetName val="OTP_Source99"/>
      <sheetName val="FA14_Detail99"/>
      <sheetName val="Lynne's_Tab99"/>
      <sheetName val="SU14_Detail99"/>
      <sheetName val="Category_Callouts99"/>
      <sheetName val="Cap_Scenario99"/>
      <sheetName val="Subcapacity_outsoles_99"/>
      <sheetName val="PA_Scenarios99"/>
      <sheetName val="PA_Transfer_Summary99"/>
      <sheetName val="Monthly_Loading_-Summary99"/>
      <sheetName val="Monthly_Loading-PB_Data99"/>
      <sheetName val="Monthly_Loading-PrevOTP_Data99"/>
      <sheetName val="Data_Refresh99"/>
      <sheetName val="SUMM_LOADING_98"/>
      <sheetName val="Raw_Data_Sheet98"/>
      <sheetName val="IA_198"/>
      <sheetName val="DATA_MOLD_NEW_BALANCE98"/>
      <sheetName val="SSAI_IP_ORDER98"/>
      <sheetName val="Cutting_Dies_98"/>
      <sheetName val="Indirect_List84"/>
      <sheetName val="BASIS_DATA84"/>
      <sheetName val="SUBCONT_STATUS84"/>
      <sheetName val="cumulus_1630"/>
      <sheetName val="CTTR_Transfer_Type104"/>
      <sheetName val="GFP_Type104"/>
      <sheetName val="GFP_Reasons104"/>
      <sheetName val="LAST_YEARS_CS103"/>
      <sheetName val="Fct_Sum_2_SeasonView100"/>
      <sheetName val="F1_Scenarios100"/>
      <sheetName val="Fct_Summary100"/>
      <sheetName val="Chris'_Tab100"/>
      <sheetName val="OTP_Summary_Result100"/>
      <sheetName val="OTP_Projection100"/>
      <sheetName val="Monthly_Loading100"/>
      <sheetName val="OTP_Source100"/>
      <sheetName val="FA14_Detail100"/>
      <sheetName val="Lynne's_Tab100"/>
      <sheetName val="SU14_Detail100"/>
      <sheetName val="Category_Callouts100"/>
      <sheetName val="Cap_Scenario100"/>
      <sheetName val="Subcapacity_outsoles_100"/>
      <sheetName val="PA_Scenarios100"/>
      <sheetName val="PA_Transfer_Summary100"/>
      <sheetName val="Monthly_Loading_-Summary100"/>
      <sheetName val="Monthly_Loading-PB_Data100"/>
      <sheetName val="Monthly_Loading-PrevOTP_Data100"/>
      <sheetName val="Data_Refresh100"/>
      <sheetName val="SUMM_LOADING_99"/>
      <sheetName val="Raw_Data_Sheet99"/>
      <sheetName val="IA_199"/>
      <sheetName val="DATA_MOLD_NEW_BALANCE99"/>
      <sheetName val="SSAI_IP_ORDER99"/>
      <sheetName val="Cutting_Dies_99"/>
      <sheetName val="Indirect_List85"/>
      <sheetName val="BASIS_DATA85"/>
      <sheetName val="SUBCONT_STATUS85"/>
      <sheetName val="cumulus_1631"/>
      <sheetName val="CTTR_Transfer_Type105"/>
      <sheetName val="GFP_Type105"/>
      <sheetName val="GFP_Reasons105"/>
      <sheetName val="LAST_YEARS_CS104"/>
      <sheetName val="Fct_Sum_2_SeasonView101"/>
      <sheetName val="F1_Scenarios101"/>
      <sheetName val="Fct_Summary101"/>
      <sheetName val="Chris'_Tab101"/>
      <sheetName val="OTP_Summary_Result101"/>
      <sheetName val="OTP_Projection101"/>
      <sheetName val="Monthly_Loading101"/>
      <sheetName val="OTP_Source101"/>
      <sheetName val="FA14_Detail101"/>
      <sheetName val="Lynne's_Tab101"/>
      <sheetName val="SU14_Detail101"/>
      <sheetName val="Category_Callouts101"/>
      <sheetName val="Cap_Scenario101"/>
      <sheetName val="Subcapacity_outsoles_101"/>
      <sheetName val="PA_Scenarios101"/>
      <sheetName val="PA_Transfer_Summary101"/>
      <sheetName val="Monthly_Loading_-Summary101"/>
      <sheetName val="Monthly_Loading-PB_Data101"/>
      <sheetName val="Monthly_Loading-PrevOTP_Data101"/>
      <sheetName val="Data_Refresh101"/>
      <sheetName val="SUMM_LOADING_100"/>
      <sheetName val="Raw_Data_Sheet100"/>
      <sheetName val="IA_1100"/>
      <sheetName val="DATA_MOLD_NEW_BALANCE100"/>
      <sheetName val="SSAI_IP_ORDER100"/>
      <sheetName val="Cutting_Dies_100"/>
      <sheetName val="Indirect_List86"/>
      <sheetName val="BASIS_DATA86"/>
      <sheetName val="SUBCONT_STATUS86"/>
      <sheetName val="cumulus_1632"/>
      <sheetName val="CTTR_Transfer_Type107"/>
      <sheetName val="GFP_Type107"/>
      <sheetName val="GFP_Reasons107"/>
      <sheetName val="LAST_YEARS_CS106"/>
      <sheetName val="Fct_Sum_2_SeasonView103"/>
      <sheetName val="F1_Scenarios103"/>
      <sheetName val="Fct_Summary103"/>
      <sheetName val="Chris'_Tab103"/>
      <sheetName val="OTP_Summary_Result103"/>
      <sheetName val="OTP_Projection103"/>
      <sheetName val="Monthly_Loading103"/>
      <sheetName val="OTP_Source103"/>
      <sheetName val="FA14_Detail103"/>
      <sheetName val="Lynne's_Tab103"/>
      <sheetName val="SU14_Detail103"/>
      <sheetName val="Category_Callouts103"/>
      <sheetName val="Cap_Scenario103"/>
      <sheetName val="Subcapacity_outsoles_103"/>
      <sheetName val="PA_Scenarios103"/>
      <sheetName val="PA_Transfer_Summary103"/>
      <sheetName val="Monthly_Loading_-Summary103"/>
      <sheetName val="Monthly_Loading-PB_Data103"/>
      <sheetName val="Monthly_Loading-PrevOTP_Data103"/>
      <sheetName val="Data_Refresh103"/>
      <sheetName val="SUMM_LOADING_102"/>
      <sheetName val="Raw_Data_Sheet102"/>
      <sheetName val="IA_1102"/>
      <sheetName val="DATA_MOLD_NEW_BALANCE102"/>
      <sheetName val="SSAI_IP_ORDER102"/>
      <sheetName val="Cutting_Dies_102"/>
      <sheetName val="Indirect_List88"/>
      <sheetName val="BASIS_DATA88"/>
      <sheetName val="SUBCONT_STATUS88"/>
      <sheetName val="cumulus_1634"/>
      <sheetName val="CTTR_Transfer_Type108"/>
      <sheetName val="GFP_Type108"/>
      <sheetName val="GFP_Reasons108"/>
      <sheetName val="LAST_YEARS_CS107"/>
      <sheetName val="Fct_Sum_2_SeasonView104"/>
      <sheetName val="F1_Scenarios104"/>
      <sheetName val="Fct_Summary104"/>
      <sheetName val="Chris'_Tab104"/>
      <sheetName val="OTP_Summary_Result104"/>
      <sheetName val="OTP_Projection104"/>
      <sheetName val="Monthly_Loading104"/>
      <sheetName val="OTP_Source104"/>
      <sheetName val="FA14_Detail104"/>
      <sheetName val="Lynne's_Tab104"/>
      <sheetName val="SU14_Detail104"/>
      <sheetName val="Category_Callouts104"/>
      <sheetName val="Cap_Scenario104"/>
      <sheetName val="Subcapacity_outsoles_104"/>
      <sheetName val="PA_Scenarios104"/>
      <sheetName val="PA_Transfer_Summary104"/>
      <sheetName val="Monthly_Loading_-Summary104"/>
      <sheetName val="Monthly_Loading-PB_Data104"/>
      <sheetName val="Monthly_Loading-PrevOTP_Data104"/>
      <sheetName val="Data_Refresh104"/>
      <sheetName val="SUMM_LOADING_103"/>
      <sheetName val="Raw_Data_Sheet103"/>
      <sheetName val="IA_1103"/>
      <sheetName val="DATA_MOLD_NEW_BALANCE103"/>
      <sheetName val="SSAI_IP_ORDER103"/>
      <sheetName val="Cutting_Dies_103"/>
      <sheetName val="Indirect_List89"/>
      <sheetName val="BASIS_DATA89"/>
      <sheetName val="SUBCONT_STATUS89"/>
      <sheetName val="cumulus_1635"/>
      <sheetName val="EAM_INVENTORY"/>
      <sheetName val="Maintenance_Work_Order"/>
      <sheetName val="CTTR_Transfer_Type109"/>
      <sheetName val="GFP_Type109"/>
      <sheetName val="GFP_Reasons109"/>
      <sheetName val="LAST_YEARS_CS108"/>
      <sheetName val="Fct_Sum_2_SeasonView105"/>
      <sheetName val="F1_Scenarios105"/>
      <sheetName val="Fct_Summary105"/>
      <sheetName val="Chris'_Tab105"/>
      <sheetName val="OTP_Summary_Result105"/>
      <sheetName val="OTP_Projection105"/>
      <sheetName val="Monthly_Loading105"/>
      <sheetName val="OTP_Source105"/>
      <sheetName val="FA14_Detail105"/>
      <sheetName val="Lynne's_Tab105"/>
      <sheetName val="SU14_Detail105"/>
      <sheetName val="Category_Callouts105"/>
      <sheetName val="Cap_Scenario105"/>
      <sheetName val="Subcapacity_outsoles_105"/>
      <sheetName val="PA_Scenarios105"/>
      <sheetName val="PA_Transfer_Summary105"/>
      <sheetName val="Monthly_Loading_-Summary105"/>
      <sheetName val="Monthly_Loading-PB_Data105"/>
      <sheetName val="Monthly_Loading-PrevOTP_Data105"/>
      <sheetName val="Data_Refresh105"/>
      <sheetName val="SUMM_LOADING_104"/>
      <sheetName val="Raw_Data_Sheet104"/>
      <sheetName val="IA_1104"/>
      <sheetName val="DATA_MOLD_NEW_BALANCE104"/>
      <sheetName val="SSAI_IP_ORDER104"/>
      <sheetName val="Cutting_Dies_104"/>
      <sheetName val="Indirect_List90"/>
      <sheetName val="BASIS_DATA90"/>
      <sheetName val="SUBCONT_STATUS90"/>
      <sheetName val="cumulus_1636"/>
      <sheetName val="EAM_INVENTORY1"/>
      <sheetName val="Maintenance_Work_Order1"/>
      <sheetName val="CTTR_Transfer_Type110"/>
      <sheetName val="GFP_Type110"/>
      <sheetName val="GFP_Reasons110"/>
      <sheetName val="LAST_YEARS_CS109"/>
      <sheetName val="Fct_Sum_2_SeasonView106"/>
      <sheetName val="F1_Scenarios106"/>
      <sheetName val="Fct_Summary106"/>
      <sheetName val="Chris'_Tab106"/>
      <sheetName val="OTP_Summary_Result106"/>
      <sheetName val="OTP_Projection106"/>
      <sheetName val="Monthly_Loading106"/>
      <sheetName val="OTP_Source106"/>
      <sheetName val="FA14_Detail106"/>
      <sheetName val="Lynne's_Tab106"/>
      <sheetName val="SU14_Detail106"/>
      <sheetName val="Category_Callouts106"/>
      <sheetName val="Cap_Scenario106"/>
      <sheetName val="Subcapacity_outsoles_106"/>
      <sheetName val="PA_Scenarios106"/>
      <sheetName val="PA_Transfer_Summary106"/>
      <sheetName val="Monthly_Loading_-Summary106"/>
      <sheetName val="Monthly_Loading-PB_Data106"/>
      <sheetName val="Monthly_Loading-PrevOTP_Data106"/>
      <sheetName val="Data_Refresh106"/>
      <sheetName val="SUMM_LOADING_105"/>
      <sheetName val="Raw_Data_Sheet105"/>
      <sheetName val="IA_1105"/>
      <sheetName val="DATA_MOLD_NEW_BALANCE105"/>
      <sheetName val="SSAI_IP_ORDER105"/>
      <sheetName val="Cutting_Dies_105"/>
      <sheetName val="Indirect_List91"/>
      <sheetName val="BASIS_DATA91"/>
      <sheetName val="SUBCONT_STATUS91"/>
      <sheetName val="cumulus_1637"/>
      <sheetName val="EAM_INVENTORY2"/>
      <sheetName val="Maintenance_Work_Order2"/>
      <sheetName val="CTTR_Transfer_Type128"/>
      <sheetName val="GFP_Type128"/>
      <sheetName val="GFP_Reasons128"/>
      <sheetName val="LAST_YEARS_CS127"/>
      <sheetName val="Fct_Sum_2_SeasonView124"/>
      <sheetName val="F1_Scenarios124"/>
      <sheetName val="Fct_Summary124"/>
      <sheetName val="Chris'_Tab124"/>
      <sheetName val="OTP_Summary_Result124"/>
      <sheetName val="OTP_Projection124"/>
      <sheetName val="Monthly_Loading124"/>
      <sheetName val="OTP_Source124"/>
      <sheetName val="FA14_Detail124"/>
      <sheetName val="Lynne's_Tab124"/>
      <sheetName val="SU14_Detail124"/>
      <sheetName val="Category_Callouts124"/>
      <sheetName val="Cap_Scenario124"/>
      <sheetName val="Subcapacity_outsoles_124"/>
      <sheetName val="PA_Scenarios124"/>
      <sheetName val="PA_Transfer_Summary124"/>
      <sheetName val="Monthly_Loading_-Summary124"/>
      <sheetName val="Monthly_Loading-PB_Data124"/>
      <sheetName val="Monthly_Loading-PrevOTP_Data124"/>
      <sheetName val="Data_Refresh124"/>
      <sheetName val="SUMM_LOADING_123"/>
      <sheetName val="Raw_Data_Sheet123"/>
      <sheetName val="IA_1123"/>
      <sheetName val="DATA_MOLD_NEW_BALANCE123"/>
      <sheetName val="SSAI_IP_ORDER123"/>
      <sheetName val="Cutting_Dies_123"/>
      <sheetName val="Indirect_List109"/>
      <sheetName val="BASIS_DATA109"/>
      <sheetName val="SUBCONT_STATUS109"/>
      <sheetName val="cumulus_1654"/>
      <sheetName val="EAM_INVENTORY19"/>
      <sheetName val="Maintenance_Work_Order19"/>
      <sheetName val="CTTR_Transfer_Type126"/>
      <sheetName val="GFP_Type126"/>
      <sheetName val="GFP_Reasons126"/>
      <sheetName val="LAST_YEARS_CS125"/>
      <sheetName val="Fct_Sum_2_SeasonView122"/>
      <sheetName val="F1_Scenarios122"/>
      <sheetName val="Fct_Summary122"/>
      <sheetName val="Chris'_Tab122"/>
      <sheetName val="OTP_Summary_Result122"/>
      <sheetName val="OTP_Projection122"/>
      <sheetName val="Monthly_Loading122"/>
      <sheetName val="OTP_Source122"/>
      <sheetName val="FA14_Detail122"/>
      <sheetName val="Lynne's_Tab122"/>
      <sheetName val="SU14_Detail122"/>
      <sheetName val="Category_Callouts122"/>
      <sheetName val="Cap_Scenario122"/>
      <sheetName val="Subcapacity_outsoles_122"/>
      <sheetName val="PA_Scenarios122"/>
      <sheetName val="PA_Transfer_Summary122"/>
      <sheetName val="Monthly_Loading_-Summary122"/>
      <sheetName val="Monthly_Loading-PB_Data122"/>
      <sheetName val="Monthly_Loading-PrevOTP_Data122"/>
      <sheetName val="Data_Refresh122"/>
      <sheetName val="SUMM_LOADING_121"/>
      <sheetName val="Raw_Data_Sheet121"/>
      <sheetName val="IA_1121"/>
      <sheetName val="DATA_MOLD_NEW_BALANCE121"/>
      <sheetName val="SSAI_IP_ORDER121"/>
      <sheetName val="Cutting_Dies_121"/>
      <sheetName val="Indirect_List107"/>
      <sheetName val="BASIS_DATA107"/>
      <sheetName val="SUBCONT_STATUS107"/>
      <sheetName val="cumulus_1653"/>
      <sheetName val="EAM_INVENTORY18"/>
      <sheetName val="Maintenance_Work_Order18"/>
      <sheetName val="CTTR_Transfer_Type125"/>
      <sheetName val="GFP_Type125"/>
      <sheetName val="GFP_Reasons125"/>
      <sheetName val="LAST_YEARS_CS124"/>
      <sheetName val="Fct_Sum_2_SeasonView121"/>
      <sheetName val="F1_Scenarios121"/>
      <sheetName val="Fct_Summary121"/>
      <sheetName val="Chris'_Tab121"/>
      <sheetName val="OTP_Summary_Result121"/>
      <sheetName val="OTP_Projection121"/>
      <sheetName val="Monthly_Loading121"/>
      <sheetName val="OTP_Source121"/>
      <sheetName val="FA14_Detail121"/>
      <sheetName val="Lynne's_Tab121"/>
      <sheetName val="SU14_Detail121"/>
      <sheetName val="Category_Callouts121"/>
      <sheetName val="Cap_Scenario121"/>
      <sheetName val="Subcapacity_outsoles_121"/>
      <sheetName val="PA_Scenarios121"/>
      <sheetName val="PA_Transfer_Summary121"/>
      <sheetName val="Monthly_Loading_-Summary121"/>
      <sheetName val="Monthly_Loading-PB_Data121"/>
      <sheetName val="Monthly_Loading-PrevOTP_Data121"/>
      <sheetName val="Data_Refresh121"/>
      <sheetName val="SUMM_LOADING_120"/>
      <sheetName val="Raw_Data_Sheet120"/>
      <sheetName val="IA_1120"/>
      <sheetName val="DATA_MOLD_NEW_BALANCE120"/>
      <sheetName val="SSAI_IP_ORDER120"/>
      <sheetName val="Cutting_Dies_120"/>
      <sheetName val="Indirect_List106"/>
      <sheetName val="BASIS_DATA106"/>
      <sheetName val="SUBCONT_STATUS106"/>
      <sheetName val="cumulus_1652"/>
      <sheetName val="EAM_INVENTORY17"/>
      <sheetName val="Maintenance_Work_Order17"/>
      <sheetName val="CTTR_Transfer_Type124"/>
      <sheetName val="GFP_Type124"/>
      <sheetName val="GFP_Reasons124"/>
      <sheetName val="LAST_YEARS_CS123"/>
      <sheetName val="Fct_Sum_2_SeasonView120"/>
      <sheetName val="F1_Scenarios120"/>
      <sheetName val="Fct_Summary120"/>
      <sheetName val="Chris'_Tab120"/>
      <sheetName val="OTP_Summary_Result120"/>
      <sheetName val="OTP_Projection120"/>
      <sheetName val="Monthly_Loading120"/>
      <sheetName val="OTP_Source120"/>
      <sheetName val="FA14_Detail120"/>
      <sheetName val="Lynne's_Tab120"/>
      <sheetName val="SU14_Detail120"/>
      <sheetName val="Category_Callouts120"/>
      <sheetName val="Cap_Scenario120"/>
      <sheetName val="Subcapacity_outsoles_120"/>
      <sheetName val="PA_Scenarios120"/>
      <sheetName val="PA_Transfer_Summary120"/>
      <sheetName val="Monthly_Loading_-Summary120"/>
      <sheetName val="Monthly_Loading-PB_Data120"/>
      <sheetName val="Monthly_Loading-PrevOTP_Data120"/>
      <sheetName val="Data_Refresh120"/>
      <sheetName val="SUMM_LOADING_119"/>
      <sheetName val="Raw_Data_Sheet119"/>
      <sheetName val="IA_1119"/>
      <sheetName val="DATA_MOLD_NEW_BALANCE119"/>
      <sheetName val="SSAI_IP_ORDER119"/>
      <sheetName val="Cutting_Dies_119"/>
      <sheetName val="Indirect_List105"/>
      <sheetName val="BASIS_DATA105"/>
      <sheetName val="SUBCONT_STATUS105"/>
      <sheetName val="cumulus_1651"/>
      <sheetName val="EAM_INVENTORY16"/>
      <sheetName val="Maintenance_Work_Order16"/>
      <sheetName val="CTTR_Transfer_Type123"/>
      <sheetName val="GFP_Type123"/>
      <sheetName val="GFP_Reasons123"/>
      <sheetName val="LAST_YEARS_CS122"/>
      <sheetName val="Fct_Sum_2_SeasonView119"/>
      <sheetName val="F1_Scenarios119"/>
      <sheetName val="Fct_Summary119"/>
      <sheetName val="Chris'_Tab119"/>
      <sheetName val="OTP_Summary_Result119"/>
      <sheetName val="OTP_Projection119"/>
      <sheetName val="Monthly_Loading119"/>
      <sheetName val="OTP_Source119"/>
      <sheetName val="FA14_Detail119"/>
      <sheetName val="Lynne's_Tab119"/>
      <sheetName val="SU14_Detail119"/>
      <sheetName val="Category_Callouts119"/>
      <sheetName val="Cap_Scenario119"/>
      <sheetName val="Subcapacity_outsoles_119"/>
      <sheetName val="PA_Scenarios119"/>
      <sheetName val="PA_Transfer_Summary119"/>
      <sheetName val="Monthly_Loading_-Summary119"/>
      <sheetName val="Monthly_Loading-PB_Data119"/>
      <sheetName val="Monthly_Loading-PrevOTP_Data119"/>
      <sheetName val="Data_Refresh119"/>
      <sheetName val="SUMM_LOADING_118"/>
      <sheetName val="Raw_Data_Sheet118"/>
      <sheetName val="IA_1118"/>
      <sheetName val="DATA_MOLD_NEW_BALANCE118"/>
      <sheetName val="SSAI_IP_ORDER118"/>
      <sheetName val="Cutting_Dies_118"/>
      <sheetName val="Indirect_List104"/>
      <sheetName val="BASIS_DATA104"/>
      <sheetName val="SUBCONT_STATUS104"/>
      <sheetName val="cumulus_1650"/>
      <sheetName val="EAM_INVENTORY15"/>
      <sheetName val="Maintenance_Work_Order15"/>
      <sheetName val="CTTR_Transfer_Type122"/>
      <sheetName val="GFP_Type122"/>
      <sheetName val="GFP_Reasons122"/>
      <sheetName val="LAST_YEARS_CS121"/>
      <sheetName val="Fct_Sum_2_SeasonView118"/>
      <sheetName val="F1_Scenarios118"/>
      <sheetName val="Fct_Summary118"/>
      <sheetName val="Chris'_Tab118"/>
      <sheetName val="OTP_Summary_Result118"/>
      <sheetName val="OTP_Projection118"/>
      <sheetName val="Monthly_Loading118"/>
      <sheetName val="OTP_Source118"/>
      <sheetName val="FA14_Detail118"/>
      <sheetName val="Lynne's_Tab118"/>
      <sheetName val="SU14_Detail118"/>
      <sheetName val="Category_Callouts118"/>
      <sheetName val="Cap_Scenario118"/>
      <sheetName val="Subcapacity_outsoles_118"/>
      <sheetName val="PA_Scenarios118"/>
      <sheetName val="PA_Transfer_Summary118"/>
      <sheetName val="Monthly_Loading_-Summary118"/>
      <sheetName val="Monthly_Loading-PB_Data118"/>
      <sheetName val="Monthly_Loading-PrevOTP_Data118"/>
      <sheetName val="Data_Refresh118"/>
      <sheetName val="SUMM_LOADING_117"/>
      <sheetName val="Raw_Data_Sheet117"/>
      <sheetName val="IA_1117"/>
      <sheetName val="DATA_MOLD_NEW_BALANCE117"/>
      <sheetName val="SSAI_IP_ORDER117"/>
      <sheetName val="Cutting_Dies_117"/>
      <sheetName val="Indirect_List103"/>
      <sheetName val="BASIS_DATA103"/>
      <sheetName val="SUBCONT_STATUS103"/>
      <sheetName val="cumulus_1649"/>
      <sheetName val="EAM_INVENTORY14"/>
      <sheetName val="Maintenance_Work_Order14"/>
      <sheetName val="CTTR_Transfer_Type114"/>
      <sheetName val="GFP_Type114"/>
      <sheetName val="GFP_Reasons114"/>
      <sheetName val="LAST_YEARS_CS113"/>
      <sheetName val="Fct_Sum_2_SeasonView110"/>
      <sheetName val="F1_Scenarios110"/>
      <sheetName val="Fct_Summary110"/>
      <sheetName val="Chris'_Tab110"/>
      <sheetName val="OTP_Summary_Result110"/>
      <sheetName val="OTP_Projection110"/>
      <sheetName val="Monthly_Loading110"/>
      <sheetName val="OTP_Source110"/>
      <sheetName val="FA14_Detail110"/>
      <sheetName val="Lynne's_Tab110"/>
      <sheetName val="SU14_Detail110"/>
      <sheetName val="Category_Callouts110"/>
      <sheetName val="Cap_Scenario110"/>
      <sheetName val="Subcapacity_outsoles_110"/>
      <sheetName val="PA_Scenarios110"/>
      <sheetName val="PA_Transfer_Summary110"/>
      <sheetName val="Monthly_Loading_-Summary110"/>
      <sheetName val="Monthly_Loading-PB_Data110"/>
      <sheetName val="Monthly_Loading-PrevOTP_Data110"/>
      <sheetName val="Data_Refresh110"/>
      <sheetName val="SUMM_LOADING_109"/>
      <sheetName val="Raw_Data_Sheet109"/>
      <sheetName val="IA_1109"/>
      <sheetName val="DATA_MOLD_NEW_BALANCE109"/>
      <sheetName val="SSAI_IP_ORDER109"/>
      <sheetName val="Cutting_Dies_109"/>
      <sheetName val="Indirect_List95"/>
      <sheetName val="BASIS_DATA95"/>
      <sheetName val="SUBCONT_STATUS95"/>
      <sheetName val="cumulus_1641"/>
      <sheetName val="EAM_INVENTORY6"/>
      <sheetName val="Maintenance_Work_Order6"/>
      <sheetName val="CTTR_Transfer_Type112"/>
      <sheetName val="GFP_Type112"/>
      <sheetName val="GFP_Reasons112"/>
      <sheetName val="LAST_YEARS_CS111"/>
      <sheetName val="Fct_Sum_2_SeasonView108"/>
      <sheetName val="F1_Scenarios108"/>
      <sheetName val="Fct_Summary108"/>
      <sheetName val="Chris'_Tab108"/>
      <sheetName val="OTP_Summary_Result108"/>
      <sheetName val="OTP_Projection108"/>
      <sheetName val="Monthly_Loading108"/>
      <sheetName val="OTP_Source108"/>
      <sheetName val="FA14_Detail108"/>
      <sheetName val="Lynne's_Tab108"/>
      <sheetName val="SU14_Detail108"/>
      <sheetName val="Category_Callouts108"/>
      <sheetName val="Cap_Scenario108"/>
      <sheetName val="Subcapacity_outsoles_108"/>
      <sheetName val="PA_Scenarios108"/>
      <sheetName val="PA_Transfer_Summary108"/>
      <sheetName val="Monthly_Loading_-Summary108"/>
      <sheetName val="Monthly_Loading-PB_Data108"/>
      <sheetName val="Monthly_Loading-PrevOTP_Data108"/>
      <sheetName val="Data_Refresh108"/>
      <sheetName val="SUMM_LOADING_107"/>
      <sheetName val="Raw_Data_Sheet107"/>
      <sheetName val="IA_1107"/>
      <sheetName val="DATA_MOLD_NEW_BALANCE107"/>
      <sheetName val="SSAI_IP_ORDER107"/>
      <sheetName val="Cutting_Dies_107"/>
      <sheetName val="Indirect_List93"/>
      <sheetName val="BASIS_DATA93"/>
      <sheetName val="SUBCONT_STATUS93"/>
      <sheetName val="cumulus_1639"/>
      <sheetName val="EAM_INVENTORY4"/>
      <sheetName val="Maintenance_Work_Order4"/>
      <sheetName val="CTTR_Transfer_Type111"/>
      <sheetName val="GFP_Type111"/>
      <sheetName val="GFP_Reasons111"/>
      <sheetName val="LAST_YEARS_CS110"/>
      <sheetName val="Fct_Sum_2_SeasonView107"/>
      <sheetName val="F1_Scenarios107"/>
      <sheetName val="Fct_Summary107"/>
      <sheetName val="Chris'_Tab107"/>
      <sheetName val="OTP_Summary_Result107"/>
      <sheetName val="OTP_Projection107"/>
      <sheetName val="Monthly_Loading107"/>
      <sheetName val="OTP_Source107"/>
      <sheetName val="FA14_Detail107"/>
      <sheetName val="Lynne's_Tab107"/>
      <sheetName val="SU14_Detail107"/>
      <sheetName val="Category_Callouts107"/>
      <sheetName val="Cap_Scenario107"/>
      <sheetName val="Subcapacity_outsoles_107"/>
      <sheetName val="PA_Scenarios107"/>
      <sheetName val="PA_Transfer_Summary107"/>
      <sheetName val="Monthly_Loading_-Summary107"/>
      <sheetName val="Monthly_Loading-PB_Data107"/>
      <sheetName val="Monthly_Loading-PrevOTP_Data107"/>
      <sheetName val="Data_Refresh107"/>
      <sheetName val="SUMM_LOADING_106"/>
      <sheetName val="Raw_Data_Sheet106"/>
      <sheetName val="IA_1106"/>
      <sheetName val="DATA_MOLD_NEW_BALANCE106"/>
      <sheetName val="SSAI_IP_ORDER106"/>
      <sheetName val="Cutting_Dies_106"/>
      <sheetName val="Indirect_List92"/>
      <sheetName val="BASIS_DATA92"/>
      <sheetName val="SUBCONT_STATUS92"/>
      <sheetName val="cumulus_1638"/>
      <sheetName val="EAM_INVENTORY3"/>
      <sheetName val="Maintenance_Work_Order3"/>
      <sheetName val="CTTR_Transfer_Type113"/>
      <sheetName val="GFP_Type113"/>
      <sheetName val="GFP_Reasons113"/>
      <sheetName val="LAST_YEARS_CS112"/>
      <sheetName val="Fct_Sum_2_SeasonView109"/>
      <sheetName val="F1_Scenarios109"/>
      <sheetName val="Fct_Summary109"/>
      <sheetName val="Chris'_Tab109"/>
      <sheetName val="OTP_Summary_Result109"/>
      <sheetName val="OTP_Projection109"/>
      <sheetName val="Monthly_Loading109"/>
      <sheetName val="OTP_Source109"/>
      <sheetName val="FA14_Detail109"/>
      <sheetName val="Lynne's_Tab109"/>
      <sheetName val="SU14_Detail109"/>
      <sheetName val="Category_Callouts109"/>
      <sheetName val="Cap_Scenario109"/>
      <sheetName val="Subcapacity_outsoles_109"/>
      <sheetName val="PA_Scenarios109"/>
      <sheetName val="PA_Transfer_Summary109"/>
      <sheetName val="Monthly_Loading_-Summary109"/>
      <sheetName val="Monthly_Loading-PB_Data109"/>
      <sheetName val="Monthly_Loading-PrevOTP_Data109"/>
      <sheetName val="Data_Refresh109"/>
      <sheetName val="SUMM_LOADING_108"/>
      <sheetName val="Raw_Data_Sheet108"/>
      <sheetName val="IA_1108"/>
      <sheetName val="DATA_MOLD_NEW_BALANCE108"/>
      <sheetName val="SSAI_IP_ORDER108"/>
      <sheetName val="Cutting_Dies_108"/>
      <sheetName val="Indirect_List94"/>
      <sheetName val="BASIS_DATA94"/>
      <sheetName val="SUBCONT_STATUS94"/>
      <sheetName val="cumulus_1640"/>
      <sheetName val="EAM_INVENTORY5"/>
      <sheetName val="Maintenance_Work_Order5"/>
      <sheetName val="CTTR_Transfer_Type115"/>
      <sheetName val="GFP_Type115"/>
      <sheetName val="GFP_Reasons115"/>
      <sheetName val="LAST_YEARS_CS114"/>
      <sheetName val="Fct_Sum_2_SeasonView111"/>
      <sheetName val="F1_Scenarios111"/>
      <sheetName val="Fct_Summary111"/>
      <sheetName val="Chris'_Tab111"/>
      <sheetName val="OTP_Summary_Result111"/>
      <sheetName val="OTP_Projection111"/>
      <sheetName val="Monthly_Loading111"/>
      <sheetName val="OTP_Source111"/>
      <sheetName val="FA14_Detail111"/>
      <sheetName val="Lynne's_Tab111"/>
      <sheetName val="SU14_Detail111"/>
      <sheetName val="Category_Callouts111"/>
      <sheetName val="Cap_Scenario111"/>
      <sheetName val="Subcapacity_outsoles_111"/>
      <sheetName val="PA_Scenarios111"/>
      <sheetName val="PA_Transfer_Summary111"/>
      <sheetName val="Monthly_Loading_-Summary111"/>
      <sheetName val="Monthly_Loading-PB_Data111"/>
      <sheetName val="Monthly_Loading-PrevOTP_Data111"/>
      <sheetName val="Data_Refresh111"/>
      <sheetName val="SUMM_LOADING_110"/>
      <sheetName val="Raw_Data_Sheet110"/>
      <sheetName val="IA_1110"/>
      <sheetName val="DATA_MOLD_NEW_BALANCE110"/>
      <sheetName val="SSAI_IP_ORDER110"/>
      <sheetName val="Cutting_Dies_110"/>
      <sheetName val="Indirect_List96"/>
      <sheetName val="BASIS_DATA96"/>
      <sheetName val="SUBCONT_STATUS96"/>
      <sheetName val="cumulus_1642"/>
      <sheetName val="EAM_INVENTORY7"/>
      <sheetName val="Maintenance_Work_Order7"/>
      <sheetName val="CTTR_Transfer_Type116"/>
      <sheetName val="GFP_Type116"/>
      <sheetName val="GFP_Reasons116"/>
      <sheetName val="LAST_YEARS_CS115"/>
      <sheetName val="Fct_Sum_2_SeasonView112"/>
      <sheetName val="F1_Scenarios112"/>
      <sheetName val="Fct_Summary112"/>
      <sheetName val="Chris'_Tab112"/>
      <sheetName val="OTP_Summary_Result112"/>
      <sheetName val="OTP_Projection112"/>
      <sheetName val="Monthly_Loading112"/>
      <sheetName val="OTP_Source112"/>
      <sheetName val="FA14_Detail112"/>
      <sheetName val="Lynne's_Tab112"/>
      <sheetName val="SU14_Detail112"/>
      <sheetName val="Category_Callouts112"/>
      <sheetName val="Cap_Scenario112"/>
      <sheetName val="Subcapacity_outsoles_112"/>
      <sheetName val="PA_Scenarios112"/>
      <sheetName val="PA_Transfer_Summary112"/>
      <sheetName val="Monthly_Loading_-Summary112"/>
      <sheetName val="Monthly_Loading-PB_Data112"/>
      <sheetName val="Monthly_Loading-PrevOTP_Data112"/>
      <sheetName val="Data_Refresh112"/>
      <sheetName val="SUMM_LOADING_111"/>
      <sheetName val="Raw_Data_Sheet111"/>
      <sheetName val="IA_1111"/>
      <sheetName val="DATA_MOLD_NEW_BALANCE111"/>
      <sheetName val="SSAI_IP_ORDER111"/>
      <sheetName val="Cutting_Dies_111"/>
      <sheetName val="Indirect_List97"/>
      <sheetName val="BASIS_DATA97"/>
      <sheetName val="SUBCONT_STATUS97"/>
      <sheetName val="cumulus_1643"/>
      <sheetName val="EAM_INVENTORY8"/>
      <sheetName val="Maintenance_Work_Order8"/>
      <sheetName val="CTTR_Transfer_Type117"/>
      <sheetName val="GFP_Type117"/>
      <sheetName val="GFP_Reasons117"/>
      <sheetName val="LAST_YEARS_CS116"/>
      <sheetName val="Fct_Sum_2_SeasonView113"/>
      <sheetName val="F1_Scenarios113"/>
      <sheetName val="Fct_Summary113"/>
      <sheetName val="Chris'_Tab113"/>
      <sheetName val="OTP_Summary_Result113"/>
      <sheetName val="OTP_Projection113"/>
      <sheetName val="Monthly_Loading113"/>
      <sheetName val="OTP_Source113"/>
      <sheetName val="FA14_Detail113"/>
      <sheetName val="Lynne's_Tab113"/>
      <sheetName val="SU14_Detail113"/>
      <sheetName val="Category_Callouts113"/>
      <sheetName val="Cap_Scenario113"/>
      <sheetName val="Subcapacity_outsoles_113"/>
      <sheetName val="PA_Scenarios113"/>
      <sheetName val="PA_Transfer_Summary113"/>
      <sheetName val="Monthly_Loading_-Summary113"/>
      <sheetName val="Monthly_Loading-PB_Data113"/>
      <sheetName val="Monthly_Loading-PrevOTP_Data113"/>
      <sheetName val="Data_Refresh113"/>
      <sheetName val="SUMM_LOADING_112"/>
      <sheetName val="Raw_Data_Sheet112"/>
      <sheetName val="IA_1112"/>
      <sheetName val="DATA_MOLD_NEW_BALANCE112"/>
      <sheetName val="SSAI_IP_ORDER112"/>
      <sheetName val="Cutting_Dies_112"/>
      <sheetName val="Indirect_List98"/>
      <sheetName val="BASIS_DATA98"/>
      <sheetName val="SUBCONT_STATUS98"/>
      <sheetName val="cumulus_1644"/>
      <sheetName val="EAM_INVENTORY9"/>
      <sheetName val="Maintenance_Work_Order9"/>
      <sheetName val="CTTR_Transfer_Type118"/>
      <sheetName val="GFP_Type118"/>
      <sheetName val="GFP_Reasons118"/>
      <sheetName val="LAST_YEARS_CS117"/>
      <sheetName val="Fct_Sum_2_SeasonView114"/>
      <sheetName val="F1_Scenarios114"/>
      <sheetName val="Fct_Summary114"/>
      <sheetName val="Chris'_Tab114"/>
      <sheetName val="OTP_Summary_Result114"/>
      <sheetName val="OTP_Projection114"/>
      <sheetName val="Monthly_Loading114"/>
      <sheetName val="OTP_Source114"/>
      <sheetName val="FA14_Detail114"/>
      <sheetName val="Lynne's_Tab114"/>
      <sheetName val="SU14_Detail114"/>
      <sheetName val="Category_Callouts114"/>
      <sheetName val="Cap_Scenario114"/>
      <sheetName val="Subcapacity_outsoles_114"/>
      <sheetName val="PA_Scenarios114"/>
      <sheetName val="PA_Transfer_Summary114"/>
      <sheetName val="Monthly_Loading_-Summary114"/>
      <sheetName val="Monthly_Loading-PB_Data114"/>
      <sheetName val="Monthly_Loading-PrevOTP_Data114"/>
      <sheetName val="Data_Refresh114"/>
      <sheetName val="SUMM_LOADING_113"/>
      <sheetName val="Raw_Data_Sheet113"/>
      <sheetName val="IA_1113"/>
      <sheetName val="DATA_MOLD_NEW_BALANCE113"/>
      <sheetName val="SSAI_IP_ORDER113"/>
      <sheetName val="Cutting_Dies_113"/>
      <sheetName val="Indirect_List99"/>
      <sheetName val="BASIS_DATA99"/>
      <sheetName val="SUBCONT_STATUS99"/>
      <sheetName val="cumulus_1645"/>
      <sheetName val="EAM_INVENTORY10"/>
      <sheetName val="Maintenance_Work_Order10"/>
      <sheetName val="CTTR_Transfer_Type119"/>
      <sheetName val="GFP_Type119"/>
      <sheetName val="GFP_Reasons119"/>
      <sheetName val="LAST_YEARS_CS118"/>
      <sheetName val="Fct_Sum_2_SeasonView115"/>
      <sheetName val="F1_Scenarios115"/>
      <sheetName val="Fct_Summary115"/>
      <sheetName val="Chris'_Tab115"/>
      <sheetName val="OTP_Summary_Result115"/>
      <sheetName val="OTP_Projection115"/>
      <sheetName val="Monthly_Loading115"/>
      <sheetName val="OTP_Source115"/>
      <sheetName val="FA14_Detail115"/>
      <sheetName val="Lynne's_Tab115"/>
      <sheetName val="SU14_Detail115"/>
      <sheetName val="Category_Callouts115"/>
      <sheetName val="Cap_Scenario115"/>
      <sheetName val="Subcapacity_outsoles_115"/>
      <sheetName val="PA_Scenarios115"/>
      <sheetName val="PA_Transfer_Summary115"/>
      <sheetName val="Monthly_Loading_-Summary115"/>
      <sheetName val="Monthly_Loading-PB_Data115"/>
      <sheetName val="Monthly_Loading-PrevOTP_Data115"/>
      <sheetName val="Data_Refresh115"/>
      <sheetName val="SUMM_LOADING_114"/>
      <sheetName val="Raw_Data_Sheet114"/>
      <sheetName val="IA_1114"/>
      <sheetName val="DATA_MOLD_NEW_BALANCE114"/>
      <sheetName val="SSAI_IP_ORDER114"/>
      <sheetName val="Cutting_Dies_114"/>
      <sheetName val="Indirect_List100"/>
      <sheetName val="BASIS_DATA100"/>
      <sheetName val="SUBCONT_STATUS100"/>
      <sheetName val="cumulus_1646"/>
      <sheetName val="EAM_INVENTORY11"/>
      <sheetName val="Maintenance_Work_Order11"/>
      <sheetName val="CTTR_Transfer_Type120"/>
      <sheetName val="GFP_Type120"/>
      <sheetName val="GFP_Reasons120"/>
      <sheetName val="LAST_YEARS_CS119"/>
      <sheetName val="Fct_Sum_2_SeasonView116"/>
      <sheetName val="F1_Scenarios116"/>
      <sheetName val="Fct_Summary116"/>
      <sheetName val="Chris'_Tab116"/>
      <sheetName val="OTP_Summary_Result116"/>
      <sheetName val="OTP_Projection116"/>
      <sheetName val="Monthly_Loading116"/>
      <sheetName val="OTP_Source116"/>
      <sheetName val="FA14_Detail116"/>
      <sheetName val="Lynne's_Tab116"/>
      <sheetName val="SU14_Detail116"/>
      <sheetName val="Category_Callouts116"/>
      <sheetName val="Cap_Scenario116"/>
      <sheetName val="Subcapacity_outsoles_116"/>
      <sheetName val="PA_Scenarios116"/>
      <sheetName val="PA_Transfer_Summary116"/>
      <sheetName val="Monthly_Loading_-Summary116"/>
      <sheetName val="Monthly_Loading-PB_Data116"/>
      <sheetName val="Monthly_Loading-PrevOTP_Data116"/>
      <sheetName val="Data_Refresh116"/>
      <sheetName val="SUMM_LOADING_115"/>
      <sheetName val="Raw_Data_Sheet115"/>
      <sheetName val="IA_1115"/>
      <sheetName val="DATA_MOLD_NEW_BALANCE115"/>
      <sheetName val="SSAI_IP_ORDER115"/>
      <sheetName val="Cutting_Dies_115"/>
      <sheetName val="Indirect_List101"/>
      <sheetName val="BASIS_DATA101"/>
      <sheetName val="SUBCONT_STATUS101"/>
      <sheetName val="cumulus_1647"/>
      <sheetName val="EAM_INVENTORY12"/>
      <sheetName val="Maintenance_Work_Order12"/>
      <sheetName val="CTTR_Transfer_Type121"/>
      <sheetName val="GFP_Type121"/>
      <sheetName val="GFP_Reasons121"/>
      <sheetName val="LAST_YEARS_CS120"/>
      <sheetName val="Fct_Sum_2_SeasonView117"/>
      <sheetName val="F1_Scenarios117"/>
      <sheetName val="Fct_Summary117"/>
      <sheetName val="Chris'_Tab117"/>
      <sheetName val="OTP_Summary_Result117"/>
      <sheetName val="OTP_Projection117"/>
      <sheetName val="Monthly_Loading117"/>
      <sheetName val="OTP_Source117"/>
      <sheetName val="FA14_Detail117"/>
      <sheetName val="Lynne's_Tab117"/>
      <sheetName val="SU14_Detail117"/>
      <sheetName val="Category_Callouts117"/>
      <sheetName val="Cap_Scenario117"/>
      <sheetName val="Subcapacity_outsoles_117"/>
      <sheetName val="PA_Scenarios117"/>
      <sheetName val="PA_Transfer_Summary117"/>
      <sheetName val="Monthly_Loading_-Summary117"/>
      <sheetName val="Monthly_Loading-PB_Data117"/>
      <sheetName val="Monthly_Loading-PrevOTP_Data117"/>
      <sheetName val="Data_Refresh117"/>
      <sheetName val="SUMM_LOADING_116"/>
      <sheetName val="Raw_Data_Sheet116"/>
      <sheetName val="IA_1116"/>
      <sheetName val="DATA_MOLD_NEW_BALANCE116"/>
      <sheetName val="SSAI_IP_ORDER116"/>
      <sheetName val="Cutting_Dies_116"/>
      <sheetName val="Indirect_List102"/>
      <sheetName val="BASIS_DATA102"/>
      <sheetName val="SUBCONT_STATUS102"/>
      <sheetName val="cumulus_1648"/>
      <sheetName val="EAM_INVENTORY13"/>
      <sheetName val="Maintenance_Work_Order13"/>
      <sheetName val="CTTR_Transfer_Type127"/>
      <sheetName val="GFP_Type127"/>
      <sheetName val="GFP_Reasons127"/>
      <sheetName val="LAST_YEARS_CS126"/>
      <sheetName val="Fct_Sum_2_SeasonView123"/>
      <sheetName val="F1_Scenarios123"/>
      <sheetName val="Fct_Summary123"/>
      <sheetName val="Chris'_Tab123"/>
      <sheetName val="OTP_Summary_Result123"/>
      <sheetName val="OTP_Projection123"/>
      <sheetName val="Monthly_Loading123"/>
      <sheetName val="OTP_Source123"/>
      <sheetName val="FA14_Detail123"/>
      <sheetName val="Lynne's_Tab123"/>
      <sheetName val="SU14_Detail123"/>
      <sheetName val="Category_Callouts123"/>
      <sheetName val="Cap_Scenario123"/>
      <sheetName val="Subcapacity_outsoles_123"/>
      <sheetName val="PA_Scenarios123"/>
      <sheetName val="PA_Transfer_Summary123"/>
      <sheetName val="Monthly_Loading_-Summary123"/>
      <sheetName val="Monthly_Loading-PB_Data123"/>
      <sheetName val="Monthly_Loading-PrevOTP_Data123"/>
      <sheetName val="Data_Refresh123"/>
      <sheetName val="SUMM_LOADING_122"/>
      <sheetName val="Raw_Data_Sheet122"/>
      <sheetName val="IA_1122"/>
      <sheetName val="DATA_MOLD_NEW_BALANCE122"/>
      <sheetName val="SSAI_IP_ORDER122"/>
      <sheetName val="Cutting_Dies_122"/>
      <sheetName val="Indirect_List108"/>
      <sheetName val="BASIS_DATA108"/>
      <sheetName val="SUBCONT_STATUS108"/>
      <sheetName val="CTTR_Transfer_Type129"/>
      <sheetName val="GFP_Type129"/>
      <sheetName val="GFP_Reasons129"/>
      <sheetName val="LAST_YEARS_CS128"/>
      <sheetName val="Fct_Sum_2_SeasonView125"/>
      <sheetName val="F1_Scenarios125"/>
      <sheetName val="Fct_Summary125"/>
      <sheetName val="Chris'_Tab125"/>
      <sheetName val="OTP_Summary_Result125"/>
      <sheetName val="OTP_Projection125"/>
      <sheetName val="Monthly_Loading125"/>
      <sheetName val="OTP_Source125"/>
      <sheetName val="FA14_Detail125"/>
      <sheetName val="Lynne's_Tab125"/>
      <sheetName val="SU14_Detail125"/>
      <sheetName val="Category_Callouts125"/>
      <sheetName val="Cap_Scenario125"/>
      <sheetName val="Subcapacity_outsoles_125"/>
      <sheetName val="PA_Scenarios125"/>
      <sheetName val="PA_Transfer_Summary125"/>
      <sheetName val="Monthly_Loading_-Summary125"/>
      <sheetName val="Monthly_Loading-PB_Data125"/>
      <sheetName val="Monthly_Loading-PrevOTP_Data125"/>
      <sheetName val="Data_Refresh125"/>
      <sheetName val="SUMM_LOADING_124"/>
      <sheetName val="Raw_Data_Sheet124"/>
      <sheetName val="IA_1124"/>
      <sheetName val="DATA_MOLD_NEW_BALANCE124"/>
      <sheetName val="SSAI_IP_ORDER124"/>
      <sheetName val="Cutting_Dies_124"/>
      <sheetName val="Indirect_List110"/>
      <sheetName val="BASIS_DATA110"/>
      <sheetName val="SUBCONT_STATUS110"/>
      <sheetName val="cumulus_1655"/>
      <sheetName val="EAM_INVENTORY20"/>
      <sheetName val="Maintenance_Work_Order20"/>
      <sheetName val="CTTR_Transfer_Type130"/>
      <sheetName val="GFP_Type130"/>
      <sheetName val="GFP_Reasons130"/>
      <sheetName val="LAST_YEARS_CS129"/>
      <sheetName val="Fct_Sum_2_SeasonView126"/>
      <sheetName val="F1_Scenarios126"/>
      <sheetName val="Fct_Summary126"/>
      <sheetName val="Chris'_Tab126"/>
      <sheetName val="OTP_Summary_Result126"/>
      <sheetName val="OTP_Projection126"/>
      <sheetName val="Monthly_Loading126"/>
      <sheetName val="OTP_Source126"/>
      <sheetName val="FA14_Detail126"/>
      <sheetName val="Lynne's_Tab126"/>
      <sheetName val="SU14_Detail126"/>
      <sheetName val="Category_Callouts126"/>
      <sheetName val="Cap_Scenario126"/>
      <sheetName val="Subcapacity_outsoles_126"/>
      <sheetName val="PA_Scenarios126"/>
      <sheetName val="PA_Transfer_Summary126"/>
      <sheetName val="Monthly_Loading_-Summary126"/>
      <sheetName val="Monthly_Loading-PB_Data126"/>
      <sheetName val="Monthly_Loading-PrevOTP_Data126"/>
      <sheetName val="Data_Refresh126"/>
      <sheetName val="SUMM_LOADING_125"/>
      <sheetName val="Raw_Data_Sheet125"/>
      <sheetName val="IA_1125"/>
      <sheetName val="DATA_MOLD_NEW_BALANCE125"/>
      <sheetName val="SSAI_IP_ORDER125"/>
      <sheetName val="Cutting_Dies_125"/>
      <sheetName val="Indirect_List111"/>
      <sheetName val="BASIS_DATA111"/>
      <sheetName val="SUBCONT_STATUS111"/>
      <sheetName val="cumulus_1656"/>
      <sheetName val="EAM_INVENTORY21"/>
      <sheetName val="Maintenance_Work_Order21"/>
      <sheetName val="CTTR_Transfer_Type131"/>
      <sheetName val="GFP_Type131"/>
      <sheetName val="GFP_Reasons131"/>
      <sheetName val="LAST_YEARS_CS130"/>
      <sheetName val="Fct_Sum_2_SeasonView127"/>
      <sheetName val="F1_Scenarios127"/>
      <sheetName val="Fct_Summary127"/>
      <sheetName val="Chris'_Tab127"/>
      <sheetName val="OTP_Summary_Result127"/>
      <sheetName val="OTP_Projection127"/>
      <sheetName val="Monthly_Loading127"/>
      <sheetName val="OTP_Source127"/>
      <sheetName val="FA14_Detail127"/>
      <sheetName val="Lynne's_Tab127"/>
      <sheetName val="SU14_Detail127"/>
      <sheetName val="Category_Callouts127"/>
      <sheetName val="Cap_Scenario127"/>
      <sheetName val="Subcapacity_outsoles_127"/>
      <sheetName val="PA_Scenarios127"/>
      <sheetName val="PA_Transfer_Summary127"/>
      <sheetName val="Monthly_Loading_-Summary127"/>
      <sheetName val="Monthly_Loading-PB_Data127"/>
      <sheetName val="Monthly_Loading-PrevOTP_Data127"/>
      <sheetName val="Data_Refresh127"/>
      <sheetName val="SUMM_LOADING_126"/>
      <sheetName val="Raw_Data_Sheet126"/>
      <sheetName val="IA_1126"/>
      <sheetName val="DATA_MOLD_NEW_BALANCE126"/>
      <sheetName val="SSAI_IP_ORDER126"/>
      <sheetName val="Cutting_Dies_126"/>
      <sheetName val="Indirect_List112"/>
      <sheetName val="BASIS_DATA112"/>
      <sheetName val="SUBCONT_STATUS112"/>
      <sheetName val="cumulus_1657"/>
      <sheetName val="EAM_INVENTORY22"/>
      <sheetName val="Maintenance_Work_Order22"/>
      <sheetName val="CTTR_Transfer_Type132"/>
      <sheetName val="GFP_Type132"/>
      <sheetName val="GFP_Reasons132"/>
      <sheetName val="LAST_YEARS_CS131"/>
      <sheetName val="Fct_Sum_2_SeasonView128"/>
      <sheetName val="F1_Scenarios128"/>
      <sheetName val="Fct_Summary128"/>
      <sheetName val="Chris'_Tab128"/>
      <sheetName val="OTP_Summary_Result128"/>
      <sheetName val="OTP_Projection128"/>
      <sheetName val="Monthly_Loading128"/>
      <sheetName val="OTP_Source128"/>
      <sheetName val="FA14_Detail128"/>
      <sheetName val="Lynne's_Tab128"/>
      <sheetName val="SU14_Detail128"/>
      <sheetName val="Category_Callouts128"/>
      <sheetName val="Cap_Scenario128"/>
      <sheetName val="Subcapacity_outsoles_128"/>
      <sheetName val="PA_Scenarios128"/>
      <sheetName val="PA_Transfer_Summary128"/>
      <sheetName val="Monthly_Loading_-Summary128"/>
      <sheetName val="Monthly_Loading-PB_Data128"/>
      <sheetName val="Monthly_Loading-PrevOTP_Data128"/>
      <sheetName val="Data_Refresh128"/>
      <sheetName val="SUMM_LOADING_127"/>
      <sheetName val="Raw_Data_Sheet127"/>
      <sheetName val="IA_1127"/>
      <sheetName val="DATA_MOLD_NEW_BALANCE127"/>
      <sheetName val="SSAI_IP_ORDER127"/>
      <sheetName val="Cutting_Dies_127"/>
      <sheetName val="Indirect_List113"/>
      <sheetName val="BASIS_DATA113"/>
      <sheetName val="SUBCONT_STATUS113"/>
      <sheetName val="cumulus_1658"/>
      <sheetName val="EAM_INVENTORY23"/>
      <sheetName val="Maintenance_Work_Order23"/>
      <sheetName val="CTTR_Transfer_Type133"/>
      <sheetName val="GFP_Type133"/>
      <sheetName val="GFP_Reasons133"/>
      <sheetName val="LAST_YEARS_CS132"/>
      <sheetName val="Fct_Sum_2_SeasonView129"/>
      <sheetName val="F1_Scenarios129"/>
      <sheetName val="Fct_Summary129"/>
      <sheetName val="Chris'_Tab129"/>
      <sheetName val="OTP_Summary_Result129"/>
      <sheetName val="OTP_Projection129"/>
      <sheetName val="Monthly_Loading129"/>
      <sheetName val="OTP_Source129"/>
      <sheetName val="FA14_Detail129"/>
      <sheetName val="Lynne's_Tab129"/>
      <sheetName val="SU14_Detail129"/>
      <sheetName val="Category_Callouts129"/>
      <sheetName val="Cap_Scenario129"/>
      <sheetName val="Subcapacity_outsoles_129"/>
      <sheetName val="PA_Scenarios129"/>
      <sheetName val="PA_Transfer_Summary129"/>
      <sheetName val="Monthly_Loading_-Summary129"/>
      <sheetName val="Monthly_Loading-PB_Data129"/>
      <sheetName val="Monthly_Loading-PrevOTP_Data129"/>
      <sheetName val="Data_Refresh129"/>
      <sheetName val="SUMM_LOADING_128"/>
      <sheetName val="Raw_Data_Sheet128"/>
      <sheetName val="IA_1128"/>
      <sheetName val="DATA_MOLD_NEW_BALANCE128"/>
      <sheetName val="SSAI_IP_ORDER128"/>
      <sheetName val="Cutting_Dies_128"/>
      <sheetName val="Indirect_List114"/>
      <sheetName val="BASIS_DATA114"/>
      <sheetName val="SUBCONT_STATUS114"/>
      <sheetName val="cumulus_1659"/>
      <sheetName val="EAM_INVENTORY24"/>
      <sheetName val="Maintenance_Work_Order24"/>
      <sheetName val="CTTR_Transfer_Type134"/>
      <sheetName val="GFP_Type134"/>
      <sheetName val="GFP_Reasons134"/>
      <sheetName val="LAST_YEARS_CS133"/>
      <sheetName val="Fct_Sum_2_SeasonView130"/>
      <sheetName val="F1_Scenarios130"/>
      <sheetName val="Fct_Summary130"/>
      <sheetName val="Chris'_Tab130"/>
      <sheetName val="OTP_Summary_Result130"/>
      <sheetName val="OTP_Projection130"/>
      <sheetName val="Monthly_Loading130"/>
      <sheetName val="OTP_Source130"/>
      <sheetName val="FA14_Detail130"/>
      <sheetName val="Lynne's_Tab130"/>
      <sheetName val="SU14_Detail130"/>
      <sheetName val="Category_Callouts130"/>
      <sheetName val="Cap_Scenario130"/>
      <sheetName val="Subcapacity_outsoles_130"/>
      <sheetName val="PA_Scenarios130"/>
      <sheetName val="PA_Transfer_Summary130"/>
      <sheetName val="Monthly_Loading_-Summary130"/>
      <sheetName val="Monthly_Loading-PB_Data130"/>
      <sheetName val="Monthly_Loading-PrevOTP_Data130"/>
      <sheetName val="Data_Refresh130"/>
      <sheetName val="SUMM_LOADING_129"/>
      <sheetName val="Raw_Data_Sheet129"/>
      <sheetName val="IA_1129"/>
      <sheetName val="DATA_MOLD_NEW_BALANCE129"/>
      <sheetName val="SSAI_IP_ORDER129"/>
      <sheetName val="Cutting_Dies_129"/>
      <sheetName val="Indirect_List115"/>
      <sheetName val="BASIS_DATA115"/>
      <sheetName val="SUBCONT_STATUS115"/>
      <sheetName val="cumulus_1660"/>
      <sheetName val="EAM_INVENTORY25"/>
      <sheetName val="Maintenance_Work_Order25"/>
      <sheetName val="CTTR_Transfer_Type135"/>
      <sheetName val="GFP_Type135"/>
      <sheetName val="GFP_Reasons135"/>
      <sheetName val="LAST_YEARS_CS134"/>
      <sheetName val="Fct_Sum_2_SeasonView131"/>
      <sheetName val="F1_Scenarios131"/>
      <sheetName val="Fct_Summary131"/>
      <sheetName val="Chris'_Tab131"/>
      <sheetName val="OTP_Summary_Result131"/>
      <sheetName val="OTP_Projection131"/>
      <sheetName val="Monthly_Loading131"/>
      <sheetName val="OTP_Source131"/>
      <sheetName val="FA14_Detail131"/>
      <sheetName val="Lynne's_Tab131"/>
      <sheetName val="SU14_Detail131"/>
      <sheetName val="Category_Callouts131"/>
      <sheetName val="Cap_Scenario131"/>
      <sheetName val="Subcapacity_outsoles_131"/>
      <sheetName val="PA_Scenarios131"/>
      <sheetName val="PA_Transfer_Summary131"/>
      <sheetName val="Monthly_Loading_-Summary131"/>
      <sheetName val="Monthly_Loading-PB_Data131"/>
      <sheetName val="Monthly_Loading-PrevOTP_Data131"/>
      <sheetName val="Data_Refresh131"/>
      <sheetName val="SUMM_LOADING_130"/>
      <sheetName val="Raw_Data_Sheet130"/>
      <sheetName val="IA_1130"/>
      <sheetName val="DATA_MOLD_NEW_BALANCE130"/>
      <sheetName val="SSAI_IP_ORDER130"/>
      <sheetName val="Cutting_Dies_130"/>
      <sheetName val="Indirect_List116"/>
      <sheetName val="BASIS_DATA116"/>
      <sheetName val="SUBCONT_STATUS116"/>
      <sheetName val="cumulus_1661"/>
      <sheetName val="EAM_INVENTORY26"/>
      <sheetName val="Maintenance_Work_Order26"/>
      <sheetName val="CTTR_Transfer_Type137"/>
      <sheetName val="GFP_Type137"/>
      <sheetName val="GFP_Reasons137"/>
      <sheetName val="LAST_YEARS_CS136"/>
      <sheetName val="Fct_Sum_2_SeasonView133"/>
      <sheetName val="F1_Scenarios133"/>
      <sheetName val="Fct_Summary133"/>
      <sheetName val="Chris'_Tab133"/>
      <sheetName val="OTP_Summary_Result133"/>
      <sheetName val="OTP_Projection133"/>
      <sheetName val="Monthly_Loading133"/>
      <sheetName val="OTP_Source133"/>
      <sheetName val="FA14_Detail133"/>
      <sheetName val="Lynne's_Tab133"/>
      <sheetName val="SU14_Detail133"/>
      <sheetName val="Category_Callouts133"/>
      <sheetName val="Cap_Scenario133"/>
      <sheetName val="Subcapacity_outsoles_133"/>
      <sheetName val="PA_Scenarios133"/>
      <sheetName val="PA_Transfer_Summary133"/>
      <sheetName val="Monthly_Loading_-Summary133"/>
      <sheetName val="Monthly_Loading-PB_Data133"/>
      <sheetName val="Monthly_Loading-PrevOTP_Data133"/>
      <sheetName val="Data_Refresh133"/>
      <sheetName val="SUMM_LOADING_132"/>
      <sheetName val="Raw_Data_Sheet132"/>
      <sheetName val="IA_1132"/>
      <sheetName val="DATA_MOLD_NEW_BALANCE132"/>
      <sheetName val="SSAI_IP_ORDER132"/>
      <sheetName val="Cutting_Dies_132"/>
      <sheetName val="Indirect_List118"/>
      <sheetName val="BASIS_DATA118"/>
      <sheetName val="SUBCONT_STATUS118"/>
      <sheetName val="cumulus_1663"/>
      <sheetName val="EAM_INVENTORY28"/>
      <sheetName val="Maintenance_Work_Order28"/>
      <sheetName val="CTTR_Transfer_Type136"/>
      <sheetName val="GFP_Type136"/>
      <sheetName val="GFP_Reasons136"/>
      <sheetName val="LAST_YEARS_CS135"/>
      <sheetName val="Fct_Sum_2_SeasonView132"/>
      <sheetName val="F1_Scenarios132"/>
      <sheetName val="Fct_Summary132"/>
      <sheetName val="Chris'_Tab132"/>
      <sheetName val="OTP_Summary_Result132"/>
      <sheetName val="OTP_Projection132"/>
      <sheetName val="Monthly_Loading132"/>
      <sheetName val="OTP_Source132"/>
      <sheetName val="FA14_Detail132"/>
      <sheetName val="Lynne's_Tab132"/>
      <sheetName val="SU14_Detail132"/>
      <sheetName val="Category_Callouts132"/>
      <sheetName val="Cap_Scenario132"/>
      <sheetName val="Subcapacity_outsoles_132"/>
      <sheetName val="PA_Scenarios132"/>
      <sheetName val="PA_Transfer_Summary132"/>
      <sheetName val="Monthly_Loading_-Summary132"/>
      <sheetName val="Monthly_Loading-PB_Data132"/>
      <sheetName val="Monthly_Loading-PrevOTP_Data132"/>
      <sheetName val="Data_Refresh132"/>
      <sheetName val="SUMM_LOADING_131"/>
      <sheetName val="Raw_Data_Sheet131"/>
      <sheetName val="IA_1131"/>
      <sheetName val="DATA_MOLD_NEW_BALANCE131"/>
      <sheetName val="SSAI_IP_ORDER131"/>
      <sheetName val="Cutting_Dies_131"/>
      <sheetName val="Indirect_List117"/>
      <sheetName val="BASIS_DATA117"/>
      <sheetName val="SUBCONT_STATUS117"/>
      <sheetName val="cumulus_1662"/>
      <sheetName val="EAM_INVENTORY27"/>
      <sheetName val="Maintenance_Work_Order27"/>
      <sheetName val="CTTR_Transfer_Type138"/>
      <sheetName val="GFP_Type138"/>
      <sheetName val="GFP_Reasons138"/>
      <sheetName val="LAST_YEARS_CS137"/>
      <sheetName val="Fct_Sum_2_SeasonView134"/>
      <sheetName val="F1_Scenarios134"/>
      <sheetName val="Fct_Summary134"/>
      <sheetName val="Chris'_Tab134"/>
      <sheetName val="OTP_Summary_Result134"/>
      <sheetName val="OTP_Projection134"/>
      <sheetName val="Monthly_Loading134"/>
      <sheetName val="OTP_Source134"/>
      <sheetName val="FA14_Detail134"/>
      <sheetName val="Lynne's_Tab134"/>
      <sheetName val="SU14_Detail134"/>
      <sheetName val="Category_Callouts134"/>
      <sheetName val="Cap_Scenario134"/>
      <sheetName val="Subcapacity_outsoles_134"/>
      <sheetName val="PA_Scenarios134"/>
      <sheetName val="PA_Transfer_Summary134"/>
      <sheetName val="Monthly_Loading_-Summary134"/>
      <sheetName val="Monthly_Loading-PB_Data134"/>
      <sheetName val="Monthly_Loading-PrevOTP_Data134"/>
      <sheetName val="Data_Refresh134"/>
      <sheetName val="SUMM_LOADING_133"/>
      <sheetName val="Raw_Data_Sheet133"/>
      <sheetName val="IA_1133"/>
      <sheetName val="DATA_MOLD_NEW_BALANCE133"/>
      <sheetName val="SSAI_IP_ORDER133"/>
      <sheetName val="Cutting_Dies_133"/>
      <sheetName val="Indirect_List119"/>
      <sheetName val="BASIS_DATA119"/>
      <sheetName val="SUBCONT_STATUS119"/>
      <sheetName val="cumulus_1664"/>
      <sheetName val="EAM_INVENTORY29"/>
      <sheetName val="Maintenance_Work_Order29"/>
      <sheetName val="CTTR_Transfer_Type139"/>
      <sheetName val="GFP_Type139"/>
      <sheetName val="GFP_Reasons139"/>
      <sheetName val="LAST_YEARS_CS138"/>
      <sheetName val="Fct_Sum_2_SeasonView135"/>
      <sheetName val="F1_Scenarios135"/>
      <sheetName val="Fct_Summary135"/>
      <sheetName val="Chris'_Tab135"/>
      <sheetName val="OTP_Summary_Result135"/>
      <sheetName val="OTP_Projection135"/>
      <sheetName val="Monthly_Loading135"/>
      <sheetName val="OTP_Source135"/>
      <sheetName val="FA14_Detail135"/>
      <sheetName val="Lynne's_Tab135"/>
      <sheetName val="SU14_Detail135"/>
      <sheetName val="Category_Callouts135"/>
      <sheetName val="Cap_Scenario135"/>
      <sheetName val="Subcapacity_outsoles_135"/>
      <sheetName val="PA_Scenarios135"/>
      <sheetName val="PA_Transfer_Summary135"/>
      <sheetName val="Monthly_Loading_-Summary135"/>
      <sheetName val="Monthly_Loading-PB_Data135"/>
      <sheetName val="Monthly_Loading-PrevOTP_Data135"/>
      <sheetName val="Data_Refresh135"/>
      <sheetName val="SUMM_LOADING_134"/>
      <sheetName val="Raw_Data_Sheet134"/>
      <sheetName val="IA_1134"/>
      <sheetName val="DATA_MOLD_NEW_BALANCE134"/>
      <sheetName val="SSAI_IP_ORDER134"/>
      <sheetName val="Cutting_Dies_134"/>
      <sheetName val="Indirect_List120"/>
      <sheetName val="BASIS_DATA120"/>
      <sheetName val="SUBCONT_STATUS120"/>
      <sheetName val="cumulus_1665"/>
      <sheetName val="EAM_INVENTORY30"/>
      <sheetName val="Maintenance_Work_Order30"/>
      <sheetName val="input"/>
      <sheetName val="Vietnam Report"/>
      <sheetName val="BANKUSD"/>
      <sheetName val="당월(1)"/>
      <sheetName val="5.수정데이터통합"/>
      <sheetName val="QMCT"/>
      <sheetName val="제조공정도5"/>
      <sheetName val="CT  PL"/>
      <sheetName val="CT Thang Mo"/>
      <sheetName val="Chi tiet"/>
      <sheetName val="Vietnam_Report"/>
      <sheetName val="5_수정데이터통합"/>
      <sheetName val="CTTR_Transfer_Type140"/>
      <sheetName val="GFP_Type140"/>
      <sheetName val="GFP_Reasons140"/>
      <sheetName val="LAST_YEARS_CS139"/>
      <sheetName val="Fct_Sum_2_SeasonView136"/>
      <sheetName val="F1_Scenarios136"/>
      <sheetName val="Fct_Summary136"/>
      <sheetName val="Chris'_Tab136"/>
      <sheetName val="OTP_Summary_Result136"/>
      <sheetName val="OTP_Projection136"/>
      <sheetName val="Monthly_Loading136"/>
      <sheetName val="OTP_Source136"/>
      <sheetName val="FA14_Detail136"/>
      <sheetName val="Lynne's_Tab136"/>
      <sheetName val="SU14_Detail136"/>
      <sheetName val="Category_Callouts136"/>
      <sheetName val="Cap_Scenario136"/>
      <sheetName val="Subcapacity_outsoles_136"/>
      <sheetName val="PA_Scenarios136"/>
      <sheetName val="PA_Transfer_Summary136"/>
      <sheetName val="Monthly_Loading_-Summary136"/>
      <sheetName val="Monthly_Loading-PB_Data136"/>
      <sheetName val="Monthly_Loading-PrevOTP_Data136"/>
      <sheetName val="Data_Refresh136"/>
      <sheetName val="SUMM_LOADING_135"/>
      <sheetName val="Raw_Data_Sheet135"/>
      <sheetName val="IA_1135"/>
      <sheetName val="DATA_MOLD_NEW_BALANCE135"/>
      <sheetName val="SSAI_IP_ORDER135"/>
      <sheetName val="Cutting_Dies_135"/>
      <sheetName val="Indirect_List121"/>
      <sheetName val="BASIS_DATA121"/>
      <sheetName val="SUBCONT_STATUS121"/>
      <sheetName val="cumulus_1666"/>
      <sheetName val="EAM_INVENTORY31"/>
      <sheetName val="Maintenance_Work_Order31"/>
      <sheetName val="CTTR_Transfer_Type141"/>
      <sheetName val="GFP_Type141"/>
      <sheetName val="GFP_Reasons141"/>
      <sheetName val="LAST_YEARS_CS140"/>
      <sheetName val="Fct_Sum_2_SeasonView137"/>
      <sheetName val="F1_Scenarios137"/>
      <sheetName val="Fct_Summary137"/>
      <sheetName val="Chris'_Tab137"/>
      <sheetName val="OTP_Summary_Result137"/>
      <sheetName val="OTP_Projection137"/>
      <sheetName val="Monthly_Loading137"/>
      <sheetName val="OTP_Source137"/>
      <sheetName val="FA14_Detail137"/>
      <sheetName val="Lynne's_Tab137"/>
      <sheetName val="SU14_Detail137"/>
      <sheetName val="Category_Callouts137"/>
      <sheetName val="Cap_Scenario137"/>
      <sheetName val="Subcapacity_outsoles_137"/>
      <sheetName val="PA_Scenarios137"/>
      <sheetName val="PA_Transfer_Summary137"/>
      <sheetName val="Monthly_Loading_-Summary137"/>
      <sheetName val="Monthly_Loading-PB_Data137"/>
      <sheetName val="Monthly_Loading-PrevOTP_Data137"/>
      <sheetName val="Data_Refresh137"/>
      <sheetName val="SUMM_LOADING_136"/>
      <sheetName val="Raw_Data_Sheet136"/>
      <sheetName val="IA_1136"/>
      <sheetName val="DATA_MOLD_NEW_BALANCE136"/>
      <sheetName val="SSAI_IP_ORDER136"/>
      <sheetName val="Cutting_Dies_136"/>
      <sheetName val="Indirect_List122"/>
      <sheetName val="BASIS_DATA122"/>
      <sheetName val="SUBCONT_STATUS122"/>
      <sheetName val="cumulus_1667"/>
      <sheetName val="EAM_INVENTORY32"/>
      <sheetName val="Maintenance_Work_Order32"/>
      <sheetName val="CTTR_Transfer_Type142"/>
      <sheetName val="GFP_Type142"/>
      <sheetName val="GFP_Reasons142"/>
      <sheetName val="LAST_YEARS_CS141"/>
      <sheetName val="Fct_Sum_2_SeasonView138"/>
      <sheetName val="F1_Scenarios138"/>
      <sheetName val="Fct_Summary138"/>
      <sheetName val="Chris'_Tab138"/>
      <sheetName val="OTP_Summary_Result138"/>
      <sheetName val="OTP_Projection138"/>
      <sheetName val="Monthly_Loading138"/>
      <sheetName val="OTP_Source138"/>
      <sheetName val="FA14_Detail138"/>
      <sheetName val="Lynne's_Tab138"/>
      <sheetName val="SU14_Detail138"/>
      <sheetName val="Category_Callouts138"/>
      <sheetName val="Cap_Scenario138"/>
      <sheetName val="Subcapacity_outsoles_138"/>
      <sheetName val="PA_Scenarios138"/>
      <sheetName val="PA_Transfer_Summary138"/>
      <sheetName val="Monthly_Loading_-Summary138"/>
      <sheetName val="Monthly_Loading-PB_Data138"/>
      <sheetName val="Monthly_Loading-PrevOTP_Data138"/>
      <sheetName val="Data_Refresh138"/>
      <sheetName val="SUMM_LOADING_137"/>
      <sheetName val="Raw_Data_Sheet137"/>
      <sheetName val="IA_1137"/>
      <sheetName val="DATA_MOLD_NEW_BALANCE137"/>
      <sheetName val="SSAI_IP_ORDER137"/>
      <sheetName val="Cutting_Dies_137"/>
      <sheetName val="Indirect_List123"/>
      <sheetName val="BASIS_DATA123"/>
      <sheetName val="SUBCONT_STATUS123"/>
      <sheetName val="cumulus_1668"/>
      <sheetName val="EAM_INVENTORY33"/>
      <sheetName val="Maintenance_Work_Order33"/>
      <sheetName val="CTTR_Transfer_Type143"/>
      <sheetName val="GFP_Type143"/>
      <sheetName val="GFP_Reasons143"/>
      <sheetName val="LAST_YEARS_CS142"/>
      <sheetName val="Fct_Sum_2_SeasonView139"/>
      <sheetName val="F1_Scenarios139"/>
      <sheetName val="Fct_Summary139"/>
      <sheetName val="Chris'_Tab139"/>
      <sheetName val="OTP_Summary_Result139"/>
      <sheetName val="OTP_Projection139"/>
      <sheetName val="Monthly_Loading139"/>
      <sheetName val="OTP_Source139"/>
      <sheetName val="FA14_Detail139"/>
      <sheetName val="Lynne's_Tab139"/>
      <sheetName val="SU14_Detail139"/>
      <sheetName val="Category_Callouts139"/>
      <sheetName val="Cap_Scenario139"/>
      <sheetName val="Subcapacity_outsoles_139"/>
      <sheetName val="PA_Scenarios139"/>
      <sheetName val="PA_Transfer_Summary139"/>
      <sheetName val="Monthly_Loading_-Summary139"/>
      <sheetName val="Monthly_Loading-PB_Data139"/>
      <sheetName val="Monthly_Loading-PrevOTP_Data139"/>
      <sheetName val="Data_Refresh139"/>
      <sheetName val="SUMM_LOADING_138"/>
      <sheetName val="Raw_Data_Sheet138"/>
      <sheetName val="IA_1138"/>
      <sheetName val="DATA_MOLD_NEW_BALANCE138"/>
      <sheetName val="SSAI_IP_ORDER138"/>
      <sheetName val="Cutting_Dies_138"/>
      <sheetName val="Indirect_List124"/>
      <sheetName val="BASIS_DATA124"/>
      <sheetName val="SUBCONT_STATUS124"/>
      <sheetName val="cumulus_1669"/>
      <sheetName val="EAM_INVENTORY34"/>
      <sheetName val="Maintenance_Work_Order34"/>
      <sheetName val="CTTR_Transfer_Type144"/>
      <sheetName val="GFP_Type144"/>
      <sheetName val="GFP_Reasons144"/>
      <sheetName val="LAST_YEARS_CS143"/>
      <sheetName val="Fct_Sum_2_SeasonView140"/>
      <sheetName val="F1_Scenarios140"/>
      <sheetName val="Fct_Summary140"/>
      <sheetName val="Chris'_Tab140"/>
      <sheetName val="OTP_Summary_Result140"/>
      <sheetName val="OTP_Projection140"/>
      <sheetName val="Monthly_Loading140"/>
      <sheetName val="OTP_Source140"/>
      <sheetName val="FA14_Detail140"/>
      <sheetName val="Lynne's_Tab140"/>
      <sheetName val="SU14_Detail140"/>
      <sheetName val="Category_Callouts140"/>
      <sheetName val="Cap_Scenario140"/>
      <sheetName val="Subcapacity_outsoles_140"/>
      <sheetName val="PA_Scenarios140"/>
      <sheetName val="PA_Transfer_Summary140"/>
      <sheetName val="Monthly_Loading_-Summary140"/>
      <sheetName val="Monthly_Loading-PB_Data140"/>
      <sheetName val="Monthly_Loading-PrevOTP_Data140"/>
      <sheetName val="Data_Refresh140"/>
      <sheetName val="SUMM_LOADING_139"/>
      <sheetName val="Raw_Data_Sheet139"/>
      <sheetName val="IA_1139"/>
      <sheetName val="DATA_MOLD_NEW_BALANCE139"/>
      <sheetName val="SSAI_IP_ORDER139"/>
      <sheetName val="Cutting_Dies_139"/>
      <sheetName val="Indirect_List125"/>
      <sheetName val="BASIS_DATA125"/>
      <sheetName val="SUBCONT_STATUS125"/>
      <sheetName val="cumulus_1670"/>
      <sheetName val="EAM_INVENTORY35"/>
      <sheetName val="Maintenance_Work_Order35"/>
      <sheetName val="CTTR_Transfer_Type145"/>
      <sheetName val="GFP_Type145"/>
      <sheetName val="GFP_Reasons145"/>
      <sheetName val="LAST_YEARS_CS144"/>
      <sheetName val="Fct_Sum_2_SeasonView141"/>
      <sheetName val="F1_Scenarios141"/>
      <sheetName val="Fct_Summary141"/>
      <sheetName val="Chris'_Tab141"/>
      <sheetName val="OTP_Summary_Result141"/>
      <sheetName val="OTP_Projection141"/>
      <sheetName val="Monthly_Loading141"/>
      <sheetName val="OTP_Source141"/>
      <sheetName val="FA14_Detail141"/>
      <sheetName val="Lynne's_Tab141"/>
      <sheetName val="SU14_Detail141"/>
      <sheetName val="Category_Callouts141"/>
      <sheetName val="Cap_Scenario141"/>
      <sheetName val="Subcapacity_outsoles_141"/>
      <sheetName val="PA_Scenarios141"/>
      <sheetName val="PA_Transfer_Summary141"/>
      <sheetName val="Monthly_Loading_-Summary141"/>
      <sheetName val="Monthly_Loading-PB_Data141"/>
      <sheetName val="Monthly_Loading-PrevOTP_Data141"/>
      <sheetName val="Data_Refresh141"/>
      <sheetName val="SUMM_LOADING_140"/>
      <sheetName val="Raw_Data_Sheet140"/>
      <sheetName val="IA_1140"/>
      <sheetName val="DATA_MOLD_NEW_BALANCE140"/>
      <sheetName val="SSAI_IP_ORDER140"/>
      <sheetName val="Cutting_Dies_140"/>
      <sheetName val="Indirect_List126"/>
      <sheetName val="BASIS_DATA126"/>
      <sheetName val="SUBCONT_STATUS126"/>
      <sheetName val="cumulus_1671"/>
      <sheetName val="EAM_INVENTORY36"/>
      <sheetName val="Maintenance_Work_Order36"/>
      <sheetName val="CTTR_Transfer_Type146"/>
      <sheetName val="GFP_Type146"/>
      <sheetName val="GFP_Reasons146"/>
      <sheetName val="LAST_YEARS_CS145"/>
      <sheetName val="Fct_Sum_2_SeasonView142"/>
      <sheetName val="F1_Scenarios142"/>
      <sheetName val="Fct_Summary142"/>
      <sheetName val="Chris'_Tab142"/>
      <sheetName val="OTP_Summary_Result142"/>
      <sheetName val="OTP_Projection142"/>
      <sheetName val="Monthly_Loading142"/>
      <sheetName val="OTP_Source142"/>
      <sheetName val="FA14_Detail142"/>
      <sheetName val="Lynne's_Tab142"/>
      <sheetName val="SU14_Detail142"/>
      <sheetName val="Category_Callouts142"/>
      <sheetName val="Cap_Scenario142"/>
      <sheetName val="Subcapacity_outsoles_142"/>
      <sheetName val="PA_Scenarios142"/>
      <sheetName val="PA_Transfer_Summary142"/>
      <sheetName val="Monthly_Loading_-Summary142"/>
      <sheetName val="Monthly_Loading-PB_Data142"/>
      <sheetName val="Monthly_Loading-PrevOTP_Data142"/>
      <sheetName val="Data_Refresh142"/>
      <sheetName val="SUMM_LOADING_141"/>
      <sheetName val="Raw_Data_Sheet141"/>
      <sheetName val="IA_1141"/>
      <sheetName val="DATA_MOLD_NEW_BALANCE141"/>
      <sheetName val="SSAI_IP_ORDER141"/>
      <sheetName val="Cutting_Dies_141"/>
      <sheetName val="Indirect_List127"/>
      <sheetName val="BASIS_DATA127"/>
      <sheetName val="SUBCONT_STATUS127"/>
      <sheetName val="cumulus_1672"/>
      <sheetName val="EAM_INVENTORY37"/>
      <sheetName val="Maintenance_Work_Order37"/>
      <sheetName val="CTTR_Transfer_Type147"/>
      <sheetName val="GFP_Type147"/>
      <sheetName val="GFP_Reasons147"/>
      <sheetName val="LAST_YEARS_CS146"/>
      <sheetName val="Fct_Sum_2_SeasonView143"/>
      <sheetName val="F1_Scenarios143"/>
      <sheetName val="Fct_Summary143"/>
      <sheetName val="Chris'_Tab143"/>
      <sheetName val="OTP_Summary_Result143"/>
      <sheetName val="OTP_Projection143"/>
      <sheetName val="Monthly_Loading143"/>
      <sheetName val="OTP_Source143"/>
      <sheetName val="FA14_Detail143"/>
      <sheetName val="Lynne's_Tab143"/>
      <sheetName val="SU14_Detail143"/>
      <sheetName val="Category_Callouts143"/>
      <sheetName val="Cap_Scenario143"/>
      <sheetName val="Subcapacity_outsoles_143"/>
      <sheetName val="PA_Scenarios143"/>
      <sheetName val="PA_Transfer_Summary143"/>
      <sheetName val="Monthly_Loading_-Summary143"/>
      <sheetName val="Monthly_Loading-PB_Data143"/>
      <sheetName val="Monthly_Loading-PrevOTP_Data143"/>
      <sheetName val="Data_Refresh143"/>
      <sheetName val="SUMM_LOADING_142"/>
      <sheetName val="Raw_Data_Sheet142"/>
      <sheetName val="IA_1142"/>
      <sheetName val="DATA_MOLD_NEW_BALANCE142"/>
      <sheetName val="SSAI_IP_ORDER142"/>
      <sheetName val="Cutting_Dies_142"/>
      <sheetName val="Indirect_List128"/>
      <sheetName val="BASIS_DATA128"/>
      <sheetName val="SUBCONT_STATUS128"/>
      <sheetName val="cumulus_1673"/>
      <sheetName val="EAM_INVENTORY38"/>
      <sheetName val="Maintenance_Work_Order38"/>
      <sheetName val="CTTR_Transfer_Type148"/>
      <sheetName val="GFP_Type148"/>
      <sheetName val="GFP_Reasons148"/>
      <sheetName val="LAST_YEARS_CS147"/>
      <sheetName val="Fct_Sum_2_SeasonView144"/>
      <sheetName val="F1_Scenarios144"/>
      <sheetName val="Fct_Summary144"/>
      <sheetName val="Chris'_Tab144"/>
      <sheetName val="OTP_Summary_Result144"/>
      <sheetName val="OTP_Projection144"/>
      <sheetName val="Monthly_Loading144"/>
      <sheetName val="OTP_Source144"/>
      <sheetName val="FA14_Detail144"/>
      <sheetName val="Lynne's_Tab144"/>
      <sheetName val="SU14_Detail144"/>
      <sheetName val="Category_Callouts144"/>
      <sheetName val="Cap_Scenario144"/>
      <sheetName val="Subcapacity_outsoles_144"/>
      <sheetName val="PA_Scenarios144"/>
      <sheetName val="PA_Transfer_Summary144"/>
      <sheetName val="Monthly_Loading_-Summary144"/>
      <sheetName val="Monthly_Loading-PB_Data144"/>
      <sheetName val="Monthly_Loading-PrevOTP_Data144"/>
      <sheetName val="Data_Refresh144"/>
      <sheetName val="SUMM_LOADING_143"/>
      <sheetName val="Raw_Data_Sheet143"/>
      <sheetName val="IA_1143"/>
      <sheetName val="DATA_MOLD_NEW_BALANCE143"/>
      <sheetName val="SSAI_IP_ORDER143"/>
      <sheetName val="Cutting_Dies_143"/>
      <sheetName val="Indirect_List129"/>
      <sheetName val="BASIS_DATA129"/>
      <sheetName val="SUBCONT_STATUS129"/>
      <sheetName val="cumulus_1674"/>
      <sheetName val="EAM_INVENTORY39"/>
      <sheetName val="Maintenance_Work_Order39"/>
      <sheetName val="Vietnam_Report1"/>
      <sheetName val="5_수정데이터통합1"/>
      <sheetName val="CT__PL"/>
      <sheetName val="CT_Thang_Mo"/>
      <sheetName val="Chi_tiet"/>
      <sheetName val="CTTR_Transfer_Type149"/>
      <sheetName val="GFP_Type149"/>
      <sheetName val="GFP_Reasons149"/>
      <sheetName val="LAST_YEARS_CS148"/>
      <sheetName val="Fct_Sum_2_SeasonView145"/>
      <sheetName val="F1_Scenarios145"/>
      <sheetName val="Fct_Summary145"/>
      <sheetName val="Chris'_Tab145"/>
      <sheetName val="OTP_Summary_Result145"/>
      <sheetName val="OTP_Projection145"/>
      <sheetName val="Monthly_Loading145"/>
      <sheetName val="OTP_Source145"/>
      <sheetName val="FA14_Detail145"/>
      <sheetName val="Lynne's_Tab145"/>
      <sheetName val="SU14_Detail145"/>
      <sheetName val="Category_Callouts145"/>
      <sheetName val="Cap_Scenario145"/>
      <sheetName val="Subcapacity_outsoles_145"/>
      <sheetName val="PA_Scenarios145"/>
      <sheetName val="PA_Transfer_Summary145"/>
      <sheetName val="Monthly_Loading_-Summary145"/>
      <sheetName val="Monthly_Loading-PB_Data145"/>
      <sheetName val="Monthly_Loading-PrevOTP_Data145"/>
      <sheetName val="Data_Refresh145"/>
      <sheetName val="SUMM_LOADING_144"/>
      <sheetName val="Raw_Data_Sheet144"/>
      <sheetName val="IA_1144"/>
      <sheetName val="DATA_MOLD_NEW_BALANCE144"/>
      <sheetName val="SSAI_IP_ORDER144"/>
      <sheetName val="Cutting_Dies_144"/>
      <sheetName val="Indirect_List130"/>
      <sheetName val="BASIS_DATA130"/>
      <sheetName val="SUBCONT_STATUS130"/>
      <sheetName val="cumulus_1675"/>
      <sheetName val="EAM_INVENTORY40"/>
      <sheetName val="Maintenance_Work_Order40"/>
      <sheetName val="Vietnam_Report2"/>
      <sheetName val="5_수정데이터통합2"/>
      <sheetName val="CT__PL1"/>
      <sheetName val="CT_Thang_Mo1"/>
      <sheetName val="Chi_tiet1"/>
      <sheetName val="CTTR_Transfer_Type150"/>
      <sheetName val="GFP_Type150"/>
      <sheetName val="GFP_Reasons150"/>
      <sheetName val="LAST_YEARS_CS149"/>
      <sheetName val="Fct_Sum_2_SeasonView146"/>
      <sheetName val="F1_Scenarios146"/>
      <sheetName val="Fct_Summary146"/>
      <sheetName val="Chris'_Tab146"/>
      <sheetName val="OTP_Summary_Result146"/>
      <sheetName val="OTP_Projection146"/>
      <sheetName val="Monthly_Loading146"/>
      <sheetName val="OTP_Source146"/>
      <sheetName val="FA14_Detail146"/>
      <sheetName val="Lynne's_Tab146"/>
      <sheetName val="SU14_Detail146"/>
      <sheetName val="Category_Callouts146"/>
      <sheetName val="Cap_Scenario146"/>
      <sheetName val="Subcapacity_outsoles_146"/>
      <sheetName val="PA_Scenarios146"/>
      <sheetName val="PA_Transfer_Summary146"/>
      <sheetName val="Monthly_Loading_-Summary146"/>
      <sheetName val="Monthly_Loading-PB_Data146"/>
      <sheetName val="Monthly_Loading-PrevOTP_Data146"/>
      <sheetName val="Data_Refresh146"/>
      <sheetName val="SUMM_LOADING_145"/>
      <sheetName val="Raw_Data_Sheet145"/>
      <sheetName val="IA_1145"/>
      <sheetName val="DATA_MOLD_NEW_BALANCE145"/>
      <sheetName val="SSAI_IP_ORDER145"/>
      <sheetName val="Cutting_Dies_145"/>
      <sheetName val="Indirect_List131"/>
      <sheetName val="BASIS_DATA131"/>
      <sheetName val="SUBCONT_STATUS131"/>
      <sheetName val="cumulus_1676"/>
      <sheetName val="EAM_INVENTORY41"/>
      <sheetName val="Maintenance_Work_Order41"/>
      <sheetName val="Vietnam_Report3"/>
      <sheetName val="5_수정데이터통합3"/>
      <sheetName val="CT__PL2"/>
      <sheetName val="CT_Thang_Mo2"/>
      <sheetName val="Chi_tiet2"/>
      <sheetName val="CTTR_Transfer_Type151"/>
      <sheetName val="GFP_Type151"/>
      <sheetName val="GFP_Reasons151"/>
      <sheetName val="LAST_YEARS_CS150"/>
      <sheetName val="Fct_Sum_2_SeasonView147"/>
      <sheetName val="F1_Scenarios147"/>
      <sheetName val="Fct_Summary147"/>
      <sheetName val="Chris'_Tab147"/>
      <sheetName val="OTP_Summary_Result147"/>
      <sheetName val="OTP_Projection147"/>
      <sheetName val="Monthly_Loading147"/>
      <sheetName val="OTP_Source147"/>
      <sheetName val="FA14_Detail147"/>
      <sheetName val="Lynne's_Tab147"/>
      <sheetName val="SU14_Detail147"/>
      <sheetName val="Category_Callouts147"/>
      <sheetName val="Cap_Scenario147"/>
      <sheetName val="Subcapacity_outsoles_147"/>
      <sheetName val="PA_Scenarios147"/>
      <sheetName val="PA_Transfer_Summary147"/>
      <sheetName val="Monthly_Loading_-Summary147"/>
      <sheetName val="Monthly_Loading-PB_Data147"/>
      <sheetName val="Monthly_Loading-PrevOTP_Data147"/>
      <sheetName val="Data_Refresh147"/>
      <sheetName val="SUMM_LOADING_146"/>
      <sheetName val="Raw_Data_Sheet146"/>
      <sheetName val="IA_1146"/>
      <sheetName val="DATA_MOLD_NEW_BALANCE146"/>
      <sheetName val="SSAI_IP_ORDER146"/>
      <sheetName val="Cutting_Dies_146"/>
      <sheetName val="Indirect_List132"/>
      <sheetName val="BASIS_DATA132"/>
      <sheetName val="SUBCONT_STATUS132"/>
      <sheetName val="cumulus_1677"/>
      <sheetName val="EAM_INVENTORY42"/>
      <sheetName val="Maintenance_Work_Order42"/>
      <sheetName val="Vietnam_Report4"/>
      <sheetName val="5_수정데이터통합4"/>
      <sheetName val="CT__PL3"/>
      <sheetName val="CT_Thang_Mo3"/>
      <sheetName val="Chi_tiet3"/>
      <sheetName val="CTTR_Transfer_Type152"/>
      <sheetName val="GFP_Type152"/>
      <sheetName val="GFP_Reasons152"/>
      <sheetName val="LAST_YEARS_CS151"/>
      <sheetName val="Fct_Sum_2_SeasonView148"/>
      <sheetName val="F1_Scenarios148"/>
      <sheetName val="Fct_Summary148"/>
      <sheetName val="Chris'_Tab148"/>
      <sheetName val="OTP_Summary_Result148"/>
      <sheetName val="OTP_Projection148"/>
      <sheetName val="Monthly_Loading148"/>
      <sheetName val="OTP_Source148"/>
      <sheetName val="FA14_Detail148"/>
      <sheetName val="Lynne's_Tab148"/>
      <sheetName val="SU14_Detail148"/>
      <sheetName val="Category_Callouts148"/>
      <sheetName val="Cap_Scenario148"/>
      <sheetName val="Subcapacity_outsoles_148"/>
      <sheetName val="PA_Scenarios148"/>
      <sheetName val="PA_Transfer_Summary148"/>
      <sheetName val="Monthly_Loading_-Summary148"/>
      <sheetName val="Monthly_Loading-PB_Data148"/>
      <sheetName val="Monthly_Loading-PrevOTP_Data148"/>
      <sheetName val="Data_Refresh148"/>
      <sheetName val="SUMM_LOADING_147"/>
      <sheetName val="Raw_Data_Sheet147"/>
      <sheetName val="IA_1147"/>
      <sheetName val="DATA_MOLD_NEW_BALANCE147"/>
      <sheetName val="SSAI_IP_ORDER147"/>
      <sheetName val="Cutting_Dies_147"/>
      <sheetName val="Indirect_List133"/>
      <sheetName val="BASIS_DATA133"/>
      <sheetName val="SUBCONT_STATUS133"/>
      <sheetName val="cumulus_1678"/>
      <sheetName val="EAM_INVENTORY43"/>
      <sheetName val="Maintenance_Work_Order43"/>
      <sheetName val="Vietnam_Report5"/>
      <sheetName val="5_수정데이터통합5"/>
      <sheetName val="CT__PL4"/>
      <sheetName val="CT_Thang_Mo4"/>
      <sheetName val="Chi_tiet4"/>
      <sheetName val="CTTR_Transfer_Type153"/>
      <sheetName val="GFP_Type153"/>
      <sheetName val="GFP_Reasons153"/>
      <sheetName val="LAST_YEARS_CS152"/>
      <sheetName val="Fct_Sum_2_SeasonView149"/>
      <sheetName val="F1_Scenarios149"/>
      <sheetName val="Fct_Summary149"/>
      <sheetName val="Chris'_Tab149"/>
      <sheetName val="OTP_Summary_Result149"/>
      <sheetName val="OTP_Projection149"/>
      <sheetName val="Monthly_Loading149"/>
      <sheetName val="OTP_Source149"/>
      <sheetName val="FA14_Detail149"/>
      <sheetName val="Lynne's_Tab149"/>
      <sheetName val="SU14_Detail149"/>
      <sheetName val="Category_Callouts149"/>
      <sheetName val="Cap_Scenario149"/>
      <sheetName val="Subcapacity_outsoles_149"/>
      <sheetName val="PA_Scenarios149"/>
      <sheetName val="PA_Transfer_Summary149"/>
      <sheetName val="Monthly_Loading_-Summary149"/>
      <sheetName val="Monthly_Loading-PB_Data149"/>
      <sheetName val="Monthly_Loading-PrevOTP_Data149"/>
      <sheetName val="Data_Refresh149"/>
      <sheetName val="SUMM_LOADING_148"/>
      <sheetName val="Raw_Data_Sheet148"/>
      <sheetName val="IA_1148"/>
      <sheetName val="DATA_MOLD_NEW_BALANCE148"/>
      <sheetName val="SSAI_IP_ORDER148"/>
      <sheetName val="Cutting_Dies_148"/>
      <sheetName val="Indirect_List134"/>
      <sheetName val="BASIS_DATA134"/>
      <sheetName val="SUBCONT_STATUS134"/>
      <sheetName val="cumulus_1679"/>
      <sheetName val="EAM_INVENTORY44"/>
      <sheetName val="Maintenance_Work_Order44"/>
      <sheetName val="Vietnam_Report6"/>
      <sheetName val="5_수정데이터통합6"/>
      <sheetName val="CT__PL5"/>
      <sheetName val="CT_Thang_Mo5"/>
      <sheetName val="Chi_tiet5"/>
      <sheetName val="CTTR_Transfer_Type154"/>
      <sheetName val="GFP_Type154"/>
      <sheetName val="GFP_Reasons154"/>
      <sheetName val="LAST_YEARS_CS153"/>
      <sheetName val="Fct_Sum_2_SeasonView150"/>
      <sheetName val="F1_Scenarios150"/>
      <sheetName val="Fct_Summary150"/>
      <sheetName val="Chris'_Tab150"/>
      <sheetName val="OTP_Summary_Result150"/>
      <sheetName val="OTP_Projection150"/>
      <sheetName val="Monthly_Loading150"/>
      <sheetName val="OTP_Source150"/>
      <sheetName val="FA14_Detail150"/>
      <sheetName val="Lynne's_Tab150"/>
      <sheetName val="SU14_Detail150"/>
      <sheetName val="Category_Callouts150"/>
      <sheetName val="Cap_Scenario150"/>
      <sheetName val="Subcapacity_outsoles_150"/>
      <sheetName val="PA_Scenarios150"/>
      <sheetName val="PA_Transfer_Summary150"/>
      <sheetName val="Monthly_Loading_-Summary150"/>
      <sheetName val="Monthly_Loading-PB_Data150"/>
      <sheetName val="Monthly_Loading-PrevOTP_Data150"/>
      <sheetName val="Data_Refresh150"/>
      <sheetName val="SUMM_LOADING_149"/>
      <sheetName val="Raw_Data_Sheet149"/>
      <sheetName val="IA_1149"/>
      <sheetName val="DATA_MOLD_NEW_BALANCE149"/>
      <sheetName val="SSAI_IP_ORDER149"/>
      <sheetName val="Cutting_Dies_149"/>
      <sheetName val="Indirect_List135"/>
      <sheetName val="BASIS_DATA135"/>
      <sheetName val="SUBCONT_STATUS135"/>
      <sheetName val="cumulus_1680"/>
      <sheetName val="EAM_INVENTORY45"/>
      <sheetName val="Maintenance_Work_Order45"/>
      <sheetName val="Vietnam_Report7"/>
      <sheetName val="5_수정데이터통합7"/>
      <sheetName val="CT__PL6"/>
      <sheetName val="CT_Thang_Mo6"/>
      <sheetName val="Chi_tiet6"/>
      <sheetName val="CTTR_Transfer_Type155"/>
      <sheetName val="GFP_Type155"/>
      <sheetName val="GFP_Reasons155"/>
      <sheetName val="LAST_YEARS_CS154"/>
      <sheetName val="Fct_Sum_2_SeasonView151"/>
      <sheetName val="F1_Scenarios151"/>
      <sheetName val="Fct_Summary151"/>
      <sheetName val="Chris'_Tab151"/>
      <sheetName val="OTP_Summary_Result151"/>
      <sheetName val="OTP_Projection151"/>
      <sheetName val="Monthly_Loading151"/>
      <sheetName val="OTP_Source151"/>
      <sheetName val="FA14_Detail151"/>
      <sheetName val="Lynne's_Tab151"/>
      <sheetName val="SU14_Detail151"/>
      <sheetName val="Category_Callouts151"/>
      <sheetName val="Cap_Scenario151"/>
      <sheetName val="Subcapacity_outsoles_151"/>
      <sheetName val="PA_Scenarios151"/>
      <sheetName val="PA_Transfer_Summary151"/>
      <sheetName val="Monthly_Loading_-Summary151"/>
      <sheetName val="Monthly_Loading-PB_Data151"/>
      <sheetName val="Monthly_Loading-PrevOTP_Data151"/>
      <sheetName val="Data_Refresh151"/>
      <sheetName val="SUMM_LOADING_150"/>
      <sheetName val="Raw_Data_Sheet150"/>
      <sheetName val="IA_1150"/>
      <sheetName val="DATA_MOLD_NEW_BALANCE150"/>
      <sheetName val="SSAI_IP_ORDER150"/>
      <sheetName val="Cutting_Dies_150"/>
      <sheetName val="Indirect_List136"/>
      <sheetName val="BASIS_DATA136"/>
      <sheetName val="SUBCONT_STATUS136"/>
      <sheetName val="cumulus_1681"/>
      <sheetName val="EAM_INVENTORY46"/>
      <sheetName val="Maintenance_Work_Order46"/>
      <sheetName val="Vietnam_Report8"/>
      <sheetName val="5_수정데이터통합8"/>
      <sheetName val="CT__PL7"/>
      <sheetName val="CT_Thang_Mo7"/>
      <sheetName val="Chi_tiet7"/>
      <sheetName val="CTTR_Transfer_Type156"/>
      <sheetName val="GFP_Type156"/>
      <sheetName val="GFP_Reasons156"/>
      <sheetName val="LAST_YEARS_CS155"/>
      <sheetName val="Fct_Sum_2_SeasonView152"/>
      <sheetName val="F1_Scenarios152"/>
      <sheetName val="Fct_Summary152"/>
      <sheetName val="Chris'_Tab152"/>
      <sheetName val="OTP_Summary_Result152"/>
      <sheetName val="OTP_Projection152"/>
      <sheetName val="Monthly_Loading152"/>
      <sheetName val="OTP_Source152"/>
      <sheetName val="FA14_Detail152"/>
      <sheetName val="Lynne's_Tab152"/>
      <sheetName val="SU14_Detail152"/>
      <sheetName val="Category_Callouts152"/>
      <sheetName val="Cap_Scenario152"/>
      <sheetName val="Subcapacity_outsoles_152"/>
      <sheetName val="PA_Scenarios152"/>
      <sheetName val="PA_Transfer_Summary152"/>
      <sheetName val="Monthly_Loading_-Summary152"/>
      <sheetName val="Monthly_Loading-PB_Data152"/>
      <sheetName val="Monthly_Loading-PrevOTP_Data152"/>
      <sheetName val="Data_Refresh152"/>
      <sheetName val="SUMM_LOADING_151"/>
      <sheetName val="Raw_Data_Sheet151"/>
      <sheetName val="IA_1151"/>
      <sheetName val="DATA_MOLD_NEW_BALANCE151"/>
      <sheetName val="SSAI_IP_ORDER151"/>
      <sheetName val="Cutting_Dies_151"/>
      <sheetName val="Indirect_List137"/>
      <sheetName val="BASIS_DATA137"/>
      <sheetName val="SUBCONT_STATUS137"/>
      <sheetName val="cumulus_1682"/>
      <sheetName val="EAM_INVENTORY47"/>
      <sheetName val="Maintenance_Work_Order47"/>
      <sheetName val="Vietnam_Report9"/>
      <sheetName val="5_수정데이터통합9"/>
      <sheetName val="CT__PL8"/>
      <sheetName val="CT_Thang_Mo8"/>
      <sheetName val="Chi_tiet8"/>
      <sheetName val="CTTR_Transfer_Type157"/>
      <sheetName val="GFP_Type157"/>
      <sheetName val="GFP_Reasons157"/>
      <sheetName val="LAST_YEARS_CS156"/>
      <sheetName val="Fct_Sum_2_SeasonView153"/>
      <sheetName val="F1_Scenarios153"/>
      <sheetName val="Fct_Summary153"/>
      <sheetName val="Chris'_Tab153"/>
      <sheetName val="OTP_Summary_Result153"/>
      <sheetName val="OTP_Projection153"/>
      <sheetName val="Monthly_Loading153"/>
      <sheetName val="OTP_Source153"/>
      <sheetName val="FA14_Detail153"/>
      <sheetName val="Lynne's_Tab153"/>
      <sheetName val="SU14_Detail153"/>
      <sheetName val="Category_Callouts153"/>
      <sheetName val="Cap_Scenario153"/>
      <sheetName val="Subcapacity_outsoles_153"/>
      <sheetName val="PA_Scenarios153"/>
      <sheetName val="PA_Transfer_Summary153"/>
      <sheetName val="Monthly_Loading_-Summary153"/>
      <sheetName val="Monthly_Loading-PB_Data153"/>
      <sheetName val="Monthly_Loading-PrevOTP_Data153"/>
      <sheetName val="Data_Refresh153"/>
      <sheetName val="SUMM_LOADING_152"/>
      <sheetName val="Raw_Data_Sheet152"/>
      <sheetName val="IA_1152"/>
      <sheetName val="DATA_MOLD_NEW_BALANCE152"/>
      <sheetName val="SSAI_IP_ORDER152"/>
      <sheetName val="Cutting_Dies_152"/>
      <sheetName val="Indirect_List138"/>
      <sheetName val="BASIS_DATA138"/>
      <sheetName val="SUBCONT_STATUS138"/>
      <sheetName val="cumulus_1683"/>
      <sheetName val="EAM_INVENTORY48"/>
      <sheetName val="Maintenance_Work_Order48"/>
      <sheetName val="Vietnam_Report10"/>
      <sheetName val="5_수정데이터통합10"/>
      <sheetName val="CT__PL9"/>
      <sheetName val="CT_Thang_Mo9"/>
      <sheetName val="Chi_tiet9"/>
      <sheetName val="CTTR_Transfer_Type158"/>
      <sheetName val="GFP_Type158"/>
      <sheetName val="GFP_Reasons158"/>
      <sheetName val="LAST_YEARS_CS157"/>
      <sheetName val="Fct_Sum_2_SeasonView154"/>
      <sheetName val="F1_Scenarios154"/>
      <sheetName val="Fct_Summary154"/>
      <sheetName val="Chris'_Tab154"/>
      <sheetName val="OTP_Summary_Result154"/>
      <sheetName val="OTP_Projection154"/>
      <sheetName val="Monthly_Loading154"/>
      <sheetName val="OTP_Source154"/>
      <sheetName val="FA14_Detail154"/>
      <sheetName val="Lynne's_Tab154"/>
      <sheetName val="SU14_Detail154"/>
      <sheetName val="Category_Callouts154"/>
      <sheetName val="Cap_Scenario154"/>
      <sheetName val="Subcapacity_outsoles_154"/>
      <sheetName val="PA_Scenarios154"/>
      <sheetName val="PA_Transfer_Summary154"/>
      <sheetName val="Monthly_Loading_-Summary154"/>
      <sheetName val="Monthly_Loading-PB_Data154"/>
      <sheetName val="Monthly_Loading-PrevOTP_Data154"/>
      <sheetName val="Data_Refresh154"/>
      <sheetName val="SUMM_LOADING_153"/>
      <sheetName val="Raw_Data_Sheet153"/>
      <sheetName val="IA_1153"/>
      <sheetName val="DATA_MOLD_NEW_BALANCE153"/>
      <sheetName val="SSAI_IP_ORDER153"/>
      <sheetName val="Cutting_Dies_153"/>
      <sheetName val="Indirect_List139"/>
      <sheetName val="BASIS_DATA139"/>
      <sheetName val="SUBCONT_STATUS139"/>
      <sheetName val="cumulus_1684"/>
      <sheetName val="EAM_INVENTORY49"/>
      <sheetName val="Maintenance_Work_Order49"/>
      <sheetName val="Vietnam_Report11"/>
      <sheetName val="5_수정데이터통합11"/>
      <sheetName val="CT__PL10"/>
      <sheetName val="CT_Thang_Mo10"/>
      <sheetName val="Chi_tiet10"/>
      <sheetName val="CTTR_Transfer_Type159"/>
      <sheetName val="GFP_Type159"/>
      <sheetName val="GFP_Reasons159"/>
      <sheetName val="LAST_YEARS_CS158"/>
      <sheetName val="Fct_Sum_2_SeasonView155"/>
      <sheetName val="F1_Scenarios155"/>
      <sheetName val="Fct_Summary155"/>
      <sheetName val="Chris'_Tab155"/>
      <sheetName val="OTP_Summary_Result155"/>
      <sheetName val="OTP_Projection155"/>
      <sheetName val="Monthly_Loading155"/>
      <sheetName val="OTP_Source155"/>
      <sheetName val="FA14_Detail155"/>
      <sheetName val="Lynne's_Tab155"/>
      <sheetName val="SU14_Detail155"/>
      <sheetName val="Category_Callouts155"/>
      <sheetName val="Cap_Scenario155"/>
      <sheetName val="Subcapacity_outsoles_155"/>
      <sheetName val="PA_Scenarios155"/>
      <sheetName val="PA_Transfer_Summary155"/>
      <sheetName val="Monthly_Loading_-Summary155"/>
      <sheetName val="Monthly_Loading-PB_Data155"/>
      <sheetName val="Monthly_Loading-PrevOTP_Data155"/>
      <sheetName val="Data_Refresh155"/>
      <sheetName val="SUMM_LOADING_154"/>
      <sheetName val="Raw_Data_Sheet154"/>
      <sheetName val="IA_1154"/>
      <sheetName val="DATA_MOLD_NEW_BALANCE154"/>
      <sheetName val="SSAI_IP_ORDER154"/>
      <sheetName val="Cutting_Dies_154"/>
      <sheetName val="Indirect_List140"/>
      <sheetName val="BASIS_DATA140"/>
      <sheetName val="SUBCONT_STATUS140"/>
      <sheetName val="cumulus_1685"/>
      <sheetName val="EAM_INVENTORY50"/>
      <sheetName val="Maintenance_Work_Order50"/>
      <sheetName val="Vietnam_Report12"/>
      <sheetName val="5_수정데이터통합12"/>
      <sheetName val="CT__PL11"/>
      <sheetName val="CT_Thang_Mo11"/>
      <sheetName val="Chi_tiet11"/>
      <sheetName val="KAHANA"/>
      <sheetName val="CTTR_Transfer_Type160"/>
      <sheetName val="GFP_Type160"/>
      <sheetName val="GFP_Reasons160"/>
      <sheetName val="LAST_YEARS_CS159"/>
      <sheetName val="Fct_Sum_2_SeasonView156"/>
      <sheetName val="F1_Scenarios156"/>
      <sheetName val="Fct_Summary156"/>
      <sheetName val="Chris'_Tab156"/>
      <sheetName val="OTP_Summary_Result156"/>
      <sheetName val="OTP_Projection156"/>
      <sheetName val="Monthly_Loading156"/>
      <sheetName val="OTP_Source156"/>
      <sheetName val="FA14_Detail156"/>
      <sheetName val="Lynne's_Tab156"/>
      <sheetName val="SU14_Detail156"/>
      <sheetName val="Category_Callouts156"/>
      <sheetName val="Cap_Scenario156"/>
      <sheetName val="Subcapacity_outsoles_156"/>
      <sheetName val="PA_Scenarios156"/>
      <sheetName val="PA_Transfer_Summary156"/>
      <sheetName val="Monthly_Loading_-Summary156"/>
      <sheetName val="Monthly_Loading-PB_Data156"/>
      <sheetName val="Monthly_Loading-PrevOTP_Data156"/>
      <sheetName val="Data_Refresh156"/>
      <sheetName val="SUMM_LOADING_155"/>
      <sheetName val="Raw_Data_Sheet155"/>
      <sheetName val="IA_1155"/>
      <sheetName val="DATA_MOLD_NEW_BALANCE155"/>
      <sheetName val="SSAI_IP_ORDER155"/>
      <sheetName val="Cutting_Dies_155"/>
      <sheetName val="Indirect_List141"/>
      <sheetName val="BASIS_DATA141"/>
      <sheetName val="SUBCONT_STATUS141"/>
      <sheetName val="cumulus_1686"/>
      <sheetName val="EAM_INVENTORY51"/>
      <sheetName val="Maintenance_Work_Order51"/>
      <sheetName val="Vietnam_Report13"/>
      <sheetName val="5_수정데이터통합13"/>
      <sheetName val="CT__PL12"/>
      <sheetName val="CT_Thang_Mo12"/>
      <sheetName val="Chi_tiet12"/>
      <sheetName val="CTTR_Transfer_Type161"/>
      <sheetName val="GFP_Type161"/>
      <sheetName val="GFP_Reasons161"/>
      <sheetName val="LAST_YEARS_CS160"/>
      <sheetName val="Fct_Sum_2_SeasonView157"/>
      <sheetName val="F1_Scenarios157"/>
      <sheetName val="Fct_Summary157"/>
      <sheetName val="Chris'_Tab157"/>
      <sheetName val="OTP_Summary_Result157"/>
      <sheetName val="OTP_Projection157"/>
      <sheetName val="Monthly_Loading157"/>
      <sheetName val="OTP_Source157"/>
      <sheetName val="FA14_Detail157"/>
      <sheetName val="Lynne's_Tab157"/>
      <sheetName val="SU14_Detail157"/>
      <sheetName val="Category_Callouts157"/>
      <sheetName val="Cap_Scenario157"/>
      <sheetName val="Subcapacity_outsoles_157"/>
      <sheetName val="PA_Scenarios157"/>
      <sheetName val="PA_Transfer_Summary157"/>
      <sheetName val="Monthly_Loading_-Summary157"/>
      <sheetName val="Monthly_Loading-PB_Data157"/>
      <sheetName val="Monthly_Loading-PrevOTP_Data157"/>
      <sheetName val="Data_Refresh157"/>
      <sheetName val="SUMM_LOADING_156"/>
      <sheetName val="Raw_Data_Sheet156"/>
      <sheetName val="IA_1156"/>
      <sheetName val="DATA_MOLD_NEW_BALANCE156"/>
      <sheetName val="SSAI_IP_ORDER156"/>
      <sheetName val="Cutting_Dies_156"/>
      <sheetName val="Indirect_List142"/>
      <sheetName val="BASIS_DATA142"/>
      <sheetName val="SUBCONT_STATUS142"/>
      <sheetName val="cumulus_1687"/>
      <sheetName val="EAM_INVENTORY52"/>
      <sheetName val="Maintenance_Work_Order52"/>
      <sheetName val="Vietnam_Report14"/>
      <sheetName val="5_수정데이터통합14"/>
      <sheetName val="CT__PL13"/>
      <sheetName val="CT_Thang_Mo13"/>
      <sheetName val="Chi_tiet13"/>
      <sheetName val="CTTR_Transfer_Type162"/>
      <sheetName val="GFP_Type162"/>
      <sheetName val="GFP_Reasons162"/>
      <sheetName val="LAST_YEARS_CS161"/>
      <sheetName val="Fct_Sum_2_SeasonView158"/>
      <sheetName val="F1_Scenarios158"/>
      <sheetName val="Fct_Summary158"/>
      <sheetName val="Chris'_Tab158"/>
      <sheetName val="OTP_Summary_Result158"/>
      <sheetName val="OTP_Projection158"/>
      <sheetName val="Monthly_Loading158"/>
      <sheetName val="OTP_Source158"/>
      <sheetName val="FA14_Detail158"/>
      <sheetName val="Lynne's_Tab158"/>
      <sheetName val="SU14_Detail158"/>
      <sheetName val="Category_Callouts158"/>
      <sheetName val="Cap_Scenario158"/>
      <sheetName val="Subcapacity_outsoles_158"/>
      <sheetName val="PA_Scenarios158"/>
      <sheetName val="PA_Transfer_Summary158"/>
      <sheetName val="Monthly_Loading_-Summary158"/>
      <sheetName val="Monthly_Loading-PB_Data158"/>
      <sheetName val="Monthly_Loading-PrevOTP_Data158"/>
      <sheetName val="Data_Refresh158"/>
      <sheetName val="SUMM_LOADING_157"/>
      <sheetName val="Raw_Data_Sheet157"/>
      <sheetName val="IA_1157"/>
      <sheetName val="DATA_MOLD_NEW_BALANCE157"/>
      <sheetName val="SSAI_IP_ORDER157"/>
      <sheetName val="Cutting_Dies_157"/>
      <sheetName val="Indirect_List143"/>
      <sheetName val="BASIS_DATA143"/>
      <sheetName val="SUBCONT_STATUS143"/>
      <sheetName val="cumulus_1688"/>
      <sheetName val="EAM_INVENTORY53"/>
      <sheetName val="Maintenance_Work_Order53"/>
      <sheetName val="Vietnam_Report15"/>
      <sheetName val="5_수정데이터통합15"/>
      <sheetName val="CT__PL14"/>
      <sheetName val="CT_Thang_Mo14"/>
      <sheetName val="Chi_tiet14"/>
      <sheetName val="CTTR_Transfer_Type163"/>
      <sheetName val="GFP_Type163"/>
      <sheetName val="GFP_Reasons163"/>
      <sheetName val="LAST_YEARS_CS162"/>
      <sheetName val="Fct_Sum_2_SeasonView159"/>
      <sheetName val="F1_Scenarios159"/>
      <sheetName val="Fct_Summary159"/>
      <sheetName val="Chris'_Tab159"/>
      <sheetName val="OTP_Summary_Result159"/>
      <sheetName val="OTP_Projection159"/>
      <sheetName val="Monthly_Loading159"/>
      <sheetName val="OTP_Source159"/>
      <sheetName val="FA14_Detail159"/>
      <sheetName val="Lynne's_Tab159"/>
      <sheetName val="SU14_Detail159"/>
      <sheetName val="Category_Callouts159"/>
      <sheetName val="Cap_Scenario159"/>
      <sheetName val="Subcapacity_outsoles_159"/>
      <sheetName val="PA_Scenarios159"/>
      <sheetName val="PA_Transfer_Summary159"/>
      <sheetName val="Monthly_Loading_-Summary159"/>
      <sheetName val="Monthly_Loading-PB_Data159"/>
      <sheetName val="Monthly_Loading-PrevOTP_Data159"/>
      <sheetName val="Data_Refresh159"/>
      <sheetName val="SUMM_LOADING_158"/>
      <sheetName val="Raw_Data_Sheet158"/>
      <sheetName val="IA_1158"/>
      <sheetName val="DATA_MOLD_NEW_BALANCE158"/>
      <sheetName val="SSAI_IP_ORDER158"/>
      <sheetName val="Cutting_Dies_158"/>
      <sheetName val="Indirect_List144"/>
      <sheetName val="BASIS_DATA144"/>
      <sheetName val="SUBCONT_STATUS144"/>
      <sheetName val="cumulus_1689"/>
      <sheetName val="EAM_INVENTORY54"/>
      <sheetName val="Maintenance_Work_Order54"/>
      <sheetName val="Vietnam_Report16"/>
      <sheetName val="5_수정데이터통합16"/>
      <sheetName val="CT__PL15"/>
      <sheetName val="CT_Thang_Mo15"/>
      <sheetName val="Chi_tiet15"/>
      <sheetName val="CTTR_Transfer_Type164"/>
      <sheetName val="GFP_Type164"/>
      <sheetName val="GFP_Reasons164"/>
      <sheetName val="LAST_YEARS_CS163"/>
      <sheetName val="Fct_Sum_2_SeasonView160"/>
      <sheetName val="F1_Scenarios160"/>
      <sheetName val="Fct_Summary160"/>
      <sheetName val="Chris'_Tab160"/>
      <sheetName val="OTP_Summary_Result160"/>
      <sheetName val="OTP_Projection160"/>
      <sheetName val="Monthly_Loading160"/>
      <sheetName val="OTP_Source160"/>
      <sheetName val="FA14_Detail160"/>
      <sheetName val="Lynne's_Tab160"/>
      <sheetName val="SU14_Detail160"/>
      <sheetName val="Category_Callouts160"/>
      <sheetName val="Cap_Scenario160"/>
      <sheetName val="Subcapacity_outsoles_160"/>
      <sheetName val="PA_Scenarios160"/>
      <sheetName val="PA_Transfer_Summary160"/>
      <sheetName val="Monthly_Loading_-Summary160"/>
      <sheetName val="Monthly_Loading-PB_Data160"/>
      <sheetName val="Monthly_Loading-PrevOTP_Data160"/>
      <sheetName val="Data_Refresh160"/>
      <sheetName val="SUMM_LOADING_159"/>
      <sheetName val="Raw_Data_Sheet159"/>
      <sheetName val="IA_1159"/>
      <sheetName val="DATA_MOLD_NEW_BALANCE159"/>
      <sheetName val="SSAI_IP_ORDER159"/>
      <sheetName val="Cutting_Dies_159"/>
      <sheetName val="Indirect_List145"/>
      <sheetName val="BASIS_DATA145"/>
      <sheetName val="SUBCONT_STATUS145"/>
      <sheetName val="cumulus_1690"/>
      <sheetName val="EAM_INVENTORY55"/>
      <sheetName val="Maintenance_Work_Order55"/>
      <sheetName val="Vietnam_Report17"/>
      <sheetName val="5_수정데이터통합17"/>
      <sheetName val="CT__PL16"/>
      <sheetName val="CT_Thang_Mo16"/>
      <sheetName val="Chi_tiet16"/>
      <sheetName val="CTTR_Transfer_Type165"/>
      <sheetName val="GFP_Type165"/>
      <sheetName val="GFP_Reasons165"/>
      <sheetName val="LAST_YEARS_CS164"/>
      <sheetName val="Fct_Sum_2_SeasonView161"/>
      <sheetName val="F1_Scenarios161"/>
      <sheetName val="Fct_Summary161"/>
      <sheetName val="Chris'_Tab161"/>
      <sheetName val="OTP_Summary_Result161"/>
      <sheetName val="OTP_Projection161"/>
      <sheetName val="Monthly_Loading161"/>
      <sheetName val="OTP_Source161"/>
      <sheetName val="FA14_Detail161"/>
      <sheetName val="Lynne's_Tab161"/>
      <sheetName val="SU14_Detail161"/>
      <sheetName val="Category_Callouts161"/>
      <sheetName val="Cap_Scenario161"/>
      <sheetName val="Subcapacity_outsoles_161"/>
      <sheetName val="PA_Scenarios161"/>
      <sheetName val="PA_Transfer_Summary161"/>
      <sheetName val="Monthly_Loading_-Summary161"/>
      <sheetName val="Monthly_Loading-PB_Data161"/>
      <sheetName val="Monthly_Loading-PrevOTP_Data161"/>
      <sheetName val="Data_Refresh161"/>
      <sheetName val="SUMM_LOADING_160"/>
      <sheetName val="Raw_Data_Sheet160"/>
      <sheetName val="IA_1160"/>
      <sheetName val="DATA_MOLD_NEW_BALANCE160"/>
      <sheetName val="SSAI_IP_ORDER160"/>
      <sheetName val="Cutting_Dies_160"/>
      <sheetName val="Indirect_List146"/>
      <sheetName val="BASIS_DATA146"/>
      <sheetName val="SUBCONT_STATUS146"/>
      <sheetName val="cumulus_1691"/>
      <sheetName val="EAM_INVENTORY56"/>
      <sheetName val="Maintenance_Work_Order56"/>
      <sheetName val="Vietnam_Report18"/>
      <sheetName val="5_수정데이터통합18"/>
      <sheetName val="CT__PL17"/>
      <sheetName val="CT_Thang_Mo17"/>
      <sheetName val="Chi_tiet17"/>
      <sheetName val="CTTR_Transfer_Type166"/>
      <sheetName val="GFP_Type166"/>
      <sheetName val="GFP_Reasons166"/>
      <sheetName val="LAST_YEARS_CS165"/>
      <sheetName val="Fct_Sum_2_SeasonView162"/>
      <sheetName val="F1_Scenarios162"/>
      <sheetName val="Fct_Summary162"/>
      <sheetName val="Chris'_Tab162"/>
      <sheetName val="OTP_Summary_Result162"/>
      <sheetName val="OTP_Projection162"/>
      <sheetName val="Monthly_Loading162"/>
      <sheetName val="OTP_Source162"/>
      <sheetName val="FA14_Detail162"/>
      <sheetName val="Lynne's_Tab162"/>
      <sheetName val="SU14_Detail162"/>
      <sheetName val="Category_Callouts162"/>
      <sheetName val="Cap_Scenario162"/>
      <sheetName val="Subcapacity_outsoles_162"/>
      <sheetName val="PA_Scenarios162"/>
      <sheetName val="PA_Transfer_Summary162"/>
      <sheetName val="Monthly_Loading_-Summary162"/>
      <sheetName val="Monthly_Loading-PB_Data162"/>
      <sheetName val="Monthly_Loading-PrevOTP_Data162"/>
      <sheetName val="Data_Refresh162"/>
      <sheetName val="SUMM_LOADING_161"/>
      <sheetName val="Raw_Data_Sheet161"/>
      <sheetName val="IA_1161"/>
      <sheetName val="DATA_MOLD_NEW_BALANCE161"/>
      <sheetName val="SSAI_IP_ORDER161"/>
      <sheetName val="Cutting_Dies_161"/>
      <sheetName val="Indirect_List147"/>
      <sheetName val="BASIS_DATA147"/>
      <sheetName val="SUBCONT_STATUS147"/>
      <sheetName val="cumulus_1692"/>
      <sheetName val="EAM_INVENTORY57"/>
      <sheetName val="Maintenance_Work_Order57"/>
      <sheetName val="Vietnam_Report19"/>
      <sheetName val="5_수정데이터통합19"/>
      <sheetName val="CT__PL18"/>
      <sheetName val="CT_Thang_Mo18"/>
      <sheetName val="Chi_tiet18"/>
      <sheetName val="CTTR_Transfer_Type167"/>
      <sheetName val="GFP_Type167"/>
      <sheetName val="GFP_Reasons167"/>
      <sheetName val="LAST_YEARS_CS166"/>
      <sheetName val="Fct_Sum_2_SeasonView163"/>
      <sheetName val="F1_Scenarios163"/>
      <sheetName val="Fct_Summary163"/>
      <sheetName val="Chris'_Tab163"/>
      <sheetName val="OTP_Summary_Result163"/>
      <sheetName val="OTP_Projection163"/>
      <sheetName val="Monthly_Loading163"/>
      <sheetName val="OTP_Source163"/>
      <sheetName val="FA14_Detail163"/>
      <sheetName val="Lynne's_Tab163"/>
      <sheetName val="SU14_Detail163"/>
      <sheetName val="Category_Callouts163"/>
      <sheetName val="Cap_Scenario163"/>
      <sheetName val="Subcapacity_outsoles_163"/>
      <sheetName val="PA_Scenarios163"/>
      <sheetName val="PA_Transfer_Summary163"/>
      <sheetName val="Monthly_Loading_-Summary163"/>
      <sheetName val="Monthly_Loading-PB_Data163"/>
      <sheetName val="Monthly_Loading-PrevOTP_Data163"/>
      <sheetName val="Data_Refresh163"/>
      <sheetName val="SUMM_LOADING_162"/>
      <sheetName val="Raw_Data_Sheet162"/>
      <sheetName val="IA_1162"/>
      <sheetName val="DATA_MOLD_NEW_BALANCE162"/>
      <sheetName val="SSAI_IP_ORDER162"/>
      <sheetName val="Cutting_Dies_162"/>
      <sheetName val="Indirect_List148"/>
      <sheetName val="BASIS_DATA148"/>
      <sheetName val="SUBCONT_STATUS148"/>
      <sheetName val="cumulus_1693"/>
      <sheetName val="EAM_INVENTORY58"/>
      <sheetName val="Maintenance_Work_Order58"/>
      <sheetName val="Vietnam_Report20"/>
      <sheetName val="5_수정데이터통합20"/>
      <sheetName val="CT__PL19"/>
      <sheetName val="CT_Thang_Mo19"/>
      <sheetName val="Chi_tiet19"/>
      <sheetName val="CTTR_Transfer_Type168"/>
      <sheetName val="GFP_Type168"/>
      <sheetName val="GFP_Reasons168"/>
      <sheetName val="LAST_YEARS_CS167"/>
      <sheetName val="Fct_Sum_2_SeasonView164"/>
      <sheetName val="F1_Scenarios164"/>
      <sheetName val="Fct_Summary164"/>
      <sheetName val="Chris'_Tab164"/>
      <sheetName val="OTP_Summary_Result164"/>
      <sheetName val="OTP_Projection164"/>
      <sheetName val="Monthly_Loading164"/>
      <sheetName val="OTP_Source164"/>
      <sheetName val="FA14_Detail164"/>
      <sheetName val="Lynne's_Tab164"/>
      <sheetName val="SU14_Detail164"/>
      <sheetName val="Category_Callouts164"/>
      <sheetName val="Cap_Scenario164"/>
      <sheetName val="Subcapacity_outsoles_164"/>
      <sheetName val="PA_Scenarios164"/>
      <sheetName val="PA_Transfer_Summary164"/>
      <sheetName val="Monthly_Loading_-Summary164"/>
      <sheetName val="Monthly_Loading-PB_Data164"/>
      <sheetName val="Monthly_Loading-PrevOTP_Data164"/>
      <sheetName val="Data_Refresh164"/>
      <sheetName val="SUMM_LOADING_163"/>
      <sheetName val="Raw_Data_Sheet163"/>
      <sheetName val="IA_1163"/>
      <sheetName val="DATA_MOLD_NEW_BALANCE163"/>
      <sheetName val="SSAI_IP_ORDER163"/>
      <sheetName val="Cutting_Dies_163"/>
      <sheetName val="Indirect_List149"/>
      <sheetName val="BASIS_DATA149"/>
      <sheetName val="SUBCONT_STATUS149"/>
      <sheetName val="cumulus_1694"/>
      <sheetName val="EAM_INVENTORY59"/>
      <sheetName val="Maintenance_Work_Order59"/>
      <sheetName val="Vietnam_Report21"/>
      <sheetName val="5_수정데이터통합21"/>
      <sheetName val="CT__PL20"/>
      <sheetName val="CT_Thang_Mo20"/>
      <sheetName val="Chi_tiet20"/>
      <sheetName val="CTTR_Transfer_Type169"/>
      <sheetName val="GFP_Type169"/>
      <sheetName val="GFP_Reasons169"/>
      <sheetName val="LAST_YEARS_CS168"/>
      <sheetName val="Fct_Sum_2_SeasonView165"/>
      <sheetName val="F1_Scenarios165"/>
      <sheetName val="Fct_Summary165"/>
      <sheetName val="Chris'_Tab165"/>
      <sheetName val="OTP_Summary_Result165"/>
      <sheetName val="OTP_Projection165"/>
      <sheetName val="Monthly_Loading165"/>
      <sheetName val="OTP_Source165"/>
      <sheetName val="FA14_Detail165"/>
      <sheetName val="Lynne's_Tab165"/>
      <sheetName val="SU14_Detail165"/>
      <sheetName val="Category_Callouts165"/>
      <sheetName val="Cap_Scenario165"/>
      <sheetName val="Subcapacity_outsoles_165"/>
      <sheetName val="PA_Scenarios165"/>
      <sheetName val="PA_Transfer_Summary165"/>
      <sheetName val="Monthly_Loading_-Summary165"/>
      <sheetName val="Monthly_Loading-PB_Data165"/>
      <sheetName val="Monthly_Loading-PrevOTP_Data165"/>
      <sheetName val="Data_Refresh165"/>
      <sheetName val="SUMM_LOADING_164"/>
      <sheetName val="Raw_Data_Sheet164"/>
      <sheetName val="IA_1164"/>
      <sheetName val="DATA_MOLD_NEW_BALANCE164"/>
      <sheetName val="SSAI_IP_ORDER164"/>
      <sheetName val="Cutting_Dies_164"/>
      <sheetName val="Indirect_List150"/>
      <sheetName val="BASIS_DATA150"/>
      <sheetName val="SUBCONT_STATUS150"/>
      <sheetName val="cumulus_1695"/>
      <sheetName val="EAM_INVENTORY60"/>
      <sheetName val="Maintenance_Work_Order60"/>
      <sheetName val="Vietnam_Report22"/>
      <sheetName val="5_수정데이터통합22"/>
      <sheetName val="CT__PL21"/>
      <sheetName val="CT_Thang_Mo21"/>
      <sheetName val="Chi_tiet21"/>
      <sheetName val="CTTR_Transfer_Type170"/>
      <sheetName val="GFP_Type170"/>
      <sheetName val="GFP_Reasons170"/>
      <sheetName val="LAST_YEARS_CS169"/>
      <sheetName val="Fct_Sum_2_SeasonView166"/>
      <sheetName val="F1_Scenarios166"/>
      <sheetName val="Fct_Summary166"/>
      <sheetName val="Chris'_Tab166"/>
      <sheetName val="OTP_Summary_Result166"/>
      <sheetName val="OTP_Projection166"/>
      <sheetName val="Monthly_Loading166"/>
      <sheetName val="OTP_Source166"/>
      <sheetName val="FA14_Detail166"/>
      <sheetName val="Lynne's_Tab166"/>
      <sheetName val="SU14_Detail166"/>
      <sheetName val="Category_Callouts166"/>
      <sheetName val="Cap_Scenario166"/>
      <sheetName val="Subcapacity_outsoles_166"/>
      <sheetName val="PA_Scenarios166"/>
      <sheetName val="PA_Transfer_Summary166"/>
      <sheetName val="Monthly_Loading_-Summary166"/>
      <sheetName val="Monthly_Loading-PB_Data166"/>
      <sheetName val="Monthly_Loading-PrevOTP_Data166"/>
      <sheetName val="Data_Refresh166"/>
      <sheetName val="SUMM_LOADING_165"/>
      <sheetName val="Raw_Data_Sheet165"/>
      <sheetName val="IA_1165"/>
      <sheetName val="DATA_MOLD_NEW_BALANCE165"/>
      <sheetName val="SSAI_IP_ORDER165"/>
      <sheetName val="Cutting_Dies_165"/>
      <sheetName val="Indirect_List151"/>
      <sheetName val="BASIS_DATA151"/>
      <sheetName val="SUBCONT_STATUS151"/>
      <sheetName val="cumulus_1696"/>
      <sheetName val="EAM_INVENTORY61"/>
      <sheetName val="Maintenance_Work_Order61"/>
      <sheetName val="Vietnam_Report23"/>
      <sheetName val="5_수정데이터통합23"/>
      <sheetName val="CT__PL22"/>
      <sheetName val="CT_Thang_Mo22"/>
      <sheetName val="Chi_tiet22"/>
      <sheetName val="CTTR_Transfer_Type171"/>
      <sheetName val="GFP_Type171"/>
      <sheetName val="GFP_Reasons171"/>
      <sheetName val="LAST_YEARS_CS170"/>
      <sheetName val="Fct_Sum_2_SeasonView167"/>
      <sheetName val="F1_Scenarios167"/>
      <sheetName val="Fct_Summary167"/>
      <sheetName val="Chris'_Tab167"/>
      <sheetName val="OTP_Summary_Result167"/>
      <sheetName val="OTP_Projection167"/>
      <sheetName val="Monthly_Loading167"/>
      <sheetName val="OTP_Source167"/>
      <sheetName val="FA14_Detail167"/>
      <sheetName val="Lynne's_Tab167"/>
      <sheetName val="SU14_Detail167"/>
      <sheetName val="Category_Callouts167"/>
      <sheetName val="Cap_Scenario167"/>
      <sheetName val="Subcapacity_outsoles_167"/>
      <sheetName val="PA_Scenarios167"/>
      <sheetName val="PA_Transfer_Summary167"/>
      <sheetName val="Monthly_Loading_-Summary167"/>
      <sheetName val="Monthly_Loading-PB_Data167"/>
      <sheetName val="Monthly_Loading-PrevOTP_Data167"/>
      <sheetName val="Data_Refresh167"/>
      <sheetName val="SUMM_LOADING_166"/>
      <sheetName val="Raw_Data_Sheet166"/>
      <sheetName val="IA_1166"/>
      <sheetName val="DATA_MOLD_NEW_BALANCE166"/>
      <sheetName val="SSAI_IP_ORDER166"/>
      <sheetName val="Cutting_Dies_166"/>
      <sheetName val="Indirect_List152"/>
      <sheetName val="BASIS_DATA152"/>
      <sheetName val="SUBCONT_STATUS152"/>
      <sheetName val="cumulus_1697"/>
      <sheetName val="EAM_INVENTORY62"/>
      <sheetName val="Maintenance_Work_Order62"/>
      <sheetName val="Vietnam_Report24"/>
      <sheetName val="5_수정데이터통합24"/>
      <sheetName val="CT__PL23"/>
      <sheetName val="CT_Thang_Mo23"/>
      <sheetName val="Chi_tiet23"/>
      <sheetName val="CTTR_Transfer_Type178"/>
      <sheetName val="GFP_Type178"/>
      <sheetName val="GFP_Reasons178"/>
      <sheetName val="LAST_YEARS_CS177"/>
      <sheetName val="Fct_Sum_2_SeasonView174"/>
      <sheetName val="F1_Scenarios174"/>
      <sheetName val="Fct_Summary174"/>
      <sheetName val="Chris'_Tab174"/>
      <sheetName val="OTP_Summary_Result174"/>
      <sheetName val="OTP_Projection174"/>
      <sheetName val="Monthly_Loading174"/>
      <sheetName val="OTP_Source174"/>
      <sheetName val="FA14_Detail174"/>
      <sheetName val="Lynne's_Tab174"/>
      <sheetName val="SU14_Detail174"/>
      <sheetName val="Category_Callouts174"/>
      <sheetName val="Cap_Scenario174"/>
      <sheetName val="Subcapacity_outsoles_174"/>
      <sheetName val="PA_Scenarios174"/>
      <sheetName val="PA_Transfer_Summary174"/>
      <sheetName val="Monthly_Loading_-Summary174"/>
      <sheetName val="Monthly_Loading-PB_Data174"/>
      <sheetName val="Monthly_Loading-PrevOTP_Data174"/>
      <sheetName val="Data_Refresh174"/>
      <sheetName val="SUMM_LOADING_173"/>
      <sheetName val="Raw_Data_Sheet173"/>
      <sheetName val="IA_1173"/>
      <sheetName val="DATA_MOLD_NEW_BALANCE173"/>
      <sheetName val="SSAI_IP_ORDER173"/>
      <sheetName val="Cutting_Dies_173"/>
      <sheetName val="Indirect_List159"/>
      <sheetName val="BASIS_DATA159"/>
      <sheetName val="SUBCONT_STATUS159"/>
      <sheetName val="cumulus_16104"/>
      <sheetName val="EAM_INVENTORY69"/>
      <sheetName val="Maintenance_Work_Order69"/>
      <sheetName val="Vietnam_Report31"/>
      <sheetName val="5_수정데이터통합31"/>
      <sheetName val="CT__PL30"/>
      <sheetName val="CT_Thang_Mo30"/>
      <sheetName val="Chi_tiet30"/>
      <sheetName val="CTTR_Transfer_Type172"/>
      <sheetName val="GFP_Type172"/>
      <sheetName val="GFP_Reasons172"/>
      <sheetName val="LAST_YEARS_CS171"/>
      <sheetName val="Fct_Sum_2_SeasonView168"/>
      <sheetName val="F1_Scenarios168"/>
      <sheetName val="Fct_Summary168"/>
      <sheetName val="Chris'_Tab168"/>
      <sheetName val="OTP_Summary_Result168"/>
      <sheetName val="OTP_Projection168"/>
      <sheetName val="Monthly_Loading168"/>
      <sheetName val="OTP_Source168"/>
      <sheetName val="FA14_Detail168"/>
      <sheetName val="Lynne's_Tab168"/>
      <sheetName val="SU14_Detail168"/>
      <sheetName val="Category_Callouts168"/>
      <sheetName val="Cap_Scenario168"/>
      <sheetName val="Subcapacity_outsoles_168"/>
      <sheetName val="PA_Scenarios168"/>
      <sheetName val="PA_Transfer_Summary168"/>
      <sheetName val="Monthly_Loading_-Summary168"/>
      <sheetName val="Monthly_Loading-PB_Data168"/>
      <sheetName val="Monthly_Loading-PrevOTP_Data168"/>
      <sheetName val="Data_Refresh168"/>
      <sheetName val="SUMM_LOADING_167"/>
      <sheetName val="Raw_Data_Sheet167"/>
      <sheetName val="IA_1167"/>
      <sheetName val="DATA_MOLD_NEW_BALANCE167"/>
      <sheetName val="SSAI_IP_ORDER167"/>
      <sheetName val="Cutting_Dies_167"/>
      <sheetName val="Indirect_List153"/>
      <sheetName val="BASIS_DATA153"/>
      <sheetName val="SUBCONT_STATUS153"/>
      <sheetName val="cumulus_1698"/>
      <sheetName val="EAM_INVENTORY63"/>
      <sheetName val="Maintenance_Work_Order63"/>
      <sheetName val="Vietnam_Report25"/>
      <sheetName val="5_수정데이터통합25"/>
      <sheetName val="CT__PL24"/>
      <sheetName val="CT_Thang_Mo24"/>
      <sheetName val="Chi_tiet24"/>
      <sheetName val="CTTR_Transfer_Type173"/>
      <sheetName val="GFP_Type173"/>
      <sheetName val="GFP_Reasons173"/>
      <sheetName val="LAST_YEARS_CS172"/>
      <sheetName val="Fct_Sum_2_SeasonView169"/>
      <sheetName val="F1_Scenarios169"/>
      <sheetName val="Fct_Summary169"/>
      <sheetName val="Chris'_Tab169"/>
      <sheetName val="OTP_Summary_Result169"/>
      <sheetName val="OTP_Projection169"/>
      <sheetName val="Monthly_Loading169"/>
      <sheetName val="OTP_Source169"/>
      <sheetName val="FA14_Detail169"/>
      <sheetName val="Lynne's_Tab169"/>
      <sheetName val="SU14_Detail169"/>
      <sheetName val="Category_Callouts169"/>
      <sheetName val="Cap_Scenario169"/>
      <sheetName val="Subcapacity_outsoles_169"/>
      <sheetName val="PA_Scenarios169"/>
      <sheetName val="PA_Transfer_Summary169"/>
      <sheetName val="Monthly_Loading_-Summary169"/>
      <sheetName val="Monthly_Loading-PB_Data169"/>
      <sheetName val="Monthly_Loading-PrevOTP_Data169"/>
      <sheetName val="Data_Refresh169"/>
      <sheetName val="SUMM_LOADING_168"/>
      <sheetName val="Raw_Data_Sheet168"/>
      <sheetName val="IA_1168"/>
      <sheetName val="DATA_MOLD_NEW_BALANCE168"/>
      <sheetName val="SSAI_IP_ORDER168"/>
      <sheetName val="Cutting_Dies_168"/>
      <sheetName val="Indirect_List154"/>
      <sheetName val="BASIS_DATA154"/>
      <sheetName val="SUBCONT_STATUS154"/>
      <sheetName val="cumulus_1699"/>
      <sheetName val="EAM_INVENTORY64"/>
      <sheetName val="Maintenance_Work_Order64"/>
      <sheetName val="Vietnam_Report26"/>
      <sheetName val="5_수정데이터통합26"/>
      <sheetName val="CT__PL25"/>
      <sheetName val="CT_Thang_Mo25"/>
      <sheetName val="Chi_tiet25"/>
      <sheetName val="CTTR_Transfer_Type174"/>
      <sheetName val="GFP_Type174"/>
      <sheetName val="GFP_Reasons174"/>
      <sheetName val="LAST_YEARS_CS173"/>
      <sheetName val="Fct_Sum_2_SeasonView170"/>
      <sheetName val="F1_Scenarios170"/>
      <sheetName val="Fct_Summary170"/>
      <sheetName val="Chris'_Tab170"/>
      <sheetName val="OTP_Summary_Result170"/>
      <sheetName val="OTP_Projection170"/>
      <sheetName val="Monthly_Loading170"/>
      <sheetName val="OTP_Source170"/>
      <sheetName val="FA14_Detail170"/>
      <sheetName val="Lynne's_Tab170"/>
      <sheetName val="SU14_Detail170"/>
      <sheetName val="Category_Callouts170"/>
      <sheetName val="Cap_Scenario170"/>
      <sheetName val="Subcapacity_outsoles_170"/>
      <sheetName val="PA_Scenarios170"/>
      <sheetName val="PA_Transfer_Summary170"/>
      <sheetName val="Monthly_Loading_-Summary170"/>
      <sheetName val="Monthly_Loading-PB_Data170"/>
      <sheetName val="Monthly_Loading-PrevOTP_Data170"/>
      <sheetName val="Data_Refresh170"/>
      <sheetName val="SUMM_LOADING_169"/>
      <sheetName val="Raw_Data_Sheet169"/>
      <sheetName val="IA_1169"/>
      <sheetName val="DATA_MOLD_NEW_BALANCE169"/>
      <sheetName val="SSAI_IP_ORDER169"/>
      <sheetName val="Cutting_Dies_169"/>
      <sheetName val="Indirect_List155"/>
      <sheetName val="BASIS_DATA155"/>
      <sheetName val="SUBCONT_STATUS155"/>
      <sheetName val="cumulus_16100"/>
      <sheetName val="EAM_INVENTORY65"/>
      <sheetName val="Maintenance_Work_Order65"/>
      <sheetName val="Vietnam_Report27"/>
      <sheetName val="5_수정데이터통합27"/>
      <sheetName val="CT__PL26"/>
      <sheetName val="CT_Thang_Mo26"/>
      <sheetName val="Chi_tiet26"/>
      <sheetName val="CTTR_Transfer_Type175"/>
      <sheetName val="GFP_Type175"/>
      <sheetName val="GFP_Reasons175"/>
      <sheetName val="LAST_YEARS_CS174"/>
      <sheetName val="Fct_Sum_2_SeasonView171"/>
      <sheetName val="F1_Scenarios171"/>
      <sheetName val="Fct_Summary171"/>
      <sheetName val="Chris'_Tab171"/>
      <sheetName val="OTP_Summary_Result171"/>
      <sheetName val="OTP_Projection171"/>
      <sheetName val="Monthly_Loading171"/>
      <sheetName val="OTP_Source171"/>
      <sheetName val="FA14_Detail171"/>
      <sheetName val="Lynne's_Tab171"/>
      <sheetName val="SU14_Detail171"/>
      <sheetName val="Category_Callouts171"/>
      <sheetName val="Cap_Scenario171"/>
      <sheetName val="Subcapacity_outsoles_171"/>
      <sheetName val="PA_Scenarios171"/>
      <sheetName val="PA_Transfer_Summary171"/>
      <sheetName val="Monthly_Loading_-Summary171"/>
      <sheetName val="Monthly_Loading-PB_Data171"/>
      <sheetName val="Monthly_Loading-PrevOTP_Data171"/>
      <sheetName val="Data_Refresh171"/>
      <sheetName val="SUMM_LOADING_170"/>
      <sheetName val="Raw_Data_Sheet170"/>
      <sheetName val="IA_1170"/>
      <sheetName val="DATA_MOLD_NEW_BALANCE170"/>
      <sheetName val="SSAI_IP_ORDER170"/>
      <sheetName val="Cutting_Dies_170"/>
      <sheetName val="Indirect_List156"/>
      <sheetName val="BASIS_DATA156"/>
      <sheetName val="SUBCONT_STATUS156"/>
      <sheetName val="cumulus_16101"/>
      <sheetName val="EAM_INVENTORY66"/>
      <sheetName val="Maintenance_Work_Order66"/>
      <sheetName val="Vietnam_Report28"/>
      <sheetName val="5_수정데이터통합28"/>
      <sheetName val="CT__PL27"/>
      <sheetName val="CT_Thang_Mo27"/>
      <sheetName val="Chi_tiet27"/>
      <sheetName val="CTTR_Transfer_Type176"/>
      <sheetName val="GFP_Type176"/>
      <sheetName val="GFP_Reasons176"/>
      <sheetName val="LAST_YEARS_CS175"/>
      <sheetName val="Fct_Sum_2_SeasonView172"/>
      <sheetName val="F1_Scenarios172"/>
      <sheetName val="Fct_Summary172"/>
      <sheetName val="Chris'_Tab172"/>
      <sheetName val="OTP_Summary_Result172"/>
      <sheetName val="OTP_Projection172"/>
      <sheetName val="Monthly_Loading172"/>
      <sheetName val="OTP_Source172"/>
      <sheetName val="FA14_Detail172"/>
      <sheetName val="Lynne's_Tab172"/>
      <sheetName val="SU14_Detail172"/>
      <sheetName val="Category_Callouts172"/>
      <sheetName val="Cap_Scenario172"/>
      <sheetName val="Subcapacity_outsoles_172"/>
      <sheetName val="PA_Scenarios172"/>
      <sheetName val="PA_Transfer_Summary172"/>
      <sheetName val="Monthly_Loading_-Summary172"/>
      <sheetName val="Monthly_Loading-PB_Data172"/>
      <sheetName val="Monthly_Loading-PrevOTP_Data172"/>
      <sheetName val="Data_Refresh172"/>
      <sheetName val="SUMM_LOADING_171"/>
      <sheetName val="Raw_Data_Sheet171"/>
      <sheetName val="IA_1171"/>
      <sheetName val="DATA_MOLD_NEW_BALANCE171"/>
      <sheetName val="SSAI_IP_ORDER171"/>
      <sheetName val="Cutting_Dies_171"/>
      <sheetName val="Indirect_List157"/>
      <sheetName val="BASIS_DATA157"/>
      <sheetName val="SUBCONT_STATUS157"/>
      <sheetName val="cumulus_16102"/>
      <sheetName val="EAM_INVENTORY67"/>
      <sheetName val="Maintenance_Work_Order67"/>
      <sheetName val="Vietnam_Report29"/>
      <sheetName val="5_수정데이터통합29"/>
      <sheetName val="CT__PL28"/>
      <sheetName val="CT_Thang_Mo28"/>
      <sheetName val="Chi_tiet28"/>
      <sheetName val="CTTR_Transfer_Type177"/>
      <sheetName val="GFP_Type177"/>
      <sheetName val="GFP_Reasons177"/>
      <sheetName val="LAST_YEARS_CS176"/>
      <sheetName val="Fct_Sum_2_SeasonView173"/>
      <sheetName val="F1_Scenarios173"/>
      <sheetName val="Fct_Summary173"/>
      <sheetName val="Chris'_Tab173"/>
      <sheetName val="OTP_Summary_Result173"/>
      <sheetName val="OTP_Projection173"/>
      <sheetName val="Monthly_Loading173"/>
      <sheetName val="OTP_Source173"/>
      <sheetName val="FA14_Detail173"/>
      <sheetName val="Lynne's_Tab173"/>
      <sheetName val="SU14_Detail173"/>
      <sheetName val="Category_Callouts173"/>
      <sheetName val="Cap_Scenario173"/>
      <sheetName val="Subcapacity_outsoles_173"/>
      <sheetName val="PA_Scenarios173"/>
      <sheetName val="PA_Transfer_Summary173"/>
      <sheetName val="Monthly_Loading_-Summary173"/>
      <sheetName val="Monthly_Loading-PB_Data173"/>
      <sheetName val="Monthly_Loading-PrevOTP_Data173"/>
      <sheetName val="Data_Refresh173"/>
      <sheetName val="SUMM_LOADING_172"/>
      <sheetName val="Raw_Data_Sheet172"/>
      <sheetName val="IA_1172"/>
      <sheetName val="DATA_MOLD_NEW_BALANCE172"/>
      <sheetName val="SSAI_IP_ORDER172"/>
      <sheetName val="Cutting_Dies_172"/>
      <sheetName val="Indirect_List158"/>
      <sheetName val="BASIS_DATA158"/>
      <sheetName val="SUBCONT_STATUS158"/>
      <sheetName val="cumulus_16103"/>
      <sheetName val="EAM_INVENTORY68"/>
      <sheetName val="Maintenance_Work_Order68"/>
      <sheetName val="Vietnam_Report30"/>
      <sheetName val="5_수정데이터통합30"/>
      <sheetName val="CT__PL29"/>
      <sheetName val="CT_Thang_Mo29"/>
      <sheetName val="Chi_tiet29"/>
      <sheetName val="CTTR_Transfer_Type179"/>
      <sheetName val="GFP_Type179"/>
      <sheetName val="GFP_Reasons179"/>
      <sheetName val="LAST_YEARS_CS178"/>
      <sheetName val="Fct_Sum_2_SeasonView175"/>
      <sheetName val="F1_Scenarios175"/>
      <sheetName val="Fct_Summary175"/>
      <sheetName val="Chris'_Tab175"/>
      <sheetName val="OTP_Summary_Result175"/>
      <sheetName val="OTP_Projection175"/>
      <sheetName val="Monthly_Loading175"/>
      <sheetName val="OTP_Source175"/>
      <sheetName val="FA14_Detail175"/>
      <sheetName val="Lynne's_Tab175"/>
      <sheetName val="SU14_Detail175"/>
      <sheetName val="Category_Callouts175"/>
      <sheetName val="Cap_Scenario175"/>
      <sheetName val="Subcapacity_outsoles_175"/>
      <sheetName val="PA_Scenarios175"/>
      <sheetName val="PA_Transfer_Summary175"/>
      <sheetName val="Monthly_Loading_-Summary175"/>
      <sheetName val="Monthly_Loading-PB_Data175"/>
      <sheetName val="Monthly_Loading-PrevOTP_Data175"/>
      <sheetName val="Data_Refresh175"/>
      <sheetName val="SUMM_LOADING_174"/>
      <sheetName val="Raw_Data_Sheet174"/>
      <sheetName val="IA_1174"/>
      <sheetName val="DATA_MOLD_NEW_BALANCE174"/>
      <sheetName val="SSAI_IP_ORDER174"/>
      <sheetName val="Cutting_Dies_174"/>
      <sheetName val="Indirect_List160"/>
      <sheetName val="BASIS_DATA160"/>
      <sheetName val="SUBCONT_STATUS160"/>
      <sheetName val="cumulus_16105"/>
      <sheetName val="EAM_INVENTORY70"/>
      <sheetName val="Maintenance_Work_Order70"/>
      <sheetName val="Vietnam_Report32"/>
      <sheetName val="5_수정데이터통합32"/>
      <sheetName val="CT__PL31"/>
      <sheetName val="CT_Thang_Mo31"/>
      <sheetName val="Chi_tiet31"/>
      <sheetName val="CTTR_Transfer_Type180"/>
      <sheetName val="GFP_Type180"/>
      <sheetName val="GFP_Reasons180"/>
      <sheetName val="LAST_YEARS_CS179"/>
      <sheetName val="Fct_Sum_2_SeasonView176"/>
      <sheetName val="F1_Scenarios176"/>
      <sheetName val="Fct_Summary176"/>
      <sheetName val="Chris'_Tab176"/>
      <sheetName val="OTP_Summary_Result176"/>
      <sheetName val="OTP_Projection176"/>
      <sheetName val="Monthly_Loading176"/>
      <sheetName val="OTP_Source176"/>
      <sheetName val="FA14_Detail176"/>
      <sheetName val="Lynne's_Tab176"/>
      <sheetName val="SU14_Detail176"/>
      <sheetName val="Category_Callouts176"/>
      <sheetName val="Cap_Scenario176"/>
      <sheetName val="Subcapacity_outsoles_176"/>
      <sheetName val="PA_Scenarios176"/>
      <sheetName val="PA_Transfer_Summary176"/>
      <sheetName val="Monthly_Loading_-Summary176"/>
      <sheetName val="Monthly_Loading-PB_Data176"/>
      <sheetName val="Monthly_Loading-PrevOTP_Data176"/>
      <sheetName val="Data_Refresh176"/>
      <sheetName val="SUMM_LOADING_175"/>
      <sheetName val="Raw_Data_Sheet175"/>
      <sheetName val="IA_1175"/>
      <sheetName val="DATA_MOLD_NEW_BALANCE175"/>
      <sheetName val="SSAI_IP_ORDER175"/>
      <sheetName val="Cutting_Dies_175"/>
      <sheetName val="Indirect_List161"/>
      <sheetName val="BASIS_DATA161"/>
      <sheetName val="SUBCONT_STATUS161"/>
      <sheetName val="cumulus_16106"/>
      <sheetName val="EAM_INVENTORY71"/>
      <sheetName val="Maintenance_Work_Order71"/>
      <sheetName val="Vietnam_Report33"/>
      <sheetName val="5_수정데이터통합33"/>
      <sheetName val="CT__PL32"/>
      <sheetName val="CT_Thang_Mo32"/>
      <sheetName val="Chi_tiet32"/>
      <sheetName val="CTTR_Transfer_Type181"/>
      <sheetName val="GFP_Type181"/>
      <sheetName val="GFP_Reasons181"/>
      <sheetName val="LAST_YEARS_CS180"/>
      <sheetName val="Fct_Sum_2_SeasonView177"/>
      <sheetName val="F1_Scenarios177"/>
      <sheetName val="Fct_Summary177"/>
      <sheetName val="Chris'_Tab177"/>
      <sheetName val="OTP_Summary_Result177"/>
      <sheetName val="OTP_Projection177"/>
      <sheetName val="Monthly_Loading177"/>
      <sheetName val="OTP_Source177"/>
      <sheetName val="FA14_Detail177"/>
      <sheetName val="Lynne's_Tab177"/>
      <sheetName val="SU14_Detail177"/>
      <sheetName val="Category_Callouts177"/>
      <sheetName val="Cap_Scenario177"/>
      <sheetName val="Subcapacity_outsoles_177"/>
      <sheetName val="PA_Scenarios177"/>
      <sheetName val="PA_Transfer_Summary177"/>
      <sheetName val="Monthly_Loading_-Summary177"/>
      <sheetName val="Monthly_Loading-PB_Data177"/>
      <sheetName val="Monthly_Loading-PrevOTP_Data177"/>
      <sheetName val="Data_Refresh177"/>
      <sheetName val="SUMM_LOADING_176"/>
      <sheetName val="Raw_Data_Sheet176"/>
      <sheetName val="IA_1176"/>
      <sheetName val="DATA_MOLD_NEW_BALANCE176"/>
      <sheetName val="SSAI_IP_ORDER176"/>
      <sheetName val="Cutting_Dies_176"/>
      <sheetName val="Indirect_List162"/>
      <sheetName val="BASIS_DATA162"/>
      <sheetName val="SUBCONT_STATUS162"/>
      <sheetName val="cumulus_16107"/>
      <sheetName val="EAM_INVENTORY72"/>
      <sheetName val="Maintenance_Work_Order72"/>
      <sheetName val="Vietnam_Report34"/>
      <sheetName val="5_수정데이터통합34"/>
      <sheetName val="CT__PL33"/>
      <sheetName val="CT_Thang_Mo33"/>
      <sheetName val="Chi_tiet33"/>
      <sheetName val="CTTR_Transfer_Type182"/>
      <sheetName val="GFP_Type182"/>
      <sheetName val="GFP_Reasons182"/>
      <sheetName val="LAST_YEARS_CS181"/>
      <sheetName val="Fct_Sum_2_SeasonView178"/>
      <sheetName val="F1_Scenarios178"/>
      <sheetName val="Fct_Summary178"/>
      <sheetName val="Chris'_Tab178"/>
      <sheetName val="OTP_Summary_Result178"/>
      <sheetName val="OTP_Projection178"/>
      <sheetName val="Monthly_Loading178"/>
      <sheetName val="OTP_Source178"/>
      <sheetName val="FA14_Detail178"/>
      <sheetName val="Lynne's_Tab178"/>
      <sheetName val="SU14_Detail178"/>
      <sheetName val="Category_Callouts178"/>
      <sheetName val="Cap_Scenario178"/>
      <sheetName val="Subcapacity_outsoles_178"/>
      <sheetName val="PA_Scenarios178"/>
      <sheetName val="PA_Transfer_Summary178"/>
      <sheetName val="Monthly_Loading_-Summary178"/>
      <sheetName val="Monthly_Loading-PB_Data178"/>
      <sheetName val="Monthly_Loading-PrevOTP_Data178"/>
      <sheetName val="Data_Refresh178"/>
      <sheetName val="SUMM_LOADING_177"/>
      <sheetName val="Raw_Data_Sheet177"/>
      <sheetName val="IA_1177"/>
      <sheetName val="DATA_MOLD_NEW_BALANCE177"/>
      <sheetName val="SSAI_IP_ORDER177"/>
      <sheetName val="Cutting_Dies_177"/>
      <sheetName val="Indirect_List163"/>
      <sheetName val="BASIS_DATA163"/>
      <sheetName val="SUBCONT_STATUS163"/>
      <sheetName val="cumulus_16108"/>
      <sheetName val="EAM_INVENTORY73"/>
      <sheetName val="Maintenance_Work_Order73"/>
      <sheetName val="Vietnam_Report35"/>
      <sheetName val="5_수정데이터통합35"/>
      <sheetName val="CT__PL34"/>
      <sheetName val="CT_Thang_Mo34"/>
      <sheetName val="Chi_tiet34"/>
      <sheetName val="CTTR_Transfer_Type183"/>
      <sheetName val="GFP_Type183"/>
      <sheetName val="GFP_Reasons183"/>
      <sheetName val="LAST_YEARS_CS182"/>
      <sheetName val="Fct_Sum_2_SeasonView179"/>
      <sheetName val="F1_Scenarios179"/>
      <sheetName val="Fct_Summary179"/>
      <sheetName val="Chris'_Tab179"/>
      <sheetName val="OTP_Summary_Result179"/>
      <sheetName val="OTP_Projection179"/>
      <sheetName val="Monthly_Loading179"/>
      <sheetName val="OTP_Source179"/>
      <sheetName val="FA14_Detail179"/>
      <sheetName val="Lynne's_Tab179"/>
      <sheetName val="SU14_Detail179"/>
      <sheetName val="Category_Callouts179"/>
      <sheetName val="Cap_Scenario179"/>
      <sheetName val="Subcapacity_outsoles_179"/>
      <sheetName val="PA_Scenarios179"/>
      <sheetName val="PA_Transfer_Summary179"/>
      <sheetName val="Monthly_Loading_-Summary179"/>
      <sheetName val="Monthly_Loading-PB_Data179"/>
      <sheetName val="Monthly_Loading-PrevOTP_Data179"/>
      <sheetName val="Data_Refresh179"/>
      <sheetName val="SUMM_LOADING_178"/>
      <sheetName val="Raw_Data_Sheet178"/>
      <sheetName val="IA_1178"/>
      <sheetName val="DATA_MOLD_NEW_BALANCE178"/>
      <sheetName val="SSAI_IP_ORDER178"/>
      <sheetName val="Cutting_Dies_178"/>
      <sheetName val="Indirect_List164"/>
      <sheetName val="BASIS_DATA164"/>
      <sheetName val="SUBCONT_STATUS164"/>
      <sheetName val="cumulus_16109"/>
      <sheetName val="EAM_INVENTORY74"/>
      <sheetName val="Maintenance_Work_Order74"/>
      <sheetName val="Vietnam_Report36"/>
      <sheetName val="5_수정데이터통합36"/>
      <sheetName val="CT__PL35"/>
      <sheetName val="CT_Thang_Mo35"/>
      <sheetName val="Chi_tiet35"/>
      <sheetName val="CTTR_Transfer_Type189"/>
      <sheetName val="GFP_Type189"/>
      <sheetName val="GFP_Reasons189"/>
      <sheetName val="LAST_YEARS_CS188"/>
      <sheetName val="Fct_Sum_2_SeasonView185"/>
      <sheetName val="F1_Scenarios185"/>
      <sheetName val="Fct_Summary185"/>
      <sheetName val="Chris'_Tab185"/>
      <sheetName val="OTP_Summary_Result185"/>
      <sheetName val="OTP_Projection185"/>
      <sheetName val="Monthly_Loading185"/>
      <sheetName val="OTP_Source185"/>
      <sheetName val="FA14_Detail185"/>
      <sheetName val="Lynne's_Tab185"/>
      <sheetName val="SU14_Detail185"/>
      <sheetName val="Category_Callouts185"/>
      <sheetName val="Cap_Scenario185"/>
      <sheetName val="Subcapacity_outsoles_185"/>
      <sheetName val="PA_Scenarios185"/>
      <sheetName val="PA_Transfer_Summary185"/>
      <sheetName val="Monthly_Loading_-Summary185"/>
      <sheetName val="Monthly_Loading-PB_Data185"/>
      <sheetName val="Monthly_Loading-PrevOTP_Data185"/>
      <sheetName val="Data_Refresh185"/>
      <sheetName val="SUMM_LOADING_184"/>
      <sheetName val="Raw_Data_Sheet184"/>
      <sheetName val="IA_1184"/>
      <sheetName val="DATA_MOLD_NEW_BALANCE184"/>
      <sheetName val="SSAI_IP_ORDER184"/>
      <sheetName val="Cutting_Dies_184"/>
      <sheetName val="Indirect_List170"/>
      <sheetName val="BASIS_DATA170"/>
      <sheetName val="SUBCONT_STATUS170"/>
      <sheetName val="cumulus_16115"/>
      <sheetName val="EAM_INVENTORY80"/>
      <sheetName val="Maintenance_Work_Order80"/>
      <sheetName val="Vietnam_Report42"/>
      <sheetName val="5_수정데이터통합42"/>
      <sheetName val="CT__PL41"/>
      <sheetName val="CT_Thang_Mo41"/>
      <sheetName val="Chi_tiet41"/>
      <sheetName val="CTTR_Transfer_Type184"/>
      <sheetName val="GFP_Type184"/>
      <sheetName val="GFP_Reasons184"/>
      <sheetName val="LAST_YEARS_CS183"/>
      <sheetName val="Fct_Sum_2_SeasonView180"/>
      <sheetName val="F1_Scenarios180"/>
      <sheetName val="Fct_Summary180"/>
      <sheetName val="Chris'_Tab180"/>
      <sheetName val="OTP_Summary_Result180"/>
      <sheetName val="OTP_Projection180"/>
      <sheetName val="Monthly_Loading180"/>
      <sheetName val="OTP_Source180"/>
      <sheetName val="FA14_Detail180"/>
      <sheetName val="Lynne's_Tab180"/>
      <sheetName val="SU14_Detail180"/>
      <sheetName val="Category_Callouts180"/>
      <sheetName val="Cap_Scenario180"/>
      <sheetName val="Subcapacity_outsoles_180"/>
      <sheetName val="PA_Scenarios180"/>
      <sheetName val="PA_Transfer_Summary180"/>
      <sheetName val="Monthly_Loading_-Summary180"/>
      <sheetName val="Monthly_Loading-PB_Data180"/>
      <sheetName val="Monthly_Loading-PrevOTP_Data180"/>
      <sheetName val="Data_Refresh180"/>
      <sheetName val="SUMM_LOADING_179"/>
      <sheetName val="Raw_Data_Sheet179"/>
      <sheetName val="IA_1179"/>
      <sheetName val="DATA_MOLD_NEW_BALANCE179"/>
      <sheetName val="SSAI_IP_ORDER179"/>
      <sheetName val="Cutting_Dies_179"/>
      <sheetName val="Indirect_List165"/>
      <sheetName val="BASIS_DATA165"/>
      <sheetName val="SUBCONT_STATUS165"/>
      <sheetName val="cumulus_16110"/>
      <sheetName val="EAM_INVENTORY75"/>
      <sheetName val="Maintenance_Work_Order75"/>
      <sheetName val="Vietnam_Report37"/>
      <sheetName val="5_수정데이터통합37"/>
      <sheetName val="CT__PL36"/>
      <sheetName val="CT_Thang_Mo36"/>
      <sheetName val="Chi_tiet36"/>
      <sheetName val="CTTR_Transfer_Type185"/>
      <sheetName val="GFP_Type185"/>
      <sheetName val="GFP_Reasons185"/>
      <sheetName val="LAST_YEARS_CS184"/>
      <sheetName val="Fct_Sum_2_SeasonView181"/>
      <sheetName val="F1_Scenarios181"/>
      <sheetName val="Fct_Summary181"/>
      <sheetName val="Chris'_Tab181"/>
      <sheetName val="OTP_Summary_Result181"/>
      <sheetName val="OTP_Projection181"/>
      <sheetName val="Monthly_Loading181"/>
      <sheetName val="OTP_Source181"/>
      <sheetName val="FA14_Detail181"/>
      <sheetName val="Lynne's_Tab181"/>
      <sheetName val="SU14_Detail181"/>
      <sheetName val="Category_Callouts181"/>
      <sheetName val="Cap_Scenario181"/>
      <sheetName val="Subcapacity_outsoles_181"/>
      <sheetName val="PA_Scenarios181"/>
      <sheetName val="PA_Transfer_Summary181"/>
      <sheetName val="Monthly_Loading_-Summary181"/>
      <sheetName val="Monthly_Loading-PB_Data181"/>
      <sheetName val="Monthly_Loading-PrevOTP_Data181"/>
      <sheetName val="Data_Refresh181"/>
      <sheetName val="SUMM_LOADING_180"/>
      <sheetName val="Raw_Data_Sheet180"/>
      <sheetName val="IA_1180"/>
      <sheetName val="DATA_MOLD_NEW_BALANCE180"/>
      <sheetName val="SSAI_IP_ORDER180"/>
      <sheetName val="Cutting_Dies_180"/>
      <sheetName val="Indirect_List166"/>
      <sheetName val="BASIS_DATA166"/>
      <sheetName val="SUBCONT_STATUS166"/>
      <sheetName val="cumulus_16111"/>
      <sheetName val="EAM_INVENTORY76"/>
      <sheetName val="Maintenance_Work_Order76"/>
      <sheetName val="Vietnam_Report38"/>
      <sheetName val="5_수정데이터통합38"/>
      <sheetName val="CT__PL37"/>
      <sheetName val="CT_Thang_Mo37"/>
      <sheetName val="Chi_tiet37"/>
      <sheetName val="CTTR_Transfer_Type186"/>
      <sheetName val="GFP_Type186"/>
      <sheetName val="GFP_Reasons186"/>
      <sheetName val="LAST_YEARS_CS185"/>
      <sheetName val="Fct_Sum_2_SeasonView182"/>
      <sheetName val="F1_Scenarios182"/>
      <sheetName val="Fct_Summary182"/>
      <sheetName val="Chris'_Tab182"/>
      <sheetName val="OTP_Summary_Result182"/>
      <sheetName val="OTP_Projection182"/>
      <sheetName val="Monthly_Loading182"/>
      <sheetName val="OTP_Source182"/>
      <sheetName val="FA14_Detail182"/>
      <sheetName val="Lynne's_Tab182"/>
      <sheetName val="SU14_Detail182"/>
      <sheetName val="Category_Callouts182"/>
      <sheetName val="Cap_Scenario182"/>
      <sheetName val="Subcapacity_outsoles_182"/>
      <sheetName val="PA_Scenarios182"/>
      <sheetName val="PA_Transfer_Summary182"/>
      <sheetName val="Monthly_Loading_-Summary182"/>
      <sheetName val="Monthly_Loading-PB_Data182"/>
      <sheetName val="Monthly_Loading-PrevOTP_Data182"/>
      <sheetName val="Data_Refresh182"/>
      <sheetName val="SUMM_LOADING_181"/>
      <sheetName val="Raw_Data_Sheet181"/>
      <sheetName val="IA_1181"/>
      <sheetName val="DATA_MOLD_NEW_BALANCE181"/>
      <sheetName val="SSAI_IP_ORDER181"/>
      <sheetName val="Cutting_Dies_181"/>
      <sheetName val="Indirect_List167"/>
      <sheetName val="BASIS_DATA167"/>
      <sheetName val="SUBCONT_STATUS167"/>
      <sheetName val="cumulus_16112"/>
      <sheetName val="EAM_INVENTORY77"/>
      <sheetName val="Maintenance_Work_Order77"/>
      <sheetName val="Vietnam_Report39"/>
      <sheetName val="5_수정데이터통합39"/>
      <sheetName val="CT__PL38"/>
      <sheetName val="CT_Thang_Mo38"/>
      <sheetName val="Chi_tiet38"/>
      <sheetName val="CTTR_Transfer_Type187"/>
      <sheetName val="GFP_Type187"/>
      <sheetName val="GFP_Reasons187"/>
      <sheetName val="LAST_YEARS_CS186"/>
      <sheetName val="Fct_Sum_2_SeasonView183"/>
      <sheetName val="F1_Scenarios183"/>
      <sheetName val="Fct_Summary183"/>
      <sheetName val="Chris'_Tab183"/>
      <sheetName val="OTP_Summary_Result183"/>
      <sheetName val="OTP_Projection183"/>
      <sheetName val="Monthly_Loading183"/>
      <sheetName val="OTP_Source183"/>
      <sheetName val="FA14_Detail183"/>
      <sheetName val="Lynne's_Tab183"/>
      <sheetName val="SU14_Detail183"/>
      <sheetName val="Category_Callouts183"/>
      <sheetName val="Cap_Scenario183"/>
      <sheetName val="Subcapacity_outsoles_183"/>
      <sheetName val="PA_Scenarios183"/>
      <sheetName val="PA_Transfer_Summary183"/>
      <sheetName val="Monthly_Loading_-Summary183"/>
      <sheetName val="Monthly_Loading-PB_Data183"/>
      <sheetName val="Monthly_Loading-PrevOTP_Data183"/>
      <sheetName val="Data_Refresh183"/>
      <sheetName val="SUMM_LOADING_182"/>
      <sheetName val="Raw_Data_Sheet182"/>
      <sheetName val="IA_1182"/>
      <sheetName val="DATA_MOLD_NEW_BALANCE182"/>
      <sheetName val="SSAI_IP_ORDER182"/>
      <sheetName val="Cutting_Dies_182"/>
      <sheetName val="Indirect_List168"/>
      <sheetName val="BASIS_DATA168"/>
      <sheetName val="SUBCONT_STATUS168"/>
      <sheetName val="cumulus_16113"/>
      <sheetName val="EAM_INVENTORY78"/>
      <sheetName val="Maintenance_Work_Order78"/>
      <sheetName val="Vietnam_Report40"/>
      <sheetName val="5_수정데이터통합40"/>
      <sheetName val="CT__PL39"/>
      <sheetName val="CT_Thang_Mo39"/>
      <sheetName val="Chi_tiet39"/>
      <sheetName val="CTTR_Transfer_Type188"/>
      <sheetName val="GFP_Type188"/>
      <sheetName val="GFP_Reasons188"/>
      <sheetName val="LAST_YEARS_CS187"/>
      <sheetName val="Fct_Sum_2_SeasonView184"/>
      <sheetName val="F1_Scenarios184"/>
      <sheetName val="Fct_Summary184"/>
      <sheetName val="Chris'_Tab184"/>
      <sheetName val="OTP_Summary_Result184"/>
      <sheetName val="OTP_Projection184"/>
      <sheetName val="Monthly_Loading184"/>
      <sheetName val="OTP_Source184"/>
      <sheetName val="FA14_Detail184"/>
      <sheetName val="Lynne's_Tab184"/>
      <sheetName val="SU14_Detail184"/>
      <sheetName val="Category_Callouts184"/>
      <sheetName val="Cap_Scenario184"/>
      <sheetName val="Subcapacity_outsoles_184"/>
      <sheetName val="PA_Scenarios184"/>
      <sheetName val="PA_Transfer_Summary184"/>
      <sheetName val="Monthly_Loading_-Summary184"/>
      <sheetName val="Monthly_Loading-PB_Data184"/>
      <sheetName val="Monthly_Loading-PrevOTP_Data184"/>
      <sheetName val="Data_Refresh184"/>
      <sheetName val="SUMM_LOADING_183"/>
      <sheetName val="Raw_Data_Sheet183"/>
      <sheetName val="IA_1183"/>
      <sheetName val="DATA_MOLD_NEW_BALANCE183"/>
      <sheetName val="SSAI_IP_ORDER183"/>
      <sheetName val="Cutting_Dies_183"/>
      <sheetName val="Indirect_List169"/>
      <sheetName val="BASIS_DATA169"/>
      <sheetName val="SUBCONT_STATUS169"/>
      <sheetName val="cumulus_16114"/>
      <sheetName val="EAM_INVENTORY79"/>
      <sheetName val="Maintenance_Work_Order79"/>
      <sheetName val="Vietnam_Report41"/>
      <sheetName val="5_수정데이터통합41"/>
      <sheetName val="CT__PL40"/>
      <sheetName val="CT_Thang_Mo40"/>
      <sheetName val="Chi_tiet40"/>
      <sheetName val="CTTR_Transfer_Type190"/>
      <sheetName val="GFP_Type190"/>
      <sheetName val="GFP_Reasons190"/>
      <sheetName val="LAST_YEARS_CS189"/>
      <sheetName val="Fct_Sum_2_SeasonView186"/>
      <sheetName val="F1_Scenarios186"/>
      <sheetName val="Fct_Summary186"/>
      <sheetName val="Chris'_Tab186"/>
      <sheetName val="OTP_Summary_Result186"/>
      <sheetName val="OTP_Projection186"/>
      <sheetName val="Monthly_Loading186"/>
      <sheetName val="OTP_Source186"/>
      <sheetName val="FA14_Detail186"/>
      <sheetName val="Lynne's_Tab186"/>
      <sheetName val="SU14_Detail186"/>
      <sheetName val="Category_Callouts186"/>
      <sheetName val="Cap_Scenario186"/>
      <sheetName val="Subcapacity_outsoles_186"/>
      <sheetName val="PA_Scenarios186"/>
      <sheetName val="PA_Transfer_Summary186"/>
      <sheetName val="Monthly_Loading_-Summary186"/>
      <sheetName val="Monthly_Loading-PB_Data186"/>
      <sheetName val="Monthly_Loading-PrevOTP_Data186"/>
      <sheetName val="Data_Refresh186"/>
      <sheetName val="SUMM_LOADING_185"/>
      <sheetName val="Raw_Data_Sheet185"/>
      <sheetName val="IA_1185"/>
      <sheetName val="DATA_MOLD_NEW_BALANCE185"/>
      <sheetName val="SSAI_IP_ORDER185"/>
      <sheetName val="Cutting_Dies_185"/>
      <sheetName val="Indirect_List171"/>
      <sheetName val="BASIS_DATA171"/>
      <sheetName val="SUBCONT_STATUS171"/>
      <sheetName val="cumulus_16116"/>
      <sheetName val="EAM_INVENTORY81"/>
      <sheetName val="Maintenance_Work_Order81"/>
      <sheetName val="Vietnam_Report43"/>
      <sheetName val="5_수정데이터통합43"/>
      <sheetName val="CT__PL42"/>
      <sheetName val="CT_Thang_Mo42"/>
      <sheetName val="Chi_tiet42"/>
      <sheetName val="Monthly_Loading_-Summary15u"/>
      <sheetName val="CTTR_Transfer_Type195"/>
      <sheetName val="GFP_Type195"/>
      <sheetName val="GFP_Reasons195"/>
      <sheetName val="LAST_YEARS_CS194"/>
      <sheetName val="Fct_Sum_2_SeasonView191"/>
      <sheetName val="F1_Scenarios191"/>
      <sheetName val="Fct_Summary191"/>
      <sheetName val="Chris'_Tab191"/>
      <sheetName val="OTP_Summary_Result191"/>
      <sheetName val="OTP_Projection191"/>
      <sheetName val="Monthly_Loading191"/>
      <sheetName val="OTP_Source191"/>
      <sheetName val="FA14_Detail191"/>
      <sheetName val="Lynne's_Tab191"/>
      <sheetName val="SU14_Detail191"/>
      <sheetName val="Category_Callouts191"/>
      <sheetName val="Cap_Scenario191"/>
      <sheetName val="Subcapacity_outsoles_191"/>
      <sheetName val="PA_Scenarios191"/>
      <sheetName val="PA_Transfer_Summary191"/>
      <sheetName val="Monthly_Loading_-Summary191"/>
      <sheetName val="Monthly_Loading-PB_Data191"/>
      <sheetName val="Monthly_Loading-PrevOTP_Data191"/>
      <sheetName val="Data_Refresh191"/>
      <sheetName val="SUMM_LOADING_190"/>
      <sheetName val="Raw_Data_Sheet190"/>
      <sheetName val="IA_1190"/>
      <sheetName val="DATA_MOLD_NEW_BALANCE190"/>
      <sheetName val="SSAI_IP_ORDER190"/>
      <sheetName val="Cutting_Dies_190"/>
      <sheetName val="Indirect_List176"/>
      <sheetName val="BASIS_DATA176"/>
      <sheetName val="SUBCONT_STATUS176"/>
      <sheetName val="cumulus_16121"/>
      <sheetName val="EAM_INVENTORY86"/>
      <sheetName val="Maintenance_Work_Order86"/>
      <sheetName val="Vietnam_Report48"/>
      <sheetName val="5_수정데이터통합48"/>
      <sheetName val="CT__PL47"/>
      <sheetName val="CT_Thang_Mo47"/>
      <sheetName val="Chi_tiet47"/>
      <sheetName val="CTTR_Transfer_Type191"/>
      <sheetName val="GFP_Type191"/>
      <sheetName val="GFP_Reasons191"/>
      <sheetName val="LAST_YEARS_CS190"/>
      <sheetName val="Fct_Sum_2_SeasonView187"/>
      <sheetName val="F1_Scenarios187"/>
      <sheetName val="Fct_Summary187"/>
      <sheetName val="Chris'_Tab187"/>
      <sheetName val="OTP_Summary_Result187"/>
      <sheetName val="OTP_Projection187"/>
      <sheetName val="Monthly_Loading187"/>
      <sheetName val="OTP_Source187"/>
      <sheetName val="FA14_Detail187"/>
      <sheetName val="Lynne's_Tab187"/>
      <sheetName val="SU14_Detail187"/>
      <sheetName val="Category_Callouts187"/>
      <sheetName val="Cap_Scenario187"/>
      <sheetName val="Subcapacity_outsoles_187"/>
      <sheetName val="PA_Scenarios187"/>
      <sheetName val="PA_Transfer_Summary187"/>
      <sheetName val="Monthly_Loading_-Summary187"/>
      <sheetName val="Monthly_Loading-PB_Data187"/>
      <sheetName val="Monthly_Loading-PrevOTP_Data187"/>
      <sheetName val="Data_Refresh187"/>
      <sheetName val="SUMM_LOADING_186"/>
      <sheetName val="Raw_Data_Sheet186"/>
      <sheetName val="IA_1186"/>
      <sheetName val="DATA_MOLD_NEW_BALANCE186"/>
      <sheetName val="SSAI_IP_ORDER186"/>
      <sheetName val="Cutting_Dies_186"/>
      <sheetName val="Indirect_List172"/>
      <sheetName val="BASIS_DATA172"/>
      <sheetName val="SUBCONT_STATUS172"/>
      <sheetName val="cumulus_16117"/>
      <sheetName val="EAM_INVENTORY82"/>
      <sheetName val="Maintenance_Work_Order82"/>
      <sheetName val="Vietnam_Report44"/>
      <sheetName val="5_수정데이터통합44"/>
      <sheetName val="CT__PL43"/>
      <sheetName val="CT_Thang_Mo43"/>
      <sheetName val="Chi_tiet43"/>
      <sheetName val="CTTR_Transfer_Type192"/>
      <sheetName val="GFP_Type192"/>
      <sheetName val="GFP_Reasons192"/>
      <sheetName val="LAST_YEARS_CS191"/>
      <sheetName val="Fct_Sum_2_SeasonView188"/>
      <sheetName val="F1_Scenarios188"/>
      <sheetName val="Fct_Summary188"/>
      <sheetName val="Chris'_Tab188"/>
      <sheetName val="OTP_Summary_Result188"/>
      <sheetName val="OTP_Projection188"/>
      <sheetName val="Monthly_Loading188"/>
      <sheetName val="OTP_Source188"/>
      <sheetName val="FA14_Detail188"/>
      <sheetName val="Lynne's_Tab188"/>
      <sheetName val="SU14_Detail188"/>
      <sheetName val="Category_Callouts188"/>
      <sheetName val="Cap_Scenario188"/>
      <sheetName val="Subcapacity_outsoles_188"/>
      <sheetName val="PA_Scenarios188"/>
      <sheetName val="PA_Transfer_Summary188"/>
      <sheetName val="Monthly_Loading_-Summary188"/>
      <sheetName val="Monthly_Loading-PB_Data188"/>
      <sheetName val="Monthly_Loading-PrevOTP_Data188"/>
      <sheetName val="Data_Refresh188"/>
      <sheetName val="SUMM_LOADING_187"/>
      <sheetName val="Raw_Data_Sheet187"/>
      <sheetName val="IA_1187"/>
      <sheetName val="DATA_MOLD_NEW_BALANCE187"/>
      <sheetName val="SSAI_IP_ORDER187"/>
      <sheetName val="Cutting_Dies_187"/>
      <sheetName val="Indirect_List173"/>
      <sheetName val="BASIS_DATA173"/>
      <sheetName val="SUBCONT_STATUS173"/>
      <sheetName val="cumulus_16118"/>
      <sheetName val="EAM_INVENTORY83"/>
      <sheetName val="Maintenance_Work_Order83"/>
      <sheetName val="Vietnam_Report45"/>
      <sheetName val="5_수정데이터통합45"/>
      <sheetName val="CT__PL44"/>
      <sheetName val="CT_Thang_Mo44"/>
      <sheetName val="Chi_tiet44"/>
      <sheetName val="CTTR_Transfer_Type193"/>
      <sheetName val="GFP_Type193"/>
      <sheetName val="GFP_Reasons193"/>
      <sheetName val="LAST_YEARS_CS192"/>
      <sheetName val="Fct_Sum_2_SeasonView189"/>
      <sheetName val="F1_Scenarios189"/>
      <sheetName val="Fct_Summary189"/>
      <sheetName val="Chris'_Tab189"/>
      <sheetName val="OTP_Summary_Result189"/>
      <sheetName val="OTP_Projection189"/>
      <sheetName val="Monthly_Loading189"/>
      <sheetName val="OTP_Source189"/>
      <sheetName val="FA14_Detail189"/>
      <sheetName val="Lynne's_Tab189"/>
      <sheetName val="SU14_Detail189"/>
      <sheetName val="Category_Callouts189"/>
      <sheetName val="Cap_Scenario189"/>
      <sheetName val="Subcapacity_outsoles_189"/>
      <sheetName val="PA_Scenarios189"/>
      <sheetName val="PA_Transfer_Summary189"/>
      <sheetName val="Monthly_Loading_-Summary189"/>
      <sheetName val="Monthly_Loading-PB_Data189"/>
      <sheetName val="Monthly_Loading-PrevOTP_Data189"/>
      <sheetName val="Data_Refresh189"/>
      <sheetName val="SUMM_LOADING_188"/>
      <sheetName val="Raw_Data_Sheet188"/>
      <sheetName val="IA_1188"/>
      <sheetName val="DATA_MOLD_NEW_BALANCE188"/>
      <sheetName val="SSAI_IP_ORDER188"/>
      <sheetName val="Cutting_Dies_188"/>
      <sheetName val="Indirect_List174"/>
      <sheetName val="BASIS_DATA174"/>
      <sheetName val="SUBCONT_STATUS174"/>
      <sheetName val="cumulus_16119"/>
      <sheetName val="EAM_INVENTORY84"/>
      <sheetName val="Maintenance_Work_Order84"/>
      <sheetName val="Vietnam_Report46"/>
      <sheetName val="5_수정데이터통합46"/>
      <sheetName val="CT__PL45"/>
      <sheetName val="CT_Thang_Mo45"/>
      <sheetName val="Chi_tiet45"/>
      <sheetName val="CTTR_Transfer_Type194"/>
      <sheetName val="GFP_Type194"/>
      <sheetName val="GFP_Reasons194"/>
      <sheetName val="LAST_YEARS_CS193"/>
      <sheetName val="Fct_Sum_2_SeasonView190"/>
      <sheetName val="F1_Scenarios190"/>
      <sheetName val="Fct_Summary190"/>
      <sheetName val="Chris'_Tab190"/>
      <sheetName val="OTP_Summary_Result190"/>
      <sheetName val="OTP_Projection190"/>
      <sheetName val="Monthly_Loading190"/>
      <sheetName val="OTP_Source190"/>
      <sheetName val="FA14_Detail190"/>
      <sheetName val="Lynne's_Tab190"/>
      <sheetName val="SU14_Detail190"/>
      <sheetName val="Category_Callouts190"/>
      <sheetName val="Cap_Scenario190"/>
      <sheetName val="Subcapacity_outsoles_190"/>
      <sheetName val="PA_Scenarios190"/>
      <sheetName val="PA_Transfer_Summary190"/>
      <sheetName val="Monthly_Loading_-Summary190"/>
      <sheetName val="Monthly_Loading-PB_Data190"/>
      <sheetName val="Monthly_Loading-PrevOTP_Data190"/>
      <sheetName val="Data_Refresh190"/>
      <sheetName val="SUMM_LOADING_189"/>
      <sheetName val="Raw_Data_Sheet189"/>
      <sheetName val="IA_1189"/>
      <sheetName val="DATA_MOLD_NEW_BALANCE189"/>
      <sheetName val="SSAI_IP_ORDER189"/>
      <sheetName val="Cutting_Dies_189"/>
      <sheetName val="Indirect_List175"/>
      <sheetName val="BASIS_DATA175"/>
      <sheetName val="SUBCONT_STATUS175"/>
      <sheetName val="cumulus_16120"/>
      <sheetName val="EAM_INVENTORY85"/>
      <sheetName val="Maintenance_Work_Order85"/>
      <sheetName val="Vietnam_Report47"/>
      <sheetName val="5_수정데이터통합47"/>
      <sheetName val="CT__PL46"/>
      <sheetName val="CT_Thang_Mo46"/>
      <sheetName val="Chi_tiet46"/>
      <sheetName val="CTTR_Transfer_Type202"/>
      <sheetName val="GFP_Type202"/>
      <sheetName val="GFP_Reasons202"/>
      <sheetName val="LAST_YEARS_CS201"/>
      <sheetName val="Fct_Sum_2_SeasonView198"/>
      <sheetName val="F1_Scenarios198"/>
      <sheetName val="Fct_Summary198"/>
      <sheetName val="Chris'_Tab198"/>
      <sheetName val="OTP_Summary_Result198"/>
      <sheetName val="OTP_Projection198"/>
      <sheetName val="Monthly_Loading198"/>
      <sheetName val="OTP_Source198"/>
      <sheetName val="FA14_Detail198"/>
      <sheetName val="Lynne's_Tab198"/>
      <sheetName val="SU14_Detail198"/>
      <sheetName val="Category_Callouts198"/>
      <sheetName val="Cap_Scenario198"/>
      <sheetName val="Subcapacity_outsoles_198"/>
      <sheetName val="PA_Scenarios198"/>
      <sheetName val="PA_Transfer_Summary198"/>
      <sheetName val="Monthly_Loading_-Summary198"/>
      <sheetName val="Monthly_Loading-PB_Data198"/>
      <sheetName val="Monthly_Loading-PrevOTP_Data198"/>
      <sheetName val="Data_Refresh198"/>
      <sheetName val="SUMM_LOADING_197"/>
      <sheetName val="Raw_Data_Sheet197"/>
      <sheetName val="IA_1197"/>
      <sheetName val="DATA_MOLD_NEW_BALANCE197"/>
      <sheetName val="SSAI_IP_ORDER197"/>
      <sheetName val="Cutting_Dies_197"/>
      <sheetName val="Indirect_List183"/>
      <sheetName val="BASIS_DATA183"/>
      <sheetName val="SUBCONT_STATUS183"/>
      <sheetName val="cumulus_16128"/>
      <sheetName val="EAM_INVENTORY93"/>
      <sheetName val="Maintenance_Work_Order93"/>
      <sheetName val="Vietnam_Report55"/>
      <sheetName val="5_수정데이터통합55"/>
      <sheetName val="CT__PL54"/>
      <sheetName val="CT_Thang_Mo54"/>
      <sheetName val="Chi_tiet54"/>
      <sheetName val="CTTR_Transfer_Type196"/>
      <sheetName val="GFP_Type196"/>
      <sheetName val="GFP_Reasons196"/>
      <sheetName val="LAST_YEARS_CS195"/>
      <sheetName val="Fct_Sum_2_SeasonView192"/>
      <sheetName val="F1_Scenarios192"/>
      <sheetName val="Fct_Summary192"/>
      <sheetName val="Chris'_Tab192"/>
      <sheetName val="OTP_Summary_Result192"/>
      <sheetName val="OTP_Projection192"/>
      <sheetName val="Monthly_Loading192"/>
      <sheetName val="OTP_Source192"/>
      <sheetName val="FA14_Detail192"/>
      <sheetName val="Lynne's_Tab192"/>
      <sheetName val="SU14_Detail192"/>
      <sheetName val="Category_Callouts192"/>
      <sheetName val="Cap_Scenario192"/>
      <sheetName val="Subcapacity_outsoles_192"/>
      <sheetName val="PA_Scenarios192"/>
      <sheetName val="PA_Transfer_Summary192"/>
      <sheetName val="Monthly_Loading_-Summary192"/>
      <sheetName val="Monthly_Loading-PB_Data192"/>
      <sheetName val="Monthly_Loading-PrevOTP_Data192"/>
      <sheetName val="Data_Refresh192"/>
      <sheetName val="SUMM_LOADING_191"/>
      <sheetName val="Raw_Data_Sheet191"/>
      <sheetName val="IA_1191"/>
      <sheetName val="DATA_MOLD_NEW_BALANCE191"/>
      <sheetName val="SSAI_IP_ORDER191"/>
      <sheetName val="Cutting_Dies_191"/>
      <sheetName val="Indirect_List177"/>
      <sheetName val="BASIS_DATA177"/>
      <sheetName val="SUBCONT_STATUS177"/>
      <sheetName val="cumulus_16122"/>
      <sheetName val="EAM_INVENTORY87"/>
      <sheetName val="Maintenance_Work_Order87"/>
      <sheetName val="Vietnam_Report49"/>
      <sheetName val="5_수정데이터통합49"/>
      <sheetName val="CT__PL48"/>
      <sheetName val="CT_Thang_Mo48"/>
      <sheetName val="Chi_tiet48"/>
      <sheetName val="CTTR_Transfer_Type197"/>
      <sheetName val="GFP_Type197"/>
      <sheetName val="GFP_Reasons197"/>
      <sheetName val="LAST_YEARS_CS196"/>
      <sheetName val="Fct_Sum_2_SeasonView193"/>
      <sheetName val="F1_Scenarios193"/>
      <sheetName val="Fct_Summary193"/>
      <sheetName val="Chris'_Tab193"/>
      <sheetName val="OTP_Summary_Result193"/>
      <sheetName val="OTP_Projection193"/>
      <sheetName val="Monthly_Loading193"/>
      <sheetName val="OTP_Source193"/>
      <sheetName val="FA14_Detail193"/>
      <sheetName val="Lynne's_Tab193"/>
      <sheetName val="SU14_Detail193"/>
      <sheetName val="Category_Callouts193"/>
      <sheetName val="Cap_Scenario193"/>
      <sheetName val="Subcapacity_outsoles_193"/>
      <sheetName val="PA_Scenarios193"/>
      <sheetName val="PA_Transfer_Summary193"/>
      <sheetName val="Monthly_Loading_-Summary193"/>
      <sheetName val="Monthly_Loading-PB_Data193"/>
      <sheetName val="Monthly_Loading-PrevOTP_Data193"/>
      <sheetName val="Data_Refresh193"/>
      <sheetName val="SUMM_LOADING_192"/>
      <sheetName val="Raw_Data_Sheet192"/>
      <sheetName val="IA_1192"/>
      <sheetName val="DATA_MOLD_NEW_BALANCE192"/>
      <sheetName val="SSAI_IP_ORDER192"/>
      <sheetName val="Cutting_Dies_192"/>
      <sheetName val="Indirect_List178"/>
      <sheetName val="BASIS_DATA178"/>
      <sheetName val="SUBCONT_STATUS178"/>
      <sheetName val="cumulus_16123"/>
      <sheetName val="EAM_INVENTORY88"/>
      <sheetName val="Maintenance_Work_Order88"/>
      <sheetName val="Vietnam_Report50"/>
      <sheetName val="5_수정데이터통합50"/>
      <sheetName val="CT__PL49"/>
      <sheetName val="CT_Thang_Mo49"/>
      <sheetName val="Chi_tiet49"/>
      <sheetName val="CTTR_Transfer_Type198"/>
      <sheetName val="GFP_Type198"/>
      <sheetName val="GFP_Reasons198"/>
      <sheetName val="LAST_YEARS_CS197"/>
      <sheetName val="Fct_Sum_2_SeasonView194"/>
      <sheetName val="F1_Scenarios194"/>
      <sheetName val="Fct_Summary194"/>
      <sheetName val="Chris'_Tab194"/>
      <sheetName val="OTP_Summary_Result194"/>
      <sheetName val="OTP_Projection194"/>
      <sheetName val="Monthly_Loading194"/>
      <sheetName val="OTP_Source194"/>
      <sheetName val="FA14_Detail194"/>
      <sheetName val="Lynne's_Tab194"/>
      <sheetName val="SU14_Detail194"/>
      <sheetName val="Category_Callouts194"/>
      <sheetName val="Cap_Scenario194"/>
      <sheetName val="Subcapacity_outsoles_194"/>
      <sheetName val="PA_Scenarios194"/>
      <sheetName val="PA_Transfer_Summary194"/>
      <sheetName val="Monthly_Loading_-Summary194"/>
      <sheetName val="Monthly_Loading-PB_Data194"/>
      <sheetName val="Monthly_Loading-PrevOTP_Data194"/>
      <sheetName val="Data_Refresh194"/>
      <sheetName val="SUMM_LOADING_193"/>
      <sheetName val="Raw_Data_Sheet193"/>
      <sheetName val="IA_1193"/>
      <sheetName val="DATA_MOLD_NEW_BALANCE193"/>
      <sheetName val="SSAI_IP_ORDER193"/>
      <sheetName val="Cutting_Dies_193"/>
      <sheetName val="Indirect_List179"/>
      <sheetName val="BASIS_DATA179"/>
      <sheetName val="SUBCONT_STATUS179"/>
      <sheetName val="cumulus_16124"/>
      <sheetName val="EAM_INVENTORY89"/>
      <sheetName val="Maintenance_Work_Order89"/>
      <sheetName val="Vietnam_Report51"/>
      <sheetName val="5_수정데이터통합51"/>
      <sheetName val="CT__PL50"/>
      <sheetName val="CT_Thang_Mo50"/>
      <sheetName val="Chi_tiet50"/>
      <sheetName val="CTTR_Transfer_Type199"/>
      <sheetName val="GFP_Type199"/>
      <sheetName val="GFP_Reasons199"/>
      <sheetName val="LAST_YEARS_CS198"/>
      <sheetName val="Fct_Sum_2_SeasonView195"/>
      <sheetName val="F1_Scenarios195"/>
      <sheetName val="Fct_Summary195"/>
      <sheetName val="Chris'_Tab195"/>
      <sheetName val="OTP_Summary_Result195"/>
      <sheetName val="OTP_Projection195"/>
      <sheetName val="Monthly_Loading195"/>
      <sheetName val="OTP_Source195"/>
      <sheetName val="FA14_Detail195"/>
      <sheetName val="Lynne's_Tab195"/>
      <sheetName val="SU14_Detail195"/>
      <sheetName val="Category_Callouts195"/>
      <sheetName val="Cap_Scenario195"/>
      <sheetName val="Subcapacity_outsoles_195"/>
      <sheetName val="PA_Scenarios195"/>
      <sheetName val="PA_Transfer_Summary195"/>
      <sheetName val="Monthly_Loading_-Summary195"/>
      <sheetName val="Monthly_Loading-PB_Data195"/>
      <sheetName val="Monthly_Loading-PrevOTP_Data195"/>
      <sheetName val="Data_Refresh195"/>
      <sheetName val="SUMM_LOADING_194"/>
      <sheetName val="Raw_Data_Sheet194"/>
      <sheetName val="IA_1194"/>
      <sheetName val="DATA_MOLD_NEW_BALANCE194"/>
      <sheetName val="SSAI_IP_ORDER194"/>
      <sheetName val="Cutting_Dies_194"/>
      <sheetName val="Indirect_List180"/>
      <sheetName val="BASIS_DATA180"/>
      <sheetName val="SUBCONT_STATUS180"/>
      <sheetName val="cumulus_16125"/>
      <sheetName val="EAM_INVENTORY90"/>
      <sheetName val="Maintenance_Work_Order90"/>
      <sheetName val="Vietnam_Report52"/>
      <sheetName val="5_수정데이터통합52"/>
      <sheetName val="CT__PL51"/>
      <sheetName val="CT_Thang_Mo51"/>
      <sheetName val="Chi_tiet51"/>
      <sheetName val="CTTR_Transfer_Type200"/>
      <sheetName val="GFP_Type200"/>
      <sheetName val="GFP_Reasons200"/>
      <sheetName val="LAST_YEARS_CS199"/>
      <sheetName val="Fct_Sum_2_SeasonView196"/>
      <sheetName val="F1_Scenarios196"/>
      <sheetName val="Fct_Summary196"/>
      <sheetName val="Chris'_Tab196"/>
      <sheetName val="OTP_Summary_Result196"/>
      <sheetName val="OTP_Projection196"/>
      <sheetName val="Monthly_Loading196"/>
      <sheetName val="OTP_Source196"/>
      <sheetName val="FA14_Detail196"/>
      <sheetName val="Lynne's_Tab196"/>
      <sheetName val="SU14_Detail196"/>
      <sheetName val="Category_Callouts196"/>
      <sheetName val="Cap_Scenario196"/>
      <sheetName val="Subcapacity_outsoles_196"/>
      <sheetName val="PA_Scenarios196"/>
      <sheetName val="PA_Transfer_Summary196"/>
      <sheetName val="Monthly_Loading_-Summary196"/>
      <sheetName val="Monthly_Loading-PB_Data196"/>
      <sheetName val="Monthly_Loading-PrevOTP_Data196"/>
      <sheetName val="Data_Refresh196"/>
      <sheetName val="SUMM_LOADING_195"/>
      <sheetName val="Raw_Data_Sheet195"/>
      <sheetName val="IA_1195"/>
      <sheetName val="DATA_MOLD_NEW_BALANCE195"/>
      <sheetName val="SSAI_IP_ORDER195"/>
      <sheetName val="Cutting_Dies_195"/>
      <sheetName val="Indirect_List181"/>
      <sheetName val="BASIS_DATA181"/>
      <sheetName val="SUBCONT_STATUS181"/>
      <sheetName val="cumulus_16126"/>
      <sheetName val="EAM_INVENTORY91"/>
      <sheetName val="Maintenance_Work_Order91"/>
      <sheetName val="Vietnam_Report53"/>
      <sheetName val="5_수정데이터통합53"/>
      <sheetName val="CT__PL52"/>
      <sheetName val="CT_Thang_Mo52"/>
      <sheetName val="Chi_tiet52"/>
      <sheetName val="CTTR_Transfer_Type201"/>
      <sheetName val="GFP_Type201"/>
      <sheetName val="GFP_Reasons201"/>
      <sheetName val="LAST_YEARS_CS200"/>
      <sheetName val="Fct_Sum_2_SeasonView197"/>
      <sheetName val="F1_Scenarios197"/>
      <sheetName val="Fct_Summary197"/>
      <sheetName val="Chris'_Tab197"/>
      <sheetName val="OTP_Summary_Result197"/>
      <sheetName val="OTP_Projection197"/>
      <sheetName val="Monthly_Loading197"/>
      <sheetName val="OTP_Source197"/>
      <sheetName val="FA14_Detail197"/>
      <sheetName val="Lynne's_Tab197"/>
      <sheetName val="SU14_Detail197"/>
      <sheetName val="Category_Callouts197"/>
      <sheetName val="Cap_Scenario197"/>
      <sheetName val="Subcapacity_outsoles_197"/>
      <sheetName val="PA_Scenarios197"/>
      <sheetName val="PA_Transfer_Summary197"/>
      <sheetName val="Monthly_Loading_-Summary197"/>
      <sheetName val="Monthly_Loading-PB_Data197"/>
      <sheetName val="Monthly_Loading-PrevOTP_Data197"/>
      <sheetName val="Data_Refresh197"/>
      <sheetName val="SUMM_LOADING_196"/>
      <sheetName val="Raw_Data_Sheet196"/>
      <sheetName val="IA_1196"/>
      <sheetName val="DATA_MOLD_NEW_BALANCE196"/>
      <sheetName val="SSAI_IP_ORDER196"/>
      <sheetName val="Cutting_Dies_196"/>
      <sheetName val="Indirect_List182"/>
      <sheetName val="BASIS_DATA182"/>
      <sheetName val="SUBCONT_STATUS182"/>
      <sheetName val="cumulus_16127"/>
      <sheetName val="EAM_INVENTORY92"/>
      <sheetName val="Maintenance_Work_Order92"/>
      <sheetName val="Vietnam_Report54"/>
      <sheetName val="5_수정데이터통합54"/>
      <sheetName val="CT__PL53"/>
      <sheetName val="CT_Thang_Mo53"/>
      <sheetName val="Chi_tiet53"/>
      <sheetName val="CTTR_Transfer_Type205"/>
      <sheetName val="GFP_Type205"/>
      <sheetName val="GFP_Reasons205"/>
      <sheetName val="LAST_YEARS_CS204"/>
      <sheetName val="Fct_Sum_2_SeasonView201"/>
      <sheetName val="F1_Scenarios201"/>
      <sheetName val="Fct_Summary201"/>
      <sheetName val="Chris'_Tab201"/>
      <sheetName val="OTP_Summary_Result201"/>
      <sheetName val="OTP_Projection201"/>
      <sheetName val="Monthly_Loading201"/>
      <sheetName val="OTP_Source201"/>
      <sheetName val="FA14_Detail201"/>
      <sheetName val="Lynne's_Tab201"/>
      <sheetName val="SU14_Detail201"/>
      <sheetName val="Category_Callouts201"/>
      <sheetName val="Cap_Scenario201"/>
      <sheetName val="Subcapacity_outsoles_201"/>
      <sheetName val="PA_Scenarios201"/>
      <sheetName val="PA_Transfer_Summary201"/>
      <sheetName val="Monthly_Loading_-Summary201"/>
      <sheetName val="Monthly_Loading-PB_Data201"/>
      <sheetName val="Monthly_Loading-PrevOTP_Data201"/>
      <sheetName val="Data_Refresh201"/>
      <sheetName val="SUMM_LOADING_200"/>
      <sheetName val="Raw_Data_Sheet200"/>
      <sheetName val="IA_1200"/>
      <sheetName val="DATA_MOLD_NEW_BALANCE200"/>
      <sheetName val="SSAI_IP_ORDER200"/>
      <sheetName val="Cutting_Dies_200"/>
      <sheetName val="Indirect_List186"/>
      <sheetName val="BASIS_DATA186"/>
      <sheetName val="SUBCONT_STATUS186"/>
      <sheetName val="cumulus_16131"/>
      <sheetName val="EAM_INVENTORY96"/>
      <sheetName val="Maintenance_Work_Order96"/>
      <sheetName val="Vietnam_Report58"/>
      <sheetName val="5_수정데이터통합58"/>
      <sheetName val="CT__PL57"/>
      <sheetName val="CT_Thang_Mo57"/>
      <sheetName val="Chi_tiet57"/>
      <sheetName val="CTTR_Transfer_Type203"/>
      <sheetName val="GFP_Type203"/>
      <sheetName val="GFP_Reasons203"/>
      <sheetName val="LAST_YEARS_CS202"/>
      <sheetName val="Fct_Sum_2_SeasonView199"/>
      <sheetName val="F1_Scenarios199"/>
      <sheetName val="Fct_Summary199"/>
      <sheetName val="Chris'_Tab199"/>
      <sheetName val="OTP_Summary_Result199"/>
      <sheetName val="OTP_Projection199"/>
      <sheetName val="Monthly_Loading199"/>
      <sheetName val="OTP_Source199"/>
      <sheetName val="FA14_Detail199"/>
      <sheetName val="Lynne's_Tab199"/>
      <sheetName val="SU14_Detail199"/>
      <sheetName val="Category_Callouts199"/>
      <sheetName val="Cap_Scenario199"/>
      <sheetName val="Subcapacity_outsoles_199"/>
      <sheetName val="PA_Scenarios199"/>
      <sheetName val="PA_Transfer_Summary199"/>
      <sheetName val="Monthly_Loading_-Summary199"/>
      <sheetName val="Monthly_Loading-PB_Data199"/>
      <sheetName val="Monthly_Loading-PrevOTP_Data199"/>
      <sheetName val="Data_Refresh199"/>
      <sheetName val="SUMM_LOADING_198"/>
      <sheetName val="Raw_Data_Sheet198"/>
      <sheetName val="IA_1198"/>
      <sheetName val="DATA_MOLD_NEW_BALANCE198"/>
      <sheetName val="SSAI_IP_ORDER198"/>
      <sheetName val="Cutting_Dies_198"/>
      <sheetName val="Indirect_List184"/>
      <sheetName val="BASIS_DATA184"/>
      <sheetName val="SUBCONT_STATUS184"/>
      <sheetName val="cumulus_16129"/>
      <sheetName val="EAM_INVENTORY94"/>
      <sheetName val="Maintenance_Work_Order94"/>
      <sheetName val="Vietnam_Report56"/>
      <sheetName val="5_수정데이터통합56"/>
      <sheetName val="CT__PL55"/>
      <sheetName val="CT_Thang_Mo55"/>
      <sheetName val="Chi_tiet55"/>
      <sheetName val="CTTR_Transfer_Type204"/>
      <sheetName val="GFP_Type204"/>
      <sheetName val="GFP_Reasons204"/>
      <sheetName val="LAST_YEARS_CS203"/>
      <sheetName val="Fct_Sum_2_SeasonView200"/>
      <sheetName val="F1_Scenarios200"/>
      <sheetName val="Fct_Summary200"/>
      <sheetName val="Chris'_Tab200"/>
      <sheetName val="OTP_Summary_Result200"/>
      <sheetName val="OTP_Projection200"/>
      <sheetName val="Monthly_Loading200"/>
      <sheetName val="OTP_Source200"/>
      <sheetName val="FA14_Detail200"/>
      <sheetName val="Lynne's_Tab200"/>
      <sheetName val="SU14_Detail200"/>
      <sheetName val="Category_Callouts200"/>
      <sheetName val="Cap_Scenario200"/>
      <sheetName val="Subcapacity_outsoles_200"/>
      <sheetName val="PA_Scenarios200"/>
      <sheetName val="PA_Transfer_Summary200"/>
      <sheetName val="Monthly_Loading_-Summary200"/>
      <sheetName val="Monthly_Loading-PB_Data200"/>
      <sheetName val="Monthly_Loading-PrevOTP_Data200"/>
      <sheetName val="Data_Refresh200"/>
      <sheetName val="SUMM_LOADING_199"/>
      <sheetName val="Raw_Data_Sheet199"/>
      <sheetName val="IA_1199"/>
      <sheetName val="DATA_MOLD_NEW_BALANCE199"/>
      <sheetName val="SSAI_IP_ORDER199"/>
      <sheetName val="Cutting_Dies_199"/>
      <sheetName val="Indirect_List185"/>
      <sheetName val="BASIS_DATA185"/>
      <sheetName val="SUBCONT_STATUS185"/>
      <sheetName val="cumulus_16130"/>
      <sheetName val="EAM_INVENTORY95"/>
      <sheetName val="Maintenance_Work_Order95"/>
      <sheetName val="Vietnam_Report57"/>
      <sheetName val="5_수정데이터통합57"/>
      <sheetName val="CT__PL56"/>
      <sheetName val="CT_Thang_Mo56"/>
      <sheetName val="Chi_tiet56"/>
      <sheetName val="CTTR_Transfer_Type206"/>
      <sheetName val="GFP_Type206"/>
      <sheetName val="GFP_Reasons206"/>
      <sheetName val="LAST_YEARS_CS205"/>
      <sheetName val="Fct_Sum_2_SeasonView202"/>
      <sheetName val="F1_Scenarios202"/>
      <sheetName val="Fct_Summary202"/>
      <sheetName val="Chris'_Tab202"/>
      <sheetName val="OTP_Summary_Result202"/>
      <sheetName val="OTP_Projection202"/>
      <sheetName val="Monthly_Loading202"/>
      <sheetName val="OTP_Source202"/>
      <sheetName val="FA14_Detail202"/>
      <sheetName val="Lynne's_Tab202"/>
      <sheetName val="SU14_Detail202"/>
      <sheetName val="Category_Callouts202"/>
      <sheetName val="Cap_Scenario202"/>
      <sheetName val="Subcapacity_outsoles_202"/>
      <sheetName val="PA_Scenarios202"/>
      <sheetName val="PA_Transfer_Summary202"/>
      <sheetName val="Monthly_Loading_-Summary202"/>
      <sheetName val="Monthly_Loading-PB_Data202"/>
      <sheetName val="Monthly_Loading-PrevOTP_Data202"/>
      <sheetName val="Data_Refresh202"/>
      <sheetName val="SUMM_LOADING_201"/>
      <sheetName val="Raw_Data_Sheet201"/>
      <sheetName val="IA_1201"/>
      <sheetName val="DATA_MOLD_NEW_BALANCE201"/>
      <sheetName val="SSAI_IP_ORDER201"/>
      <sheetName val="Cutting_Dies_201"/>
      <sheetName val="Indirect_List187"/>
      <sheetName val="BASIS_DATA187"/>
      <sheetName val="SUBCONT_STATUS187"/>
      <sheetName val="cumulus_16132"/>
      <sheetName val="EAM_INVENTORY97"/>
      <sheetName val="Maintenance_Work_Order97"/>
      <sheetName val="Vietnam_Report59"/>
      <sheetName val="5_수정데이터통합59"/>
      <sheetName val="CT__PL58"/>
      <sheetName val="CT_Thang_Mo58"/>
      <sheetName val="Chi_tiet58"/>
      <sheetName val="CTTR_Transfer_Type207"/>
      <sheetName val="GFP_Type207"/>
      <sheetName val="GFP_Reasons207"/>
      <sheetName val="LAST_YEARS_CS206"/>
      <sheetName val="Fct_Sum_2_SeasonView203"/>
      <sheetName val="F1_Scenarios203"/>
      <sheetName val="Fct_Summary203"/>
      <sheetName val="Chris'_Tab203"/>
      <sheetName val="OTP_Summary_Result203"/>
      <sheetName val="OTP_Projection203"/>
      <sheetName val="Monthly_Loading203"/>
      <sheetName val="OTP_Source203"/>
      <sheetName val="FA14_Detail203"/>
      <sheetName val="Lynne's_Tab203"/>
      <sheetName val="SU14_Detail203"/>
      <sheetName val="Category_Callouts203"/>
      <sheetName val="Cap_Scenario203"/>
      <sheetName val="Subcapacity_outsoles_203"/>
      <sheetName val="PA_Scenarios203"/>
      <sheetName val="PA_Transfer_Summary203"/>
      <sheetName val="Monthly_Loading_-Summary203"/>
      <sheetName val="Monthly_Loading-PB_Data203"/>
      <sheetName val="Monthly_Loading-PrevOTP_Data203"/>
      <sheetName val="Data_Refresh203"/>
      <sheetName val="SUMM_LOADING_202"/>
      <sheetName val="Raw_Data_Sheet202"/>
      <sheetName val="IA_1202"/>
      <sheetName val="DATA_MOLD_NEW_BALANCE202"/>
      <sheetName val="SSAI_IP_ORDER202"/>
      <sheetName val="Cutting_Dies_202"/>
      <sheetName val="Indirect_List188"/>
      <sheetName val="BASIS_DATA188"/>
      <sheetName val="SUBCONT_STATUS188"/>
      <sheetName val="cumulus_16133"/>
      <sheetName val="EAM_INVENTORY98"/>
      <sheetName val="Maintenance_Work_Order98"/>
      <sheetName val="Vietnam_Report60"/>
      <sheetName val="5_수정데이터통합60"/>
      <sheetName val="CT__PL59"/>
      <sheetName val="CT_Thang_Mo59"/>
      <sheetName val="Chi_tiet59"/>
      <sheetName val="CTTR_Transfer_Type223"/>
      <sheetName val="GFP_Type223"/>
      <sheetName val="GFP_Reasons223"/>
      <sheetName val="LAST_YEARS_CS222"/>
      <sheetName val="Fct_Sum_2_SeasonView219"/>
      <sheetName val="F1_Scenarios219"/>
      <sheetName val="Fct_Summary219"/>
      <sheetName val="Chris'_Tab219"/>
      <sheetName val="OTP_Summary_Result219"/>
      <sheetName val="OTP_Projection219"/>
      <sheetName val="Monthly_Loading219"/>
      <sheetName val="OTP_Source219"/>
      <sheetName val="FA14_Detail219"/>
      <sheetName val="Lynne's_Tab219"/>
      <sheetName val="SU14_Detail219"/>
      <sheetName val="Category_Callouts219"/>
      <sheetName val="Cap_Scenario219"/>
      <sheetName val="Subcapacity_outsoles_219"/>
      <sheetName val="PA_Scenarios219"/>
      <sheetName val="PA_Transfer_Summary219"/>
      <sheetName val="Monthly_Loading_-Summary219"/>
      <sheetName val="Monthly_Loading-PB_Data219"/>
      <sheetName val="Monthly_Loading-PrevOTP_Data219"/>
      <sheetName val="Data_Refresh219"/>
      <sheetName val="SUMM_LOADING_218"/>
      <sheetName val="Raw_Data_Sheet218"/>
      <sheetName val="IA_1218"/>
      <sheetName val="DATA_MOLD_NEW_BALANCE218"/>
      <sheetName val="SSAI_IP_ORDER218"/>
      <sheetName val="Cutting_Dies_218"/>
      <sheetName val="Indirect_List204"/>
      <sheetName val="BASIS_DATA204"/>
      <sheetName val="SUBCONT_STATUS204"/>
      <sheetName val="cumulus_16149"/>
      <sheetName val="EAM_INVENTORY114"/>
      <sheetName val="Maintenance_Work_Order114"/>
      <sheetName val="Vietnam_Report76"/>
      <sheetName val="5_수정데이터통합76"/>
      <sheetName val="CT__PL75"/>
      <sheetName val="CT_Thang_Mo75"/>
      <sheetName val="Chi_tiet75"/>
      <sheetName val="CTTR_Transfer_Type208"/>
      <sheetName val="GFP_Type208"/>
      <sheetName val="GFP_Reasons208"/>
      <sheetName val="LAST_YEARS_CS207"/>
      <sheetName val="Fct_Sum_2_SeasonView204"/>
      <sheetName val="F1_Scenarios204"/>
      <sheetName val="Fct_Summary204"/>
      <sheetName val="Chris'_Tab204"/>
      <sheetName val="OTP_Summary_Result204"/>
      <sheetName val="OTP_Projection204"/>
      <sheetName val="Monthly_Loading204"/>
      <sheetName val="OTP_Source204"/>
      <sheetName val="FA14_Detail204"/>
      <sheetName val="Lynne's_Tab204"/>
      <sheetName val="SU14_Detail204"/>
      <sheetName val="Category_Callouts204"/>
      <sheetName val="Cap_Scenario204"/>
      <sheetName val="Subcapacity_outsoles_204"/>
      <sheetName val="PA_Scenarios204"/>
      <sheetName val="PA_Transfer_Summary204"/>
      <sheetName val="Monthly_Loading_-Summary204"/>
      <sheetName val="Monthly_Loading-PB_Data204"/>
      <sheetName val="Monthly_Loading-PrevOTP_Data204"/>
      <sheetName val="Data_Refresh204"/>
      <sheetName val="SUMM_LOADING_203"/>
      <sheetName val="Raw_Data_Sheet203"/>
      <sheetName val="IA_1203"/>
      <sheetName val="DATA_MOLD_NEW_BALANCE203"/>
      <sheetName val="SSAI_IP_ORDER203"/>
      <sheetName val="Cutting_Dies_203"/>
      <sheetName val="Indirect_List189"/>
      <sheetName val="BASIS_DATA189"/>
      <sheetName val="SUBCONT_STATUS189"/>
      <sheetName val="cumulus_16134"/>
      <sheetName val="EAM_INVENTORY99"/>
      <sheetName val="Maintenance_Work_Order99"/>
      <sheetName val="Vietnam_Report61"/>
      <sheetName val="5_수정데이터통합61"/>
      <sheetName val="CT__PL60"/>
      <sheetName val="CT_Thang_Mo60"/>
      <sheetName val="Chi_tiet60"/>
      <sheetName val="CTTR_Transfer_Type209"/>
      <sheetName val="GFP_Type209"/>
      <sheetName val="GFP_Reasons209"/>
      <sheetName val="LAST_YEARS_CS208"/>
      <sheetName val="Fct_Sum_2_SeasonView205"/>
      <sheetName val="F1_Scenarios205"/>
      <sheetName val="Fct_Summary205"/>
      <sheetName val="Chris'_Tab205"/>
      <sheetName val="OTP_Summary_Result205"/>
      <sheetName val="OTP_Projection205"/>
      <sheetName val="Monthly_Loading205"/>
      <sheetName val="OTP_Source205"/>
      <sheetName val="FA14_Detail205"/>
      <sheetName val="Lynne's_Tab205"/>
      <sheetName val="SU14_Detail205"/>
      <sheetName val="Category_Callouts205"/>
      <sheetName val="Cap_Scenario205"/>
      <sheetName val="Subcapacity_outsoles_205"/>
      <sheetName val="PA_Scenarios205"/>
      <sheetName val="PA_Transfer_Summary205"/>
      <sheetName val="Monthly_Loading_-Summary205"/>
      <sheetName val="Monthly_Loading-PB_Data205"/>
      <sheetName val="Monthly_Loading-PrevOTP_Data205"/>
      <sheetName val="Data_Refresh205"/>
      <sheetName val="SUMM_LOADING_204"/>
      <sheetName val="Raw_Data_Sheet204"/>
      <sheetName val="IA_1204"/>
      <sheetName val="DATA_MOLD_NEW_BALANCE204"/>
      <sheetName val="SSAI_IP_ORDER204"/>
      <sheetName val="Cutting_Dies_204"/>
      <sheetName val="Indirect_List190"/>
      <sheetName val="BASIS_DATA190"/>
      <sheetName val="SUBCONT_STATUS190"/>
      <sheetName val="cumulus_16135"/>
      <sheetName val="EAM_INVENTORY100"/>
      <sheetName val="Maintenance_Work_Order100"/>
      <sheetName val="Vietnam_Report62"/>
      <sheetName val="5_수정데이터통합62"/>
      <sheetName val="CT__PL61"/>
      <sheetName val="CT_Thang_Mo61"/>
      <sheetName val="Chi_tiet61"/>
      <sheetName val="CTTR_Transfer_Type210"/>
      <sheetName val="GFP_Type210"/>
      <sheetName val="GFP_Reasons210"/>
      <sheetName val="LAST_YEARS_CS209"/>
      <sheetName val="Fct_Sum_2_SeasonView206"/>
      <sheetName val="F1_Scenarios206"/>
      <sheetName val="Fct_Summary206"/>
      <sheetName val="Chris'_Tab206"/>
      <sheetName val="OTP_Summary_Result206"/>
      <sheetName val="OTP_Projection206"/>
      <sheetName val="Monthly_Loading206"/>
      <sheetName val="OTP_Source206"/>
      <sheetName val="FA14_Detail206"/>
      <sheetName val="Lynne's_Tab206"/>
      <sheetName val="SU14_Detail206"/>
      <sheetName val="Category_Callouts206"/>
      <sheetName val="Cap_Scenario206"/>
      <sheetName val="Subcapacity_outsoles_206"/>
      <sheetName val="PA_Scenarios206"/>
      <sheetName val="PA_Transfer_Summary206"/>
      <sheetName val="Monthly_Loading_-Summary206"/>
      <sheetName val="Monthly_Loading-PB_Data206"/>
      <sheetName val="Monthly_Loading-PrevOTP_Data206"/>
      <sheetName val="Data_Refresh206"/>
      <sheetName val="SUMM_LOADING_205"/>
      <sheetName val="Raw_Data_Sheet205"/>
      <sheetName val="IA_1205"/>
      <sheetName val="DATA_MOLD_NEW_BALANCE205"/>
      <sheetName val="SSAI_IP_ORDER205"/>
      <sheetName val="Cutting_Dies_205"/>
      <sheetName val="Indirect_List191"/>
      <sheetName val="BASIS_DATA191"/>
      <sheetName val="SUBCONT_STATUS191"/>
      <sheetName val="cumulus_16136"/>
      <sheetName val="EAM_INVENTORY101"/>
      <sheetName val="Maintenance_Work_Order101"/>
      <sheetName val="Vietnam_Report63"/>
      <sheetName val="5_수정데이터통합63"/>
      <sheetName val="CT__PL62"/>
      <sheetName val="CT_Thang_Mo62"/>
      <sheetName val="Chi_tiet62"/>
      <sheetName val="CTTR_Transfer_Type211"/>
      <sheetName val="GFP_Type211"/>
      <sheetName val="GFP_Reasons211"/>
      <sheetName val="LAST_YEARS_CS210"/>
      <sheetName val="Fct_Sum_2_SeasonView207"/>
      <sheetName val="F1_Scenarios207"/>
      <sheetName val="Fct_Summary207"/>
      <sheetName val="Chris'_Tab207"/>
      <sheetName val="OTP_Summary_Result207"/>
      <sheetName val="OTP_Projection207"/>
      <sheetName val="Monthly_Loading207"/>
      <sheetName val="OTP_Source207"/>
      <sheetName val="FA14_Detail207"/>
      <sheetName val="Lynne's_Tab207"/>
      <sheetName val="SU14_Detail207"/>
      <sheetName val="Category_Callouts207"/>
      <sheetName val="Cap_Scenario207"/>
      <sheetName val="Subcapacity_outsoles_207"/>
      <sheetName val="PA_Scenarios207"/>
      <sheetName val="PA_Transfer_Summary207"/>
      <sheetName val="Monthly_Loading_-Summary207"/>
      <sheetName val="Monthly_Loading-PB_Data207"/>
      <sheetName val="Monthly_Loading-PrevOTP_Data207"/>
      <sheetName val="Data_Refresh207"/>
      <sheetName val="SUMM_LOADING_206"/>
      <sheetName val="Raw_Data_Sheet206"/>
      <sheetName val="IA_1206"/>
      <sheetName val="DATA_MOLD_NEW_BALANCE206"/>
      <sheetName val="SSAI_IP_ORDER206"/>
      <sheetName val="Cutting_Dies_206"/>
      <sheetName val="Indirect_List192"/>
      <sheetName val="BASIS_DATA192"/>
      <sheetName val="SUBCONT_STATUS192"/>
      <sheetName val="cumulus_16137"/>
      <sheetName val="EAM_INVENTORY102"/>
      <sheetName val="Maintenance_Work_Order102"/>
      <sheetName val="Vietnam_Report64"/>
      <sheetName val="5_수정데이터통합64"/>
      <sheetName val="CT__PL63"/>
      <sheetName val="CT_Thang_Mo63"/>
      <sheetName val="Chi_tiet63"/>
      <sheetName val="CTTR_Transfer_Type212"/>
      <sheetName val="GFP_Type212"/>
      <sheetName val="GFP_Reasons212"/>
      <sheetName val="LAST_YEARS_CS211"/>
      <sheetName val="Fct_Sum_2_SeasonView208"/>
      <sheetName val="F1_Scenarios208"/>
      <sheetName val="Fct_Summary208"/>
      <sheetName val="Chris'_Tab208"/>
      <sheetName val="OTP_Summary_Result208"/>
      <sheetName val="OTP_Projection208"/>
      <sheetName val="Monthly_Loading208"/>
      <sheetName val="OTP_Source208"/>
      <sheetName val="FA14_Detail208"/>
      <sheetName val="Lynne's_Tab208"/>
      <sheetName val="SU14_Detail208"/>
      <sheetName val="Category_Callouts208"/>
      <sheetName val="Cap_Scenario208"/>
      <sheetName val="Subcapacity_outsoles_208"/>
      <sheetName val="PA_Scenarios208"/>
      <sheetName val="PA_Transfer_Summary208"/>
      <sheetName val="Monthly_Loading_-Summary208"/>
      <sheetName val="Monthly_Loading-PB_Data208"/>
      <sheetName val="Monthly_Loading-PrevOTP_Data208"/>
      <sheetName val="Data_Refresh208"/>
      <sheetName val="SUMM_LOADING_207"/>
      <sheetName val="Raw_Data_Sheet207"/>
      <sheetName val="IA_1207"/>
      <sheetName val="DATA_MOLD_NEW_BALANCE207"/>
      <sheetName val="SSAI_IP_ORDER207"/>
      <sheetName val="Cutting_Dies_207"/>
      <sheetName val="Indirect_List193"/>
      <sheetName val="BASIS_DATA193"/>
      <sheetName val="SUBCONT_STATUS193"/>
      <sheetName val="cumulus_16138"/>
      <sheetName val="EAM_INVENTORY103"/>
      <sheetName val="Maintenance_Work_Order103"/>
      <sheetName val="Vietnam_Report65"/>
      <sheetName val="5_수정데이터통합65"/>
      <sheetName val="CT__PL64"/>
      <sheetName val="CT_Thang_Mo64"/>
      <sheetName val="Chi_tiet64"/>
      <sheetName val="CTTR_Transfer_Type213"/>
      <sheetName val="GFP_Type213"/>
      <sheetName val="GFP_Reasons213"/>
      <sheetName val="LAST_YEARS_CS212"/>
      <sheetName val="Fct_Sum_2_SeasonView209"/>
      <sheetName val="F1_Scenarios209"/>
      <sheetName val="Fct_Summary209"/>
      <sheetName val="Chris'_Tab209"/>
      <sheetName val="OTP_Summary_Result209"/>
      <sheetName val="OTP_Projection209"/>
      <sheetName val="Monthly_Loading209"/>
      <sheetName val="OTP_Source209"/>
      <sheetName val="FA14_Detail209"/>
      <sheetName val="Lynne's_Tab209"/>
      <sheetName val="SU14_Detail209"/>
      <sheetName val="Category_Callouts209"/>
      <sheetName val="Cap_Scenario209"/>
      <sheetName val="Subcapacity_outsoles_209"/>
      <sheetName val="PA_Scenarios209"/>
      <sheetName val="PA_Transfer_Summary209"/>
      <sheetName val="Monthly_Loading_-Summary209"/>
      <sheetName val="Monthly_Loading-PB_Data209"/>
      <sheetName val="Monthly_Loading-PrevOTP_Data209"/>
      <sheetName val="Data_Refresh209"/>
      <sheetName val="SUMM_LOADING_208"/>
      <sheetName val="Raw_Data_Sheet208"/>
      <sheetName val="IA_1208"/>
      <sheetName val="DATA_MOLD_NEW_BALANCE208"/>
      <sheetName val="SSAI_IP_ORDER208"/>
      <sheetName val="Cutting_Dies_208"/>
      <sheetName val="Indirect_List194"/>
      <sheetName val="BASIS_DATA194"/>
      <sheetName val="SUBCONT_STATUS194"/>
      <sheetName val="cumulus_16139"/>
      <sheetName val="EAM_INVENTORY104"/>
      <sheetName val="Maintenance_Work_Order104"/>
      <sheetName val="Vietnam_Report66"/>
      <sheetName val="5_수정데이터통합66"/>
      <sheetName val="CT__PL65"/>
      <sheetName val="CT_Thang_Mo65"/>
      <sheetName val="Chi_tiet65"/>
      <sheetName val="CTTR_Transfer_Type214"/>
      <sheetName val="GFP_Type214"/>
      <sheetName val="GFP_Reasons214"/>
      <sheetName val="LAST_YEARS_CS213"/>
      <sheetName val="Fct_Sum_2_SeasonView210"/>
      <sheetName val="F1_Scenarios210"/>
      <sheetName val="Fct_Summary210"/>
      <sheetName val="Chris'_Tab210"/>
      <sheetName val="OTP_Summary_Result210"/>
      <sheetName val="OTP_Projection210"/>
      <sheetName val="Monthly_Loading210"/>
      <sheetName val="OTP_Source210"/>
      <sheetName val="FA14_Detail210"/>
      <sheetName val="Lynne's_Tab210"/>
      <sheetName val="SU14_Detail210"/>
      <sheetName val="Category_Callouts210"/>
      <sheetName val="Cap_Scenario210"/>
      <sheetName val="Subcapacity_outsoles_210"/>
      <sheetName val="PA_Scenarios210"/>
      <sheetName val="PA_Transfer_Summary210"/>
      <sheetName val="Monthly_Loading_-Summary210"/>
      <sheetName val="Monthly_Loading-PB_Data210"/>
      <sheetName val="Monthly_Loading-PrevOTP_Data210"/>
      <sheetName val="Data_Refresh210"/>
      <sheetName val="SUMM_LOADING_209"/>
      <sheetName val="Raw_Data_Sheet209"/>
      <sheetName val="IA_1209"/>
      <sheetName val="DATA_MOLD_NEW_BALANCE209"/>
      <sheetName val="SSAI_IP_ORDER209"/>
      <sheetName val="Cutting_Dies_209"/>
      <sheetName val="Indirect_List195"/>
      <sheetName val="BASIS_DATA195"/>
      <sheetName val="SUBCONT_STATUS195"/>
      <sheetName val="cumulus_16140"/>
      <sheetName val="EAM_INVENTORY105"/>
      <sheetName val="Maintenance_Work_Order105"/>
      <sheetName val="Vietnam_Report67"/>
      <sheetName val="5_수정데이터통합67"/>
      <sheetName val="CT__PL66"/>
      <sheetName val="CT_Thang_Mo66"/>
      <sheetName val="Chi_tiet66"/>
      <sheetName val="CTTR_Transfer_Type215"/>
      <sheetName val="GFP_Type215"/>
      <sheetName val="GFP_Reasons215"/>
      <sheetName val="LAST_YEARS_CS214"/>
      <sheetName val="Fct_Sum_2_SeasonView211"/>
      <sheetName val="F1_Scenarios211"/>
      <sheetName val="Fct_Summary211"/>
      <sheetName val="Chris'_Tab211"/>
      <sheetName val="OTP_Summary_Result211"/>
      <sheetName val="OTP_Projection211"/>
      <sheetName val="Monthly_Loading211"/>
      <sheetName val="OTP_Source211"/>
      <sheetName val="FA14_Detail211"/>
      <sheetName val="Lynne's_Tab211"/>
      <sheetName val="SU14_Detail211"/>
      <sheetName val="Category_Callouts211"/>
      <sheetName val="Cap_Scenario211"/>
      <sheetName val="Subcapacity_outsoles_211"/>
      <sheetName val="PA_Scenarios211"/>
      <sheetName val="PA_Transfer_Summary211"/>
      <sheetName val="Monthly_Loading_-Summary211"/>
      <sheetName val="Monthly_Loading-PB_Data211"/>
      <sheetName val="Monthly_Loading-PrevOTP_Data211"/>
      <sheetName val="Data_Refresh211"/>
      <sheetName val="SUMM_LOADING_210"/>
      <sheetName val="Raw_Data_Sheet210"/>
      <sheetName val="IA_1210"/>
      <sheetName val="DATA_MOLD_NEW_BALANCE210"/>
      <sheetName val="SSAI_IP_ORDER210"/>
      <sheetName val="Cutting_Dies_210"/>
      <sheetName val="Indirect_List196"/>
      <sheetName val="BASIS_DATA196"/>
      <sheetName val="SUBCONT_STATUS196"/>
      <sheetName val="cumulus_16141"/>
      <sheetName val="EAM_INVENTORY106"/>
      <sheetName val="Maintenance_Work_Order106"/>
      <sheetName val="Vietnam_Report68"/>
      <sheetName val="5_수정데이터통합68"/>
      <sheetName val="CT__PL67"/>
      <sheetName val="CT_Thang_Mo67"/>
      <sheetName val="Chi_tiet67"/>
      <sheetName val="CTTR_Transfer_Type216"/>
      <sheetName val="GFP_Type216"/>
      <sheetName val="GFP_Reasons216"/>
      <sheetName val="LAST_YEARS_CS215"/>
      <sheetName val="Fct_Sum_2_SeasonView212"/>
      <sheetName val="F1_Scenarios212"/>
      <sheetName val="Fct_Summary212"/>
      <sheetName val="Chris'_Tab212"/>
      <sheetName val="OTP_Summary_Result212"/>
      <sheetName val="OTP_Projection212"/>
      <sheetName val="Monthly_Loading212"/>
      <sheetName val="OTP_Source212"/>
      <sheetName val="FA14_Detail212"/>
      <sheetName val="Lynne's_Tab212"/>
      <sheetName val="SU14_Detail212"/>
      <sheetName val="Category_Callouts212"/>
      <sheetName val="Cap_Scenario212"/>
      <sheetName val="Subcapacity_outsoles_212"/>
      <sheetName val="PA_Scenarios212"/>
      <sheetName val="PA_Transfer_Summary212"/>
      <sheetName val="Monthly_Loading_-Summary212"/>
      <sheetName val="Monthly_Loading-PB_Data212"/>
      <sheetName val="Monthly_Loading-PrevOTP_Data212"/>
      <sheetName val="Data_Refresh212"/>
      <sheetName val="SUMM_LOADING_211"/>
      <sheetName val="Raw_Data_Sheet211"/>
      <sheetName val="IA_1211"/>
      <sheetName val="DATA_MOLD_NEW_BALANCE211"/>
      <sheetName val="SSAI_IP_ORDER211"/>
      <sheetName val="Cutting_Dies_211"/>
      <sheetName val="Indirect_List197"/>
      <sheetName val="BASIS_DATA197"/>
      <sheetName val="SUBCONT_STATUS197"/>
      <sheetName val="cumulus_16142"/>
      <sheetName val="EAM_INVENTORY107"/>
      <sheetName val="Maintenance_Work_Order107"/>
      <sheetName val="Vietnam_Report69"/>
      <sheetName val="5_수정데이터통합69"/>
      <sheetName val="CT__PL68"/>
      <sheetName val="CT_Thang_Mo68"/>
      <sheetName val="Chi_tiet68"/>
      <sheetName val="CTTR_Transfer_Type217"/>
      <sheetName val="GFP_Type217"/>
      <sheetName val="GFP_Reasons217"/>
      <sheetName val="LAST_YEARS_CS216"/>
      <sheetName val="Fct_Sum_2_SeasonView213"/>
      <sheetName val="F1_Scenarios213"/>
      <sheetName val="Fct_Summary213"/>
      <sheetName val="Chris'_Tab213"/>
      <sheetName val="OTP_Summary_Result213"/>
      <sheetName val="OTP_Projection213"/>
      <sheetName val="Monthly_Loading213"/>
      <sheetName val="OTP_Source213"/>
      <sheetName val="FA14_Detail213"/>
      <sheetName val="Lynne's_Tab213"/>
      <sheetName val="SU14_Detail213"/>
      <sheetName val="Category_Callouts213"/>
      <sheetName val="Cap_Scenario213"/>
      <sheetName val="Subcapacity_outsoles_213"/>
      <sheetName val="PA_Scenarios213"/>
      <sheetName val="PA_Transfer_Summary213"/>
      <sheetName val="Monthly_Loading_-Summary213"/>
      <sheetName val="Monthly_Loading-PB_Data213"/>
      <sheetName val="Monthly_Loading-PrevOTP_Data213"/>
      <sheetName val="Data_Refresh213"/>
      <sheetName val="SUMM_LOADING_212"/>
      <sheetName val="Raw_Data_Sheet212"/>
      <sheetName val="IA_1212"/>
      <sheetName val="DATA_MOLD_NEW_BALANCE212"/>
      <sheetName val="SSAI_IP_ORDER212"/>
      <sheetName val="Cutting_Dies_212"/>
      <sheetName val="Indirect_List198"/>
      <sheetName val="BASIS_DATA198"/>
      <sheetName val="SUBCONT_STATUS198"/>
      <sheetName val="cumulus_16143"/>
      <sheetName val="EAM_INVENTORY108"/>
      <sheetName val="Maintenance_Work_Order108"/>
      <sheetName val="Vietnam_Report70"/>
      <sheetName val="5_수정데이터통합70"/>
      <sheetName val="CT__PL69"/>
      <sheetName val="CT_Thang_Mo69"/>
      <sheetName val="Chi_tiet69"/>
      <sheetName val="CTTR_Transfer_Type218"/>
      <sheetName val="GFP_Type218"/>
      <sheetName val="GFP_Reasons218"/>
      <sheetName val="LAST_YEARS_CS217"/>
      <sheetName val="Fct_Sum_2_SeasonView214"/>
      <sheetName val="F1_Scenarios214"/>
      <sheetName val="Fct_Summary214"/>
      <sheetName val="Chris'_Tab214"/>
      <sheetName val="OTP_Summary_Result214"/>
      <sheetName val="OTP_Projection214"/>
      <sheetName val="Monthly_Loading214"/>
      <sheetName val="OTP_Source214"/>
      <sheetName val="FA14_Detail214"/>
      <sheetName val="Lynne's_Tab214"/>
      <sheetName val="SU14_Detail214"/>
      <sheetName val="Category_Callouts214"/>
      <sheetName val="Cap_Scenario214"/>
      <sheetName val="Subcapacity_outsoles_214"/>
      <sheetName val="PA_Scenarios214"/>
      <sheetName val="PA_Transfer_Summary214"/>
      <sheetName val="Monthly_Loading_-Summary214"/>
      <sheetName val="Monthly_Loading-PB_Data214"/>
      <sheetName val="Monthly_Loading-PrevOTP_Data214"/>
      <sheetName val="Data_Refresh214"/>
      <sheetName val="SUMM_LOADING_213"/>
      <sheetName val="Raw_Data_Sheet213"/>
      <sheetName val="IA_1213"/>
      <sheetName val="DATA_MOLD_NEW_BALANCE213"/>
      <sheetName val="SSAI_IP_ORDER213"/>
      <sheetName val="Cutting_Dies_213"/>
      <sheetName val="Indirect_List199"/>
      <sheetName val="BASIS_DATA199"/>
      <sheetName val="SUBCONT_STATUS199"/>
      <sheetName val="cumulus_16144"/>
      <sheetName val="EAM_INVENTORY109"/>
      <sheetName val="Maintenance_Work_Order109"/>
      <sheetName val="Vietnam_Report71"/>
      <sheetName val="5_수정데이터통합71"/>
      <sheetName val="CT__PL70"/>
      <sheetName val="CT_Thang_Mo70"/>
      <sheetName val="Chi_tiet70"/>
      <sheetName val="CTTR_Transfer_Type219"/>
      <sheetName val="GFP_Type219"/>
      <sheetName val="GFP_Reasons219"/>
      <sheetName val="LAST_YEARS_CS218"/>
      <sheetName val="Fct_Sum_2_SeasonView215"/>
      <sheetName val="F1_Scenarios215"/>
      <sheetName val="Fct_Summary215"/>
      <sheetName val="Chris'_Tab215"/>
      <sheetName val="OTP_Summary_Result215"/>
      <sheetName val="OTP_Projection215"/>
      <sheetName val="Monthly_Loading215"/>
      <sheetName val="OTP_Source215"/>
      <sheetName val="FA14_Detail215"/>
      <sheetName val="Lynne's_Tab215"/>
      <sheetName val="SU14_Detail215"/>
      <sheetName val="Category_Callouts215"/>
      <sheetName val="Cap_Scenario215"/>
      <sheetName val="Subcapacity_outsoles_215"/>
      <sheetName val="PA_Scenarios215"/>
      <sheetName val="PA_Transfer_Summary215"/>
      <sheetName val="Monthly_Loading_-Summary215"/>
      <sheetName val="Monthly_Loading-PB_Data215"/>
      <sheetName val="Monthly_Loading-PrevOTP_Data215"/>
      <sheetName val="Data_Refresh215"/>
      <sheetName val="SUMM_LOADING_214"/>
      <sheetName val="Raw_Data_Sheet214"/>
      <sheetName val="IA_1214"/>
      <sheetName val="DATA_MOLD_NEW_BALANCE214"/>
      <sheetName val="SSAI_IP_ORDER214"/>
      <sheetName val="Cutting_Dies_214"/>
      <sheetName val="Indirect_List200"/>
      <sheetName val="BASIS_DATA200"/>
      <sheetName val="SUBCONT_STATUS200"/>
      <sheetName val="cumulus_16145"/>
      <sheetName val="EAM_INVENTORY110"/>
      <sheetName val="Maintenance_Work_Order110"/>
      <sheetName val="Vietnam_Report72"/>
      <sheetName val="5_수정데이터통합72"/>
      <sheetName val="CT__PL71"/>
      <sheetName val="CT_Thang_Mo71"/>
      <sheetName val="Chi_tiet71"/>
      <sheetName val="CTTR_Transfer_Type220"/>
      <sheetName val="GFP_Type220"/>
      <sheetName val="GFP_Reasons220"/>
      <sheetName val="LAST_YEARS_CS219"/>
      <sheetName val="Fct_Sum_2_SeasonView216"/>
      <sheetName val="F1_Scenarios216"/>
      <sheetName val="Fct_Summary216"/>
      <sheetName val="Chris'_Tab216"/>
      <sheetName val="OTP_Summary_Result216"/>
      <sheetName val="OTP_Projection216"/>
      <sheetName val="Monthly_Loading216"/>
      <sheetName val="OTP_Source216"/>
      <sheetName val="FA14_Detail216"/>
      <sheetName val="Lynne's_Tab216"/>
      <sheetName val="SU14_Detail216"/>
      <sheetName val="Category_Callouts216"/>
      <sheetName val="Cap_Scenario216"/>
      <sheetName val="Subcapacity_outsoles_216"/>
      <sheetName val="PA_Scenarios216"/>
      <sheetName val="PA_Transfer_Summary216"/>
      <sheetName val="Monthly_Loading_-Summary216"/>
      <sheetName val="Monthly_Loading-PB_Data216"/>
      <sheetName val="Monthly_Loading-PrevOTP_Data216"/>
      <sheetName val="Data_Refresh216"/>
      <sheetName val="SUMM_LOADING_215"/>
      <sheetName val="Raw_Data_Sheet215"/>
      <sheetName val="IA_1215"/>
      <sheetName val="DATA_MOLD_NEW_BALANCE215"/>
      <sheetName val="SSAI_IP_ORDER215"/>
      <sheetName val="Cutting_Dies_215"/>
      <sheetName val="Indirect_List201"/>
      <sheetName val="BASIS_DATA201"/>
      <sheetName val="SUBCONT_STATUS201"/>
      <sheetName val="cumulus_16146"/>
      <sheetName val="EAM_INVENTORY111"/>
      <sheetName val="Maintenance_Work_Order111"/>
      <sheetName val="Vietnam_Report73"/>
      <sheetName val="5_수정데이터통합73"/>
      <sheetName val="CT__PL72"/>
      <sheetName val="CT_Thang_Mo72"/>
      <sheetName val="Chi_tiet72"/>
      <sheetName val="CTTR_Transfer_Type221"/>
      <sheetName val="GFP_Type221"/>
      <sheetName val="GFP_Reasons221"/>
      <sheetName val="LAST_YEARS_CS220"/>
      <sheetName val="Fct_Sum_2_SeasonView217"/>
      <sheetName val="F1_Scenarios217"/>
      <sheetName val="Fct_Summary217"/>
      <sheetName val="Chris'_Tab217"/>
      <sheetName val="OTP_Summary_Result217"/>
      <sheetName val="OTP_Projection217"/>
      <sheetName val="Monthly_Loading217"/>
      <sheetName val="OTP_Source217"/>
      <sheetName val="FA14_Detail217"/>
      <sheetName val="Lynne's_Tab217"/>
      <sheetName val="SU14_Detail217"/>
      <sheetName val="Category_Callouts217"/>
      <sheetName val="Cap_Scenario217"/>
      <sheetName val="Subcapacity_outsoles_217"/>
      <sheetName val="PA_Scenarios217"/>
      <sheetName val="PA_Transfer_Summary217"/>
      <sheetName val="Monthly_Loading_-Summary217"/>
      <sheetName val="Monthly_Loading-PB_Data217"/>
      <sheetName val="Monthly_Loading-PrevOTP_Data217"/>
      <sheetName val="Data_Refresh217"/>
      <sheetName val="SUMM_LOADING_216"/>
      <sheetName val="Raw_Data_Sheet216"/>
      <sheetName val="IA_1216"/>
      <sheetName val="DATA_MOLD_NEW_BALANCE216"/>
      <sheetName val="SSAI_IP_ORDER216"/>
      <sheetName val="Cutting_Dies_216"/>
      <sheetName val="Indirect_List202"/>
      <sheetName val="BASIS_DATA202"/>
      <sheetName val="SUBCONT_STATUS202"/>
      <sheetName val="cumulus_16147"/>
      <sheetName val="EAM_INVENTORY112"/>
      <sheetName val="Maintenance_Work_Order112"/>
      <sheetName val="Vietnam_Report74"/>
      <sheetName val="5_수정데이터통합74"/>
      <sheetName val="CT__PL73"/>
      <sheetName val="CT_Thang_Mo73"/>
      <sheetName val="Chi_tiet73"/>
      <sheetName val="CTTR_Transfer_Type222"/>
      <sheetName val="GFP_Type222"/>
      <sheetName val="GFP_Reasons222"/>
      <sheetName val="LAST_YEARS_CS221"/>
      <sheetName val="Fct_Sum_2_SeasonView218"/>
      <sheetName val="F1_Scenarios218"/>
      <sheetName val="Fct_Summary218"/>
      <sheetName val="Chris'_Tab218"/>
      <sheetName val="OTP_Summary_Result218"/>
      <sheetName val="OTP_Projection218"/>
      <sheetName val="Monthly_Loading218"/>
      <sheetName val="OTP_Source218"/>
      <sheetName val="FA14_Detail218"/>
      <sheetName val="Lynne's_Tab218"/>
      <sheetName val="SU14_Detail218"/>
      <sheetName val="Category_Callouts218"/>
      <sheetName val="Cap_Scenario218"/>
      <sheetName val="Subcapacity_outsoles_218"/>
      <sheetName val="PA_Scenarios218"/>
      <sheetName val="PA_Transfer_Summary218"/>
      <sheetName val="Monthly_Loading_-Summary218"/>
      <sheetName val="Monthly_Loading-PB_Data218"/>
      <sheetName val="Monthly_Loading-PrevOTP_Data218"/>
      <sheetName val="Data_Refresh218"/>
      <sheetName val="SUMM_LOADING_217"/>
      <sheetName val="Raw_Data_Sheet217"/>
      <sheetName val="IA_1217"/>
      <sheetName val="DATA_MOLD_NEW_BALANCE217"/>
      <sheetName val="SSAI_IP_ORDER217"/>
      <sheetName val="Cutting_Dies_217"/>
      <sheetName val="Indirect_List203"/>
      <sheetName val="BASIS_DATA203"/>
      <sheetName val="SUBCONT_STATUS203"/>
      <sheetName val="cumulus_16148"/>
      <sheetName val="EAM_INVENTORY113"/>
      <sheetName val="Maintenance_Work_Order113"/>
      <sheetName val="Vietnam_Report75"/>
      <sheetName val="5_수정데이터통합75"/>
      <sheetName val="CT__PL74"/>
      <sheetName val="CT_Thang_Mo74"/>
      <sheetName val="Chi_tiet74"/>
      <sheetName val="CTTR_Transfer_Type224"/>
      <sheetName val="GFP_Type224"/>
      <sheetName val="GFP_Reasons224"/>
      <sheetName val="LAST_YEARS_CS223"/>
      <sheetName val="Fct_Sum_2_SeasonView220"/>
      <sheetName val="F1_Scenarios220"/>
      <sheetName val="Fct_Summary220"/>
      <sheetName val="Chris'_Tab220"/>
      <sheetName val="OTP_Summary_Result220"/>
      <sheetName val="OTP_Projection220"/>
      <sheetName val="Monthly_Loading220"/>
      <sheetName val="OTP_Source220"/>
      <sheetName val="FA14_Detail220"/>
      <sheetName val="Lynne's_Tab220"/>
      <sheetName val="SU14_Detail220"/>
      <sheetName val="Category_Callouts220"/>
      <sheetName val="Cap_Scenario220"/>
      <sheetName val="Subcapacity_outsoles_220"/>
      <sheetName val="PA_Scenarios220"/>
      <sheetName val="PA_Transfer_Summary220"/>
      <sheetName val="Monthly_Loading_-Summary220"/>
      <sheetName val="Monthly_Loading-PB_Data220"/>
      <sheetName val="Monthly_Loading-PrevOTP_Data220"/>
      <sheetName val="Data_Refresh220"/>
      <sheetName val="SUMM_LOADING_219"/>
      <sheetName val="Raw_Data_Sheet219"/>
      <sheetName val="IA_1219"/>
      <sheetName val="DATA_MOLD_NEW_BALANCE219"/>
      <sheetName val="SSAI_IP_ORDER219"/>
      <sheetName val="Cutting_Dies_219"/>
      <sheetName val="Indirect_List205"/>
      <sheetName val="BASIS_DATA205"/>
      <sheetName val="SUBCONT_STATUS205"/>
      <sheetName val="cumulus_16150"/>
      <sheetName val="EAM_INVENTORY115"/>
      <sheetName val="Maintenance_Work_Order115"/>
      <sheetName val="Vietnam_Report77"/>
      <sheetName val="5_수정데이터통합77"/>
      <sheetName val="CT__PL76"/>
      <sheetName val="CT_Thang_Mo76"/>
      <sheetName val="Chi_tiet76"/>
      <sheetName val="CTTR_Transfer_Type225"/>
      <sheetName val="GFP_Type225"/>
      <sheetName val="GFP_Reasons225"/>
      <sheetName val="LAST_YEARS_CS224"/>
      <sheetName val="Fct_Sum_2_SeasonView221"/>
      <sheetName val="F1_Scenarios221"/>
      <sheetName val="Fct_Summary221"/>
      <sheetName val="Chris'_Tab221"/>
      <sheetName val="OTP_Summary_Result221"/>
      <sheetName val="OTP_Projection221"/>
      <sheetName val="Monthly_Loading221"/>
      <sheetName val="OTP_Source221"/>
      <sheetName val="FA14_Detail221"/>
      <sheetName val="Lynne's_Tab221"/>
      <sheetName val="SU14_Detail221"/>
      <sheetName val="Category_Callouts221"/>
      <sheetName val="Cap_Scenario221"/>
      <sheetName val="Subcapacity_outsoles_221"/>
      <sheetName val="PA_Scenarios221"/>
      <sheetName val="PA_Transfer_Summary221"/>
      <sheetName val="Monthly_Loading_-Summary221"/>
      <sheetName val="Monthly_Loading-PB_Data221"/>
      <sheetName val="Monthly_Loading-PrevOTP_Data221"/>
      <sheetName val="Data_Refresh221"/>
      <sheetName val="SUMM_LOADING_220"/>
      <sheetName val="Raw_Data_Sheet220"/>
      <sheetName val="IA_1220"/>
      <sheetName val="DATA_MOLD_NEW_BALANCE220"/>
      <sheetName val="SSAI_IP_ORDER220"/>
      <sheetName val="Cutting_Dies_220"/>
      <sheetName val="Indirect_List206"/>
      <sheetName val="BASIS_DATA206"/>
      <sheetName val="SUBCONT_STATUS206"/>
      <sheetName val="cumulus_16151"/>
      <sheetName val="EAM_INVENTORY116"/>
      <sheetName val="Maintenance_Work_Order116"/>
      <sheetName val="Vietnam_Report78"/>
      <sheetName val="5_수정데이터통합78"/>
      <sheetName val="CT__PL77"/>
      <sheetName val="CT_Thang_Mo77"/>
      <sheetName val="Chi_tiet77"/>
      <sheetName val="CTTR_Transfer_Type228"/>
      <sheetName val="GFP_Type228"/>
      <sheetName val="GFP_Reasons228"/>
      <sheetName val="LAST_YEARS_CS227"/>
      <sheetName val="Fct_Sum_2_SeasonView224"/>
      <sheetName val="F1_Scenarios224"/>
      <sheetName val="Fct_Summary224"/>
      <sheetName val="Chris'_Tab224"/>
      <sheetName val="OTP_Summary_Result224"/>
      <sheetName val="OTP_Projection224"/>
      <sheetName val="Monthly_Loading224"/>
      <sheetName val="OTP_Source224"/>
      <sheetName val="FA14_Detail224"/>
      <sheetName val="Lynne's_Tab224"/>
      <sheetName val="SU14_Detail224"/>
      <sheetName val="Category_Callouts224"/>
      <sheetName val="Cap_Scenario224"/>
      <sheetName val="Subcapacity_outsoles_224"/>
      <sheetName val="PA_Scenarios224"/>
      <sheetName val="PA_Transfer_Summary224"/>
      <sheetName val="Monthly_Loading_-Summary224"/>
      <sheetName val="Monthly_Loading-PB_Data224"/>
      <sheetName val="Monthly_Loading-PrevOTP_Data224"/>
      <sheetName val="Data_Refresh224"/>
      <sheetName val="SUMM_LOADING_223"/>
      <sheetName val="Raw_Data_Sheet223"/>
      <sheetName val="IA_1223"/>
      <sheetName val="DATA_MOLD_NEW_BALANCE223"/>
      <sheetName val="SSAI_IP_ORDER223"/>
      <sheetName val="Cutting_Dies_223"/>
      <sheetName val="Indirect_List209"/>
      <sheetName val="BASIS_DATA209"/>
      <sheetName val="SUBCONT_STATUS209"/>
      <sheetName val="cumulus_16154"/>
      <sheetName val="EAM_INVENTORY119"/>
      <sheetName val="Maintenance_Work_Order119"/>
      <sheetName val="Vietnam_Report81"/>
      <sheetName val="5_수정데이터통합81"/>
      <sheetName val="CT__PL80"/>
      <sheetName val="CT_Thang_Mo80"/>
      <sheetName val="Chi_tiet80"/>
      <sheetName val="CTTR_Transfer_Type226"/>
      <sheetName val="GFP_Type226"/>
      <sheetName val="GFP_Reasons226"/>
      <sheetName val="LAST_YEARS_CS225"/>
      <sheetName val="Fct_Sum_2_SeasonView222"/>
      <sheetName val="F1_Scenarios222"/>
      <sheetName val="Fct_Summary222"/>
      <sheetName val="Chris'_Tab222"/>
      <sheetName val="OTP_Summary_Result222"/>
      <sheetName val="OTP_Projection222"/>
      <sheetName val="Monthly_Loading222"/>
      <sheetName val="OTP_Source222"/>
      <sheetName val="FA14_Detail222"/>
      <sheetName val="Lynne's_Tab222"/>
      <sheetName val="SU14_Detail222"/>
      <sheetName val="Category_Callouts222"/>
      <sheetName val="Cap_Scenario222"/>
      <sheetName val="Subcapacity_outsoles_222"/>
      <sheetName val="PA_Scenarios222"/>
      <sheetName val="PA_Transfer_Summary222"/>
      <sheetName val="Monthly_Loading_-Summary222"/>
      <sheetName val="Monthly_Loading-PB_Data222"/>
      <sheetName val="Monthly_Loading-PrevOTP_Data222"/>
      <sheetName val="Data_Refresh222"/>
      <sheetName val="SUMM_LOADING_221"/>
      <sheetName val="Raw_Data_Sheet221"/>
      <sheetName val="IA_1221"/>
      <sheetName val="DATA_MOLD_NEW_BALANCE221"/>
      <sheetName val="SSAI_IP_ORDER221"/>
      <sheetName val="Cutting_Dies_221"/>
      <sheetName val="Indirect_List207"/>
      <sheetName val="BASIS_DATA207"/>
      <sheetName val="SUBCONT_STATUS207"/>
      <sheetName val="cumulus_16152"/>
      <sheetName val="EAM_INVENTORY117"/>
      <sheetName val="Maintenance_Work_Order117"/>
      <sheetName val="Vietnam_Report79"/>
      <sheetName val="5_수정데이터통합79"/>
      <sheetName val="CT__PL78"/>
      <sheetName val="CT_Thang_Mo78"/>
      <sheetName val="Chi_tiet78"/>
      <sheetName val="CTTR_Transfer_Type227"/>
      <sheetName val="GFP_Type227"/>
      <sheetName val="GFP_Reasons227"/>
      <sheetName val="LAST_YEARS_CS226"/>
      <sheetName val="Fct_Sum_2_SeasonView223"/>
      <sheetName val="F1_Scenarios223"/>
      <sheetName val="Fct_Summary223"/>
      <sheetName val="Chris'_Tab223"/>
      <sheetName val="OTP_Summary_Result223"/>
      <sheetName val="OTP_Projection223"/>
      <sheetName val="Monthly_Loading223"/>
      <sheetName val="OTP_Source223"/>
      <sheetName val="FA14_Detail223"/>
      <sheetName val="Lynne's_Tab223"/>
      <sheetName val="SU14_Detail223"/>
      <sheetName val="Category_Callouts223"/>
      <sheetName val="Cap_Scenario223"/>
      <sheetName val="Subcapacity_outsoles_223"/>
      <sheetName val="PA_Scenarios223"/>
      <sheetName val="PA_Transfer_Summary223"/>
      <sheetName val="Monthly_Loading_-Summary223"/>
      <sheetName val="Monthly_Loading-PB_Data223"/>
      <sheetName val="Monthly_Loading-PrevOTP_Data223"/>
      <sheetName val="Data_Refresh223"/>
      <sheetName val="SUMM_LOADING_222"/>
      <sheetName val="Raw_Data_Sheet222"/>
      <sheetName val="IA_1222"/>
      <sheetName val="DATA_MOLD_NEW_BALANCE222"/>
      <sheetName val="SSAI_IP_ORDER222"/>
      <sheetName val="Cutting_Dies_222"/>
      <sheetName val="Indirect_List208"/>
      <sheetName val="BASIS_DATA208"/>
      <sheetName val="SUBCONT_STATUS208"/>
      <sheetName val="cumulus_16153"/>
      <sheetName val="EAM_INVENTORY118"/>
      <sheetName val="Maintenance_Work_Order118"/>
      <sheetName val="Vietnam_Report80"/>
      <sheetName val="5_수정데이터통합80"/>
      <sheetName val="CT__PL79"/>
      <sheetName val="CT_Thang_Mo79"/>
      <sheetName val="Chi_tiet79"/>
      <sheetName val="CTTR_Transfer_Type236"/>
      <sheetName val="GFP_Type236"/>
      <sheetName val="GFP_Reasons236"/>
      <sheetName val="LAST_YEARS_CS235"/>
      <sheetName val="Fct_Sum_2_SeasonView232"/>
      <sheetName val="F1_Scenarios232"/>
      <sheetName val="Fct_Summary232"/>
      <sheetName val="Chris'_Tab232"/>
      <sheetName val="OTP_Summary_Result232"/>
      <sheetName val="OTP_Projection232"/>
      <sheetName val="Monthly_Loading232"/>
      <sheetName val="OTP_Source232"/>
      <sheetName val="FA14_Detail232"/>
      <sheetName val="Lynne's_Tab232"/>
      <sheetName val="SU14_Detail232"/>
      <sheetName val="Category_Callouts232"/>
      <sheetName val="Cap_Scenario232"/>
      <sheetName val="Subcapacity_outsoles_232"/>
      <sheetName val="PA_Scenarios232"/>
      <sheetName val="PA_Transfer_Summary232"/>
      <sheetName val="Monthly_Loading_-Summary232"/>
      <sheetName val="Monthly_Loading-PB_Data232"/>
      <sheetName val="Monthly_Loading-PrevOTP_Data232"/>
      <sheetName val="Data_Refresh232"/>
      <sheetName val="SUMM_LOADING_231"/>
      <sheetName val="Raw_Data_Sheet231"/>
      <sheetName val="IA_1231"/>
      <sheetName val="DATA_MOLD_NEW_BALANCE231"/>
      <sheetName val="SSAI_IP_ORDER231"/>
      <sheetName val="Cutting_Dies_231"/>
      <sheetName val="Indirect_List217"/>
      <sheetName val="BASIS_DATA217"/>
      <sheetName val="SUBCONT_STATUS217"/>
      <sheetName val="cumulus_16162"/>
      <sheetName val="EAM_INVENTORY127"/>
      <sheetName val="Maintenance_Work_Order127"/>
      <sheetName val="Vietnam_Report89"/>
      <sheetName val="5_수정데이터통합89"/>
      <sheetName val="CT__PL88"/>
      <sheetName val="CT_Thang_Mo88"/>
      <sheetName val="Chi_tiet88"/>
      <sheetName val="CTTR_Transfer_Type229"/>
      <sheetName val="GFP_Type229"/>
      <sheetName val="GFP_Reasons229"/>
      <sheetName val="LAST_YEARS_CS228"/>
      <sheetName val="Fct_Sum_2_SeasonView225"/>
      <sheetName val="F1_Scenarios225"/>
      <sheetName val="Fct_Summary225"/>
      <sheetName val="Chris'_Tab225"/>
      <sheetName val="OTP_Summary_Result225"/>
      <sheetName val="OTP_Projection225"/>
      <sheetName val="Monthly_Loading225"/>
      <sheetName val="OTP_Source225"/>
      <sheetName val="FA14_Detail225"/>
      <sheetName val="Lynne's_Tab225"/>
      <sheetName val="SU14_Detail225"/>
      <sheetName val="Category_Callouts225"/>
      <sheetName val="Cap_Scenario225"/>
      <sheetName val="Subcapacity_outsoles_225"/>
      <sheetName val="PA_Scenarios225"/>
      <sheetName val="PA_Transfer_Summary225"/>
      <sheetName val="Monthly_Loading_-Summary225"/>
      <sheetName val="Monthly_Loading-PB_Data225"/>
      <sheetName val="Monthly_Loading-PrevOTP_Data225"/>
      <sheetName val="Data_Refresh225"/>
      <sheetName val="SUMM_LOADING_224"/>
      <sheetName val="Raw_Data_Sheet224"/>
      <sheetName val="IA_1224"/>
      <sheetName val="DATA_MOLD_NEW_BALANCE224"/>
      <sheetName val="SSAI_IP_ORDER224"/>
      <sheetName val="Cutting_Dies_224"/>
      <sheetName val="Indirect_List210"/>
      <sheetName val="BASIS_DATA210"/>
      <sheetName val="SUBCONT_STATUS210"/>
      <sheetName val="cumulus_16155"/>
      <sheetName val="EAM_INVENTORY120"/>
      <sheetName val="Maintenance_Work_Order120"/>
      <sheetName val="Vietnam_Report82"/>
      <sheetName val="5_수정데이터통합82"/>
      <sheetName val="CT__PL81"/>
      <sheetName val="CT_Thang_Mo81"/>
      <sheetName val="Chi_tiet81"/>
      <sheetName val="CTTR_Transfer_Type230"/>
      <sheetName val="GFP_Type230"/>
      <sheetName val="GFP_Reasons230"/>
      <sheetName val="LAST_YEARS_CS229"/>
      <sheetName val="Fct_Sum_2_SeasonView226"/>
      <sheetName val="F1_Scenarios226"/>
      <sheetName val="Fct_Summary226"/>
      <sheetName val="Chris'_Tab226"/>
      <sheetName val="OTP_Summary_Result226"/>
      <sheetName val="OTP_Projection226"/>
      <sheetName val="Monthly_Loading226"/>
      <sheetName val="OTP_Source226"/>
      <sheetName val="FA14_Detail226"/>
      <sheetName val="Lynne's_Tab226"/>
      <sheetName val="SU14_Detail226"/>
      <sheetName val="Category_Callouts226"/>
      <sheetName val="Cap_Scenario226"/>
      <sheetName val="Subcapacity_outsoles_226"/>
      <sheetName val="PA_Scenarios226"/>
      <sheetName val="PA_Transfer_Summary226"/>
      <sheetName val="Monthly_Loading_-Summary226"/>
      <sheetName val="Monthly_Loading-PB_Data226"/>
      <sheetName val="Monthly_Loading-PrevOTP_Data226"/>
      <sheetName val="Data_Refresh226"/>
      <sheetName val="SUMM_LOADING_225"/>
      <sheetName val="Raw_Data_Sheet225"/>
      <sheetName val="IA_1225"/>
      <sheetName val="DATA_MOLD_NEW_BALANCE225"/>
      <sheetName val="SSAI_IP_ORDER225"/>
      <sheetName val="Cutting_Dies_225"/>
      <sheetName val="Indirect_List211"/>
      <sheetName val="BASIS_DATA211"/>
      <sheetName val="SUBCONT_STATUS211"/>
      <sheetName val="cumulus_16156"/>
      <sheetName val="EAM_INVENTORY121"/>
      <sheetName val="Maintenance_Work_Order121"/>
      <sheetName val="Vietnam_Report83"/>
      <sheetName val="5_수정데이터통합83"/>
      <sheetName val="CT__PL82"/>
      <sheetName val="CT_Thang_Mo82"/>
      <sheetName val="Chi_tiet82"/>
      <sheetName val="CTTR_Transfer_Type231"/>
      <sheetName val="GFP_Type231"/>
      <sheetName val="GFP_Reasons231"/>
      <sheetName val="LAST_YEARS_CS230"/>
      <sheetName val="Fct_Sum_2_SeasonView227"/>
      <sheetName val="F1_Scenarios227"/>
      <sheetName val="Fct_Summary227"/>
      <sheetName val="Chris'_Tab227"/>
      <sheetName val="OTP_Summary_Result227"/>
      <sheetName val="OTP_Projection227"/>
      <sheetName val="Monthly_Loading227"/>
      <sheetName val="OTP_Source227"/>
      <sheetName val="FA14_Detail227"/>
      <sheetName val="Lynne's_Tab227"/>
      <sheetName val="SU14_Detail227"/>
      <sheetName val="Category_Callouts227"/>
      <sheetName val="Cap_Scenario227"/>
      <sheetName val="Subcapacity_outsoles_227"/>
      <sheetName val="PA_Scenarios227"/>
      <sheetName val="PA_Transfer_Summary227"/>
      <sheetName val="Monthly_Loading_-Summary227"/>
      <sheetName val="Monthly_Loading-PB_Data227"/>
      <sheetName val="Monthly_Loading-PrevOTP_Data227"/>
      <sheetName val="Data_Refresh227"/>
      <sheetName val="SUMM_LOADING_226"/>
      <sheetName val="Raw_Data_Sheet226"/>
      <sheetName val="IA_1226"/>
      <sheetName val="DATA_MOLD_NEW_BALANCE226"/>
      <sheetName val="SSAI_IP_ORDER226"/>
      <sheetName val="Cutting_Dies_226"/>
      <sheetName val="Indirect_List212"/>
      <sheetName val="BASIS_DATA212"/>
      <sheetName val="SUBCONT_STATUS212"/>
      <sheetName val="cumulus_16157"/>
      <sheetName val="EAM_INVENTORY122"/>
      <sheetName val="Maintenance_Work_Order122"/>
      <sheetName val="Vietnam_Report84"/>
      <sheetName val="5_수정데이터통합84"/>
      <sheetName val="CT__PL83"/>
      <sheetName val="CT_Thang_Mo83"/>
      <sheetName val="Chi_tiet83"/>
      <sheetName val="CTTR_Transfer_Type232"/>
      <sheetName val="GFP_Type232"/>
      <sheetName val="GFP_Reasons232"/>
      <sheetName val="LAST_YEARS_CS231"/>
      <sheetName val="Fct_Sum_2_SeasonView228"/>
      <sheetName val="F1_Scenarios228"/>
      <sheetName val="Fct_Summary228"/>
      <sheetName val="Chris'_Tab228"/>
      <sheetName val="OTP_Summary_Result228"/>
      <sheetName val="OTP_Projection228"/>
      <sheetName val="Monthly_Loading228"/>
      <sheetName val="OTP_Source228"/>
      <sheetName val="FA14_Detail228"/>
      <sheetName val="Lynne's_Tab228"/>
      <sheetName val="SU14_Detail228"/>
      <sheetName val="Category_Callouts228"/>
      <sheetName val="Cap_Scenario228"/>
      <sheetName val="Subcapacity_outsoles_228"/>
      <sheetName val="PA_Scenarios228"/>
      <sheetName val="PA_Transfer_Summary228"/>
      <sheetName val="Monthly_Loading_-Summary228"/>
      <sheetName val="Monthly_Loading-PB_Data228"/>
      <sheetName val="Monthly_Loading-PrevOTP_Data228"/>
      <sheetName val="Data_Refresh228"/>
      <sheetName val="SUMM_LOADING_227"/>
      <sheetName val="Raw_Data_Sheet227"/>
      <sheetName val="IA_1227"/>
      <sheetName val="DATA_MOLD_NEW_BALANCE227"/>
      <sheetName val="SSAI_IP_ORDER227"/>
      <sheetName val="Cutting_Dies_227"/>
      <sheetName val="Indirect_List213"/>
      <sheetName val="BASIS_DATA213"/>
      <sheetName val="SUBCONT_STATUS213"/>
      <sheetName val="cumulus_16158"/>
      <sheetName val="EAM_INVENTORY123"/>
      <sheetName val="Maintenance_Work_Order123"/>
      <sheetName val="Vietnam_Report85"/>
      <sheetName val="5_수정데이터통합85"/>
      <sheetName val="CT__PL84"/>
      <sheetName val="CT_Thang_Mo84"/>
      <sheetName val="Chi_tiet84"/>
      <sheetName val="CTTR_Transfer_Type233"/>
      <sheetName val="GFP_Type233"/>
      <sheetName val="GFP_Reasons233"/>
      <sheetName val="LAST_YEARS_CS232"/>
      <sheetName val="Fct_Sum_2_SeasonView229"/>
      <sheetName val="F1_Scenarios229"/>
      <sheetName val="Fct_Summary229"/>
      <sheetName val="Chris'_Tab229"/>
      <sheetName val="OTP_Summary_Result229"/>
      <sheetName val="OTP_Projection229"/>
      <sheetName val="Monthly_Loading229"/>
      <sheetName val="OTP_Source229"/>
      <sheetName val="FA14_Detail229"/>
      <sheetName val="Lynne's_Tab229"/>
      <sheetName val="SU14_Detail229"/>
      <sheetName val="Category_Callouts229"/>
      <sheetName val="Cap_Scenario229"/>
      <sheetName val="Subcapacity_outsoles_229"/>
      <sheetName val="PA_Scenarios229"/>
      <sheetName val="PA_Transfer_Summary229"/>
      <sheetName val="Monthly_Loading_-Summary229"/>
      <sheetName val="Monthly_Loading-PB_Data229"/>
      <sheetName val="Monthly_Loading-PrevOTP_Data229"/>
      <sheetName val="Data_Refresh229"/>
      <sheetName val="SUMM_LOADING_228"/>
      <sheetName val="Raw_Data_Sheet228"/>
      <sheetName val="IA_1228"/>
      <sheetName val="DATA_MOLD_NEW_BALANCE228"/>
      <sheetName val="SSAI_IP_ORDER228"/>
      <sheetName val="Cutting_Dies_228"/>
      <sheetName val="Indirect_List214"/>
      <sheetName val="BASIS_DATA214"/>
      <sheetName val="SUBCONT_STATUS214"/>
      <sheetName val="cumulus_16159"/>
      <sheetName val="EAM_INVENTORY124"/>
      <sheetName val="Maintenance_Work_Order124"/>
      <sheetName val="Vietnam_Report86"/>
      <sheetName val="5_수정데이터통합86"/>
      <sheetName val="CT__PL85"/>
      <sheetName val="CT_Thang_Mo85"/>
      <sheetName val="Chi_tiet85"/>
      <sheetName val="CTTR_Transfer_Type234"/>
      <sheetName val="GFP_Type234"/>
      <sheetName val="GFP_Reasons234"/>
      <sheetName val="LAST_YEARS_CS233"/>
      <sheetName val="Fct_Sum_2_SeasonView230"/>
      <sheetName val="F1_Scenarios230"/>
      <sheetName val="Fct_Summary230"/>
      <sheetName val="Chris'_Tab230"/>
      <sheetName val="OTP_Summary_Result230"/>
      <sheetName val="OTP_Projection230"/>
      <sheetName val="Monthly_Loading230"/>
      <sheetName val="OTP_Source230"/>
      <sheetName val="FA14_Detail230"/>
      <sheetName val="Lynne's_Tab230"/>
      <sheetName val="SU14_Detail230"/>
      <sheetName val="Category_Callouts230"/>
      <sheetName val="Cap_Scenario230"/>
      <sheetName val="Subcapacity_outsoles_230"/>
      <sheetName val="PA_Scenarios230"/>
      <sheetName val="PA_Transfer_Summary230"/>
      <sheetName val="Monthly_Loading_-Summary230"/>
      <sheetName val="Monthly_Loading-PB_Data230"/>
      <sheetName val="Monthly_Loading-PrevOTP_Data230"/>
      <sheetName val="Data_Refresh230"/>
      <sheetName val="SUMM_LOADING_229"/>
      <sheetName val="Raw_Data_Sheet229"/>
      <sheetName val="IA_1229"/>
      <sheetName val="DATA_MOLD_NEW_BALANCE229"/>
      <sheetName val="SSAI_IP_ORDER229"/>
      <sheetName val="Cutting_Dies_229"/>
      <sheetName val="Indirect_List215"/>
      <sheetName val="BASIS_DATA215"/>
      <sheetName val="SUBCONT_STATUS215"/>
      <sheetName val="cumulus_16160"/>
      <sheetName val="EAM_INVENTORY125"/>
      <sheetName val="Maintenance_Work_Order125"/>
      <sheetName val="Vietnam_Report87"/>
      <sheetName val="5_수정데이터통합87"/>
      <sheetName val="CT__PL86"/>
      <sheetName val="CT_Thang_Mo86"/>
      <sheetName val="Chi_tiet86"/>
      <sheetName val="CTTR_Transfer_Type235"/>
      <sheetName val="GFP_Type235"/>
      <sheetName val="GFP_Reasons235"/>
      <sheetName val="LAST_YEARS_CS234"/>
      <sheetName val="Fct_Sum_2_SeasonView231"/>
      <sheetName val="F1_Scenarios231"/>
      <sheetName val="Fct_Summary231"/>
      <sheetName val="Chris'_Tab231"/>
      <sheetName val="OTP_Summary_Result231"/>
      <sheetName val="OTP_Projection231"/>
      <sheetName val="Monthly_Loading231"/>
      <sheetName val="OTP_Source231"/>
      <sheetName val="FA14_Detail231"/>
      <sheetName val="Lynne's_Tab231"/>
      <sheetName val="SU14_Detail231"/>
      <sheetName val="Category_Callouts231"/>
      <sheetName val="Cap_Scenario231"/>
      <sheetName val="Subcapacity_outsoles_231"/>
      <sheetName val="PA_Scenarios231"/>
      <sheetName val="PA_Transfer_Summary231"/>
      <sheetName val="Monthly_Loading_-Summary231"/>
      <sheetName val="Monthly_Loading-PB_Data231"/>
      <sheetName val="Monthly_Loading-PrevOTP_Data231"/>
      <sheetName val="Data_Refresh231"/>
      <sheetName val="SUMM_LOADING_230"/>
      <sheetName val="Raw_Data_Sheet230"/>
      <sheetName val="IA_1230"/>
      <sheetName val="DATA_MOLD_NEW_BALANCE230"/>
      <sheetName val="SSAI_IP_ORDER230"/>
      <sheetName val="Cutting_Dies_230"/>
      <sheetName val="Indirect_List216"/>
      <sheetName val="BASIS_DATA216"/>
      <sheetName val="SUBCONT_STATUS216"/>
      <sheetName val="cumulus_16161"/>
      <sheetName val="EAM_INVENTORY126"/>
      <sheetName val="Maintenance_Work_Order126"/>
      <sheetName val="Vietnam_Report88"/>
      <sheetName val="5_수정데이터통합88"/>
      <sheetName val="CT__PL87"/>
      <sheetName val="CT_Thang_Mo87"/>
      <sheetName val="Chi_tiet87"/>
      <sheetName val="CTTR_Transfer_Type238"/>
      <sheetName val="GFP_Type238"/>
      <sheetName val="GFP_Reasons238"/>
      <sheetName val="LAST_YEARS_CS237"/>
      <sheetName val="Fct_Sum_2_SeasonView234"/>
      <sheetName val="F1_Scenarios234"/>
      <sheetName val="Fct_Summary234"/>
      <sheetName val="Chris'_Tab234"/>
      <sheetName val="OTP_Summary_Result234"/>
      <sheetName val="OTP_Projection234"/>
      <sheetName val="Monthly_Loading234"/>
      <sheetName val="OTP_Source234"/>
      <sheetName val="FA14_Detail234"/>
      <sheetName val="Lynne's_Tab234"/>
      <sheetName val="SU14_Detail234"/>
      <sheetName val="Category_Callouts234"/>
      <sheetName val="Cap_Scenario234"/>
      <sheetName val="Subcapacity_outsoles_234"/>
      <sheetName val="PA_Scenarios234"/>
      <sheetName val="PA_Transfer_Summary234"/>
      <sheetName val="Monthly_Loading_-Summary234"/>
      <sheetName val="Monthly_Loading-PB_Data234"/>
      <sheetName val="Monthly_Loading-PrevOTP_Data234"/>
      <sheetName val="Data_Refresh234"/>
      <sheetName val="SUMM_LOADING_233"/>
      <sheetName val="Raw_Data_Sheet233"/>
      <sheetName val="IA_1233"/>
      <sheetName val="DATA_MOLD_NEW_BALANCE233"/>
      <sheetName val="SSAI_IP_ORDER233"/>
      <sheetName val="Cutting_Dies_233"/>
      <sheetName val="Indirect_List219"/>
      <sheetName val="BASIS_DATA219"/>
      <sheetName val="SUBCONT_STATUS219"/>
      <sheetName val="cumulus_16164"/>
      <sheetName val="EAM_INVENTORY129"/>
      <sheetName val="Maintenance_Work_Order129"/>
      <sheetName val="Vietnam_Report91"/>
      <sheetName val="5_수정데이터통합91"/>
      <sheetName val="CT__PL90"/>
      <sheetName val="CT_Thang_Mo90"/>
      <sheetName val="Chi_tiet90"/>
      <sheetName val="CTTR_Transfer_Type237"/>
      <sheetName val="GFP_Type237"/>
      <sheetName val="GFP_Reasons237"/>
      <sheetName val="LAST_YEARS_CS236"/>
      <sheetName val="Fct_Sum_2_SeasonView233"/>
      <sheetName val="F1_Scenarios233"/>
      <sheetName val="Fct_Summary233"/>
      <sheetName val="Chris'_Tab233"/>
      <sheetName val="OTP_Summary_Result233"/>
      <sheetName val="OTP_Projection233"/>
      <sheetName val="Monthly_Loading233"/>
      <sheetName val="OTP_Source233"/>
      <sheetName val="FA14_Detail233"/>
      <sheetName val="Lynne's_Tab233"/>
      <sheetName val="SU14_Detail233"/>
      <sheetName val="Category_Callouts233"/>
      <sheetName val="Cap_Scenario233"/>
      <sheetName val="Subcapacity_outsoles_233"/>
      <sheetName val="PA_Scenarios233"/>
      <sheetName val="PA_Transfer_Summary233"/>
      <sheetName val="Monthly_Loading_-Summary233"/>
      <sheetName val="Monthly_Loading-PB_Data233"/>
      <sheetName val="Monthly_Loading-PrevOTP_Data233"/>
      <sheetName val="Data_Refresh233"/>
      <sheetName val="SUMM_LOADING_232"/>
      <sheetName val="Raw_Data_Sheet232"/>
      <sheetName val="IA_1232"/>
      <sheetName val="DATA_MOLD_NEW_BALANCE232"/>
      <sheetName val="SSAI_IP_ORDER232"/>
      <sheetName val="Cutting_Dies_232"/>
      <sheetName val="Indirect_List218"/>
      <sheetName val="BASIS_DATA218"/>
      <sheetName val="SUBCONT_STATUS218"/>
      <sheetName val="cumulus_16163"/>
      <sheetName val="EAM_INVENTORY128"/>
      <sheetName val="Maintenance_Work_Order128"/>
      <sheetName val="Vietnam_Report90"/>
      <sheetName val="5_수정데이터통합90"/>
      <sheetName val="CT__PL89"/>
      <sheetName val="CT_Thang_Mo89"/>
      <sheetName val="Chi_tiet89"/>
      <sheetName val="CTTR_Transfer_Type248"/>
      <sheetName val="GFP_Type248"/>
      <sheetName val="GFP_Reasons248"/>
      <sheetName val="LAST_YEARS_CS247"/>
      <sheetName val="Fct_Sum_2_SeasonView244"/>
      <sheetName val="F1_Scenarios244"/>
      <sheetName val="Fct_Summary244"/>
      <sheetName val="Chris'_Tab244"/>
      <sheetName val="OTP_Summary_Result244"/>
      <sheetName val="OTP_Projection244"/>
      <sheetName val="Monthly_Loading244"/>
      <sheetName val="OTP_Source244"/>
      <sheetName val="FA14_Detail244"/>
      <sheetName val="Lynne's_Tab244"/>
      <sheetName val="SU14_Detail244"/>
      <sheetName val="Category_Callouts244"/>
      <sheetName val="Cap_Scenario244"/>
      <sheetName val="Subcapacity_outsoles_244"/>
      <sheetName val="PA_Scenarios244"/>
      <sheetName val="PA_Transfer_Summary244"/>
      <sheetName val="Monthly_Loading_-Summary244"/>
      <sheetName val="Monthly_Loading-PB_Data244"/>
      <sheetName val="Monthly_Loading-PrevOTP_Data244"/>
      <sheetName val="Data_Refresh244"/>
      <sheetName val="SUMM_LOADING_243"/>
      <sheetName val="Raw_Data_Sheet243"/>
      <sheetName val="IA_1243"/>
      <sheetName val="DATA_MOLD_NEW_BALANCE243"/>
      <sheetName val="SSAI_IP_ORDER243"/>
      <sheetName val="Cutting_Dies_243"/>
      <sheetName val="Indirect_List229"/>
      <sheetName val="BASIS_DATA229"/>
      <sheetName val="SUBCONT_STATUS229"/>
      <sheetName val="cumulus_16174"/>
      <sheetName val="EAM_INVENTORY139"/>
      <sheetName val="Maintenance_Work_Order139"/>
      <sheetName val="Vietnam_Report101"/>
      <sheetName val="5_수정데이터통합101"/>
      <sheetName val="CT__PL100"/>
      <sheetName val="CT_Thang_Mo100"/>
      <sheetName val="Chi_tiet100"/>
      <sheetName val="CTTR_Transfer_Type239"/>
      <sheetName val="GFP_Type239"/>
      <sheetName val="GFP_Reasons239"/>
      <sheetName val="LAST_YEARS_CS238"/>
      <sheetName val="Fct_Sum_2_SeasonView235"/>
      <sheetName val="F1_Scenarios235"/>
      <sheetName val="Fct_Summary235"/>
      <sheetName val="Chris'_Tab235"/>
      <sheetName val="OTP_Summary_Result235"/>
      <sheetName val="OTP_Projection235"/>
      <sheetName val="Monthly_Loading235"/>
      <sheetName val="OTP_Source235"/>
      <sheetName val="FA14_Detail235"/>
      <sheetName val="Lynne's_Tab235"/>
      <sheetName val="SU14_Detail235"/>
      <sheetName val="Category_Callouts235"/>
      <sheetName val="Cap_Scenario235"/>
      <sheetName val="Subcapacity_outsoles_235"/>
      <sheetName val="PA_Scenarios235"/>
      <sheetName val="PA_Transfer_Summary235"/>
      <sheetName val="Monthly_Loading_-Summary235"/>
      <sheetName val="Monthly_Loading-PB_Data235"/>
      <sheetName val="Monthly_Loading-PrevOTP_Data235"/>
      <sheetName val="Data_Refresh235"/>
      <sheetName val="SUMM_LOADING_234"/>
      <sheetName val="Raw_Data_Sheet234"/>
      <sheetName val="IA_1234"/>
      <sheetName val="DATA_MOLD_NEW_BALANCE234"/>
      <sheetName val="SSAI_IP_ORDER234"/>
      <sheetName val="Cutting_Dies_234"/>
      <sheetName val="Indirect_List220"/>
      <sheetName val="BASIS_DATA220"/>
      <sheetName val="SUBCONT_STATUS220"/>
      <sheetName val="cumulus_16165"/>
      <sheetName val="EAM_INVENTORY130"/>
      <sheetName val="Maintenance_Work_Order130"/>
      <sheetName val="Vietnam_Report92"/>
      <sheetName val="5_수정데이터통합92"/>
      <sheetName val="CT__PL91"/>
      <sheetName val="CT_Thang_Mo91"/>
      <sheetName val="Chi_tiet91"/>
      <sheetName val="CTTR_Transfer_Type240"/>
      <sheetName val="GFP_Type240"/>
      <sheetName val="GFP_Reasons240"/>
      <sheetName val="LAST_YEARS_CS239"/>
      <sheetName val="Fct_Sum_2_SeasonView236"/>
      <sheetName val="F1_Scenarios236"/>
      <sheetName val="Fct_Summary236"/>
      <sheetName val="Chris'_Tab236"/>
      <sheetName val="OTP_Summary_Result236"/>
      <sheetName val="OTP_Projection236"/>
      <sheetName val="Monthly_Loading236"/>
      <sheetName val="OTP_Source236"/>
      <sheetName val="FA14_Detail236"/>
      <sheetName val="Lynne's_Tab236"/>
      <sheetName val="SU14_Detail236"/>
      <sheetName val="Category_Callouts236"/>
      <sheetName val="Cap_Scenario236"/>
      <sheetName val="Subcapacity_outsoles_236"/>
      <sheetName val="PA_Scenarios236"/>
      <sheetName val="PA_Transfer_Summary236"/>
      <sheetName val="Monthly_Loading_-Summary236"/>
      <sheetName val="Monthly_Loading-PB_Data236"/>
      <sheetName val="Monthly_Loading-PrevOTP_Data236"/>
      <sheetName val="Data_Refresh236"/>
      <sheetName val="SUMM_LOADING_235"/>
      <sheetName val="Raw_Data_Sheet235"/>
      <sheetName val="IA_1235"/>
      <sheetName val="DATA_MOLD_NEW_BALANCE235"/>
      <sheetName val="SSAI_IP_ORDER235"/>
      <sheetName val="Cutting_Dies_235"/>
      <sheetName val="Indirect_List221"/>
      <sheetName val="BASIS_DATA221"/>
      <sheetName val="SUBCONT_STATUS221"/>
      <sheetName val="cumulus_16166"/>
      <sheetName val="EAM_INVENTORY131"/>
      <sheetName val="Maintenance_Work_Order131"/>
      <sheetName val="Vietnam_Report93"/>
      <sheetName val="5_수정데이터통합93"/>
      <sheetName val="CT__PL92"/>
      <sheetName val="CT_Thang_Mo92"/>
      <sheetName val="Chi_tiet92"/>
      <sheetName val="CTTR_Transfer_Type241"/>
      <sheetName val="GFP_Type241"/>
      <sheetName val="GFP_Reasons241"/>
      <sheetName val="LAST_YEARS_CS240"/>
      <sheetName val="Fct_Sum_2_SeasonView237"/>
      <sheetName val="F1_Scenarios237"/>
      <sheetName val="Fct_Summary237"/>
      <sheetName val="Chris'_Tab237"/>
      <sheetName val="OTP_Summary_Result237"/>
      <sheetName val="OTP_Projection237"/>
      <sheetName val="Monthly_Loading237"/>
      <sheetName val="OTP_Source237"/>
      <sheetName val="FA14_Detail237"/>
      <sheetName val="Lynne's_Tab237"/>
      <sheetName val="SU14_Detail237"/>
      <sheetName val="Category_Callouts237"/>
      <sheetName val="Cap_Scenario237"/>
      <sheetName val="Subcapacity_outsoles_237"/>
      <sheetName val="PA_Scenarios237"/>
      <sheetName val="PA_Transfer_Summary237"/>
      <sheetName val="Monthly_Loading_-Summary237"/>
      <sheetName val="Monthly_Loading-PB_Data237"/>
      <sheetName val="Monthly_Loading-PrevOTP_Data237"/>
      <sheetName val="Data_Refresh237"/>
      <sheetName val="SUMM_LOADING_236"/>
      <sheetName val="Raw_Data_Sheet236"/>
      <sheetName val="IA_1236"/>
      <sheetName val="DATA_MOLD_NEW_BALANCE236"/>
      <sheetName val="SSAI_IP_ORDER236"/>
      <sheetName val="Cutting_Dies_236"/>
      <sheetName val="Indirect_List222"/>
      <sheetName val="BASIS_DATA222"/>
      <sheetName val="SUBCONT_STATUS222"/>
      <sheetName val="cumulus_16167"/>
      <sheetName val="EAM_INVENTORY132"/>
      <sheetName val="Maintenance_Work_Order132"/>
      <sheetName val="Vietnam_Report94"/>
      <sheetName val="5_수정데이터통합94"/>
      <sheetName val="CT__PL93"/>
      <sheetName val="CT_Thang_Mo93"/>
      <sheetName val="Chi_tiet93"/>
      <sheetName val="CTTR_Transfer_Type242"/>
      <sheetName val="GFP_Type242"/>
      <sheetName val="GFP_Reasons242"/>
      <sheetName val="LAST_YEARS_CS241"/>
      <sheetName val="Fct_Sum_2_SeasonView238"/>
      <sheetName val="F1_Scenarios238"/>
      <sheetName val="Fct_Summary238"/>
      <sheetName val="Chris'_Tab238"/>
      <sheetName val="OTP_Summary_Result238"/>
      <sheetName val="OTP_Projection238"/>
      <sheetName val="Monthly_Loading238"/>
      <sheetName val="OTP_Source238"/>
      <sheetName val="FA14_Detail238"/>
      <sheetName val="Lynne's_Tab238"/>
      <sheetName val="SU14_Detail238"/>
      <sheetName val="Category_Callouts238"/>
      <sheetName val="Cap_Scenario238"/>
      <sheetName val="Subcapacity_outsoles_238"/>
      <sheetName val="PA_Scenarios238"/>
      <sheetName val="PA_Transfer_Summary238"/>
      <sheetName val="Monthly_Loading_-Summary238"/>
      <sheetName val="Monthly_Loading-PB_Data238"/>
      <sheetName val="Monthly_Loading-PrevOTP_Data238"/>
      <sheetName val="Data_Refresh238"/>
      <sheetName val="SUMM_LOADING_237"/>
      <sheetName val="Raw_Data_Sheet237"/>
      <sheetName val="IA_1237"/>
      <sheetName val="DATA_MOLD_NEW_BALANCE237"/>
      <sheetName val="SSAI_IP_ORDER237"/>
      <sheetName val="Cutting_Dies_237"/>
      <sheetName val="Indirect_List223"/>
      <sheetName val="BASIS_DATA223"/>
      <sheetName val="SUBCONT_STATUS223"/>
      <sheetName val="cumulus_16168"/>
      <sheetName val="EAM_INVENTORY133"/>
      <sheetName val="Maintenance_Work_Order133"/>
      <sheetName val="Vietnam_Report95"/>
      <sheetName val="5_수정데이터통합95"/>
      <sheetName val="CT__PL94"/>
      <sheetName val="CT_Thang_Mo94"/>
      <sheetName val="Chi_tiet94"/>
      <sheetName val="CTTR_Transfer_Type243"/>
      <sheetName val="GFP_Type243"/>
      <sheetName val="GFP_Reasons243"/>
      <sheetName val="LAST_YEARS_CS242"/>
      <sheetName val="Fct_Sum_2_SeasonView239"/>
      <sheetName val="F1_Scenarios239"/>
      <sheetName val="Fct_Summary239"/>
      <sheetName val="Chris'_Tab239"/>
      <sheetName val="OTP_Summary_Result239"/>
      <sheetName val="OTP_Projection239"/>
      <sheetName val="Monthly_Loading239"/>
      <sheetName val="OTP_Source239"/>
      <sheetName val="FA14_Detail239"/>
      <sheetName val="Lynne's_Tab239"/>
      <sheetName val="SU14_Detail239"/>
      <sheetName val="Category_Callouts239"/>
      <sheetName val="Cap_Scenario239"/>
      <sheetName val="Subcapacity_outsoles_239"/>
      <sheetName val="PA_Scenarios239"/>
      <sheetName val="PA_Transfer_Summary239"/>
      <sheetName val="Monthly_Loading_-Summary239"/>
      <sheetName val="Monthly_Loading-PB_Data239"/>
      <sheetName val="Monthly_Loading-PrevOTP_Data239"/>
      <sheetName val="Data_Refresh239"/>
      <sheetName val="SUMM_LOADING_238"/>
      <sheetName val="Raw_Data_Sheet238"/>
      <sheetName val="IA_1238"/>
      <sheetName val="DATA_MOLD_NEW_BALANCE238"/>
      <sheetName val="SSAI_IP_ORDER238"/>
      <sheetName val="Cutting_Dies_238"/>
      <sheetName val="Indirect_List224"/>
      <sheetName val="BASIS_DATA224"/>
      <sheetName val="SUBCONT_STATUS224"/>
      <sheetName val="cumulus_16169"/>
      <sheetName val="EAM_INVENTORY134"/>
      <sheetName val="Maintenance_Work_Order134"/>
      <sheetName val="Vietnam_Report96"/>
      <sheetName val="5_수정데이터통합96"/>
      <sheetName val="CT__PL95"/>
      <sheetName val="CT_Thang_Mo95"/>
      <sheetName val="Chi_tiet95"/>
      <sheetName val="CTTR_Transfer_Type244"/>
      <sheetName val="GFP_Type244"/>
      <sheetName val="GFP_Reasons244"/>
      <sheetName val="LAST_YEARS_CS243"/>
      <sheetName val="Fct_Sum_2_SeasonView240"/>
      <sheetName val="F1_Scenarios240"/>
      <sheetName val="Fct_Summary240"/>
      <sheetName val="Chris'_Tab240"/>
      <sheetName val="OTP_Summary_Result240"/>
      <sheetName val="OTP_Projection240"/>
      <sheetName val="Monthly_Loading240"/>
      <sheetName val="OTP_Source240"/>
      <sheetName val="FA14_Detail240"/>
      <sheetName val="Lynne's_Tab240"/>
      <sheetName val="SU14_Detail240"/>
      <sheetName val="Category_Callouts240"/>
      <sheetName val="Cap_Scenario240"/>
      <sheetName val="Subcapacity_outsoles_240"/>
      <sheetName val="PA_Scenarios240"/>
      <sheetName val="PA_Transfer_Summary240"/>
      <sheetName val="Monthly_Loading_-Summary240"/>
      <sheetName val="Monthly_Loading-PB_Data240"/>
      <sheetName val="Monthly_Loading-PrevOTP_Data240"/>
      <sheetName val="Data_Refresh240"/>
      <sheetName val="SUMM_LOADING_239"/>
      <sheetName val="Raw_Data_Sheet239"/>
      <sheetName val="IA_1239"/>
      <sheetName val="DATA_MOLD_NEW_BALANCE239"/>
      <sheetName val="SSAI_IP_ORDER239"/>
      <sheetName val="Cutting_Dies_239"/>
      <sheetName val="Indirect_List225"/>
      <sheetName val="BASIS_DATA225"/>
      <sheetName val="SUBCONT_STATUS225"/>
      <sheetName val="cumulus_16170"/>
      <sheetName val="EAM_INVENTORY135"/>
      <sheetName val="Maintenance_Work_Order135"/>
      <sheetName val="Vietnam_Report97"/>
      <sheetName val="5_수정데이터통합97"/>
      <sheetName val="CT__PL96"/>
      <sheetName val="CT_Thang_Mo96"/>
      <sheetName val="Chi_tiet96"/>
      <sheetName val="CTTR_Transfer_Type245"/>
      <sheetName val="GFP_Type245"/>
      <sheetName val="GFP_Reasons245"/>
      <sheetName val="LAST_YEARS_CS244"/>
      <sheetName val="Fct_Sum_2_SeasonView241"/>
      <sheetName val="F1_Scenarios241"/>
      <sheetName val="Fct_Summary241"/>
      <sheetName val="Chris'_Tab241"/>
      <sheetName val="OTP_Summary_Result241"/>
      <sheetName val="OTP_Projection241"/>
      <sheetName val="Monthly_Loading241"/>
      <sheetName val="OTP_Source241"/>
      <sheetName val="FA14_Detail241"/>
      <sheetName val="Lynne's_Tab241"/>
      <sheetName val="SU14_Detail241"/>
      <sheetName val="Category_Callouts241"/>
      <sheetName val="Cap_Scenario241"/>
      <sheetName val="Subcapacity_outsoles_241"/>
      <sheetName val="PA_Scenarios241"/>
      <sheetName val="PA_Transfer_Summary241"/>
      <sheetName val="Monthly_Loading_-Summary241"/>
      <sheetName val="Monthly_Loading-PB_Data241"/>
      <sheetName val="Monthly_Loading-PrevOTP_Data241"/>
      <sheetName val="Data_Refresh241"/>
      <sheetName val="SUMM_LOADING_240"/>
      <sheetName val="Raw_Data_Sheet240"/>
      <sheetName val="IA_1240"/>
      <sheetName val="DATA_MOLD_NEW_BALANCE240"/>
      <sheetName val="SSAI_IP_ORDER240"/>
      <sheetName val="Cutting_Dies_240"/>
      <sheetName val="Indirect_List226"/>
      <sheetName val="BASIS_DATA226"/>
      <sheetName val="SUBCONT_STATUS226"/>
      <sheetName val="cumulus_16171"/>
      <sheetName val="EAM_INVENTORY136"/>
      <sheetName val="Maintenance_Work_Order136"/>
      <sheetName val="Vietnam_Report98"/>
      <sheetName val="5_수정데이터통합98"/>
      <sheetName val="CT__PL97"/>
      <sheetName val="CT_Thang_Mo97"/>
      <sheetName val="Chi_tiet97"/>
      <sheetName val="CTTR_Transfer_Type246"/>
      <sheetName val="GFP_Type246"/>
      <sheetName val="GFP_Reasons246"/>
      <sheetName val="LAST_YEARS_CS245"/>
      <sheetName val="Fct_Sum_2_SeasonView242"/>
      <sheetName val="F1_Scenarios242"/>
      <sheetName val="Fct_Summary242"/>
      <sheetName val="Chris'_Tab242"/>
      <sheetName val="OTP_Summary_Result242"/>
      <sheetName val="OTP_Projection242"/>
      <sheetName val="Monthly_Loading242"/>
      <sheetName val="OTP_Source242"/>
      <sheetName val="FA14_Detail242"/>
      <sheetName val="Lynne's_Tab242"/>
      <sheetName val="SU14_Detail242"/>
      <sheetName val="Category_Callouts242"/>
      <sheetName val="Cap_Scenario242"/>
      <sheetName val="Subcapacity_outsoles_242"/>
      <sheetName val="PA_Scenarios242"/>
      <sheetName val="PA_Transfer_Summary242"/>
      <sheetName val="Monthly_Loading_-Summary242"/>
      <sheetName val="Monthly_Loading-PB_Data242"/>
      <sheetName val="Monthly_Loading-PrevOTP_Data242"/>
      <sheetName val="Data_Refresh242"/>
      <sheetName val="SUMM_LOADING_241"/>
      <sheetName val="Raw_Data_Sheet241"/>
      <sheetName val="IA_1241"/>
      <sheetName val="DATA_MOLD_NEW_BALANCE241"/>
      <sheetName val="SSAI_IP_ORDER241"/>
      <sheetName val="Cutting_Dies_241"/>
      <sheetName val="Indirect_List227"/>
      <sheetName val="BASIS_DATA227"/>
      <sheetName val="SUBCONT_STATUS227"/>
      <sheetName val="cumulus_16172"/>
      <sheetName val="EAM_INVENTORY137"/>
      <sheetName val="Maintenance_Work_Order137"/>
      <sheetName val="Vietnam_Report99"/>
      <sheetName val="5_수정데이터통합99"/>
      <sheetName val="CT__PL98"/>
      <sheetName val="CT_Thang_Mo98"/>
      <sheetName val="Chi_tiet98"/>
      <sheetName val="CTTR_Transfer_Type247"/>
      <sheetName val="GFP_Type247"/>
      <sheetName val="GFP_Reasons247"/>
      <sheetName val="LAST_YEARS_CS246"/>
      <sheetName val="Fct_Sum_2_SeasonView243"/>
      <sheetName val="F1_Scenarios243"/>
      <sheetName val="Fct_Summary243"/>
      <sheetName val="Chris'_Tab243"/>
      <sheetName val="OTP_Summary_Result243"/>
      <sheetName val="OTP_Projection243"/>
      <sheetName val="Monthly_Loading243"/>
      <sheetName val="OTP_Source243"/>
      <sheetName val="FA14_Detail243"/>
      <sheetName val="Lynne's_Tab243"/>
      <sheetName val="SU14_Detail243"/>
      <sheetName val="Category_Callouts243"/>
      <sheetName val="Cap_Scenario243"/>
      <sheetName val="Subcapacity_outsoles_243"/>
      <sheetName val="PA_Scenarios243"/>
      <sheetName val="PA_Transfer_Summary243"/>
      <sheetName val="Monthly_Loading_-Summary243"/>
      <sheetName val="Monthly_Loading-PB_Data243"/>
      <sheetName val="Monthly_Loading-PrevOTP_Data243"/>
      <sheetName val="Data_Refresh243"/>
      <sheetName val="SUMM_LOADING_242"/>
      <sheetName val="Raw_Data_Sheet242"/>
      <sheetName val="IA_1242"/>
      <sheetName val="DATA_MOLD_NEW_BALANCE242"/>
      <sheetName val="SSAI_IP_ORDER242"/>
      <sheetName val="Cutting_Dies_242"/>
      <sheetName val="Indirect_List228"/>
      <sheetName val="BASIS_DATA228"/>
      <sheetName val="SUBCONT_STATUS228"/>
      <sheetName val="cumulus_16173"/>
      <sheetName val="EAM_INVENTORY138"/>
      <sheetName val="Maintenance_Work_Order138"/>
      <sheetName val="Vietnam_Report100"/>
      <sheetName val="5_수정데이터통합100"/>
      <sheetName val="CT__PL99"/>
      <sheetName val="CT_Thang_Mo99"/>
      <sheetName val="Chi_tiet99"/>
      <sheetName val="CTTR_Transfer_Type249"/>
      <sheetName val="GFP_Type249"/>
      <sheetName val="GFP_Reasons249"/>
      <sheetName val="LAST_YEARS_CS248"/>
      <sheetName val="Fct_Sum_2_SeasonView245"/>
      <sheetName val="F1_Scenarios245"/>
      <sheetName val="Fct_Summary245"/>
      <sheetName val="Chris'_Tab245"/>
      <sheetName val="OTP_Summary_Result245"/>
      <sheetName val="OTP_Projection245"/>
      <sheetName val="Monthly_Loading245"/>
      <sheetName val="OTP_Source245"/>
      <sheetName val="FA14_Detail245"/>
      <sheetName val="Lynne's_Tab245"/>
      <sheetName val="SU14_Detail245"/>
      <sheetName val="Category_Callouts245"/>
      <sheetName val="Cap_Scenario245"/>
      <sheetName val="Subcapacity_outsoles_245"/>
      <sheetName val="PA_Scenarios245"/>
      <sheetName val="PA_Transfer_Summary245"/>
      <sheetName val="Monthly_Loading_-Summary245"/>
      <sheetName val="Monthly_Loading-PB_Data245"/>
      <sheetName val="Monthly_Loading-PrevOTP_Data245"/>
      <sheetName val="Data_Refresh245"/>
      <sheetName val="SUMM_LOADING_244"/>
      <sheetName val="Raw_Data_Sheet244"/>
      <sheetName val="IA_1244"/>
      <sheetName val="DATA_MOLD_NEW_BALANCE244"/>
      <sheetName val="SSAI_IP_ORDER244"/>
      <sheetName val="Cutting_Dies_244"/>
      <sheetName val="Indirect_List230"/>
      <sheetName val="BASIS_DATA230"/>
      <sheetName val="SUBCONT_STATUS230"/>
      <sheetName val="cumulus_16175"/>
      <sheetName val="EAM_INVENTORY140"/>
      <sheetName val="Maintenance_Work_Order140"/>
      <sheetName val="Vietnam_Report102"/>
      <sheetName val="5_수정데이터통합102"/>
      <sheetName val="CT__PL101"/>
      <sheetName val="CT_Thang_Mo101"/>
      <sheetName val="Chi_tiet101"/>
      <sheetName val="CTTR_Transfer_Type250"/>
      <sheetName val="GFP_Type250"/>
      <sheetName val="GFP_Reasons250"/>
      <sheetName val="LAST_YEARS_CS249"/>
      <sheetName val="Fct_Sum_2_SeasonView246"/>
      <sheetName val="F1_Scenarios246"/>
      <sheetName val="Fct_Summary246"/>
      <sheetName val="Chris'_Tab246"/>
      <sheetName val="OTP_Summary_Result246"/>
      <sheetName val="OTP_Projection246"/>
      <sheetName val="Monthly_Loading246"/>
      <sheetName val="OTP_Source246"/>
      <sheetName val="FA14_Detail246"/>
      <sheetName val="Lynne's_Tab246"/>
      <sheetName val="SU14_Detail246"/>
      <sheetName val="Category_Callouts246"/>
      <sheetName val="Cap_Scenario246"/>
      <sheetName val="Subcapacity_outsoles_246"/>
      <sheetName val="PA_Scenarios246"/>
      <sheetName val="PA_Transfer_Summary246"/>
      <sheetName val="Monthly_Loading_-Summary246"/>
      <sheetName val="Monthly_Loading-PB_Data246"/>
      <sheetName val="Monthly_Loading-PrevOTP_Data246"/>
      <sheetName val="Data_Refresh246"/>
      <sheetName val="SUMM_LOADING_245"/>
      <sheetName val="Raw_Data_Sheet245"/>
      <sheetName val="IA_1245"/>
      <sheetName val="DATA_MOLD_NEW_BALANCE245"/>
      <sheetName val="SSAI_IP_ORDER245"/>
      <sheetName val="Cutting_Dies_245"/>
      <sheetName val="Indirect_List231"/>
      <sheetName val="BASIS_DATA231"/>
      <sheetName val="SUBCONT_STATUS231"/>
      <sheetName val="cumulus_16176"/>
      <sheetName val="EAM_INVENTORY141"/>
      <sheetName val="Maintenance_Work_Order141"/>
      <sheetName val="Vietnam_Report103"/>
      <sheetName val="5_수정데이터통합103"/>
      <sheetName val="CT__PL102"/>
      <sheetName val="CT_Thang_Mo102"/>
      <sheetName val="Chi_tiet102"/>
      <sheetName val="CTTR_Transfer_Type251"/>
      <sheetName val="GFP_Type251"/>
      <sheetName val="GFP_Reasons251"/>
      <sheetName val="LAST_YEARS_CS250"/>
      <sheetName val="Fct_Sum_2_SeasonView247"/>
      <sheetName val="F1_Scenarios247"/>
      <sheetName val="Fct_Summary247"/>
      <sheetName val="Chris'_Tab247"/>
      <sheetName val="OTP_Summary_Result247"/>
      <sheetName val="OTP_Projection247"/>
      <sheetName val="Monthly_Loading247"/>
      <sheetName val="OTP_Source247"/>
      <sheetName val="FA14_Detail247"/>
      <sheetName val="Lynne's_Tab247"/>
      <sheetName val="SU14_Detail247"/>
      <sheetName val="Category_Callouts247"/>
      <sheetName val="Cap_Scenario247"/>
      <sheetName val="Subcapacity_outsoles_247"/>
      <sheetName val="PA_Scenarios247"/>
      <sheetName val="PA_Transfer_Summary247"/>
      <sheetName val="Monthly_Loading_-Summary247"/>
      <sheetName val="Monthly_Loading-PB_Data247"/>
      <sheetName val="Monthly_Loading-PrevOTP_Data247"/>
      <sheetName val="Data_Refresh247"/>
      <sheetName val="SUMM_LOADING_246"/>
      <sheetName val="Raw_Data_Sheet246"/>
      <sheetName val="IA_1246"/>
      <sheetName val="DATA_MOLD_NEW_BALANCE246"/>
      <sheetName val="SSAI_IP_ORDER246"/>
      <sheetName val="Cutting_Dies_246"/>
      <sheetName val="Indirect_List232"/>
      <sheetName val="BASIS_DATA232"/>
      <sheetName val="SUBCONT_STATUS232"/>
      <sheetName val="cumulus_16177"/>
      <sheetName val="EAM_INVENTORY142"/>
      <sheetName val="Maintenance_Work_Order142"/>
      <sheetName val="Vietnam_Report104"/>
      <sheetName val="5_수정데이터통합104"/>
      <sheetName val="CT__PL103"/>
      <sheetName val="CT_Thang_Mo103"/>
      <sheetName val="Chi_tiet103"/>
      <sheetName val="CTTR_Transfer_Type255"/>
      <sheetName val="GFP_Type255"/>
      <sheetName val="GFP_Reasons255"/>
      <sheetName val="LAST_YEARS_CS254"/>
      <sheetName val="Fct_Sum_2_SeasonView251"/>
      <sheetName val="F1_Scenarios251"/>
      <sheetName val="Fct_Summary251"/>
      <sheetName val="Chris'_Tab251"/>
      <sheetName val="OTP_Summary_Result251"/>
      <sheetName val="OTP_Projection251"/>
      <sheetName val="Monthly_Loading251"/>
      <sheetName val="OTP_Source251"/>
      <sheetName val="FA14_Detail251"/>
      <sheetName val="Lynne's_Tab251"/>
      <sheetName val="SU14_Detail251"/>
      <sheetName val="Category_Callouts251"/>
      <sheetName val="Cap_Scenario251"/>
      <sheetName val="Subcapacity_outsoles_251"/>
      <sheetName val="PA_Scenarios251"/>
      <sheetName val="PA_Transfer_Summary251"/>
      <sheetName val="Monthly_Loading_-Summary251"/>
      <sheetName val="Monthly_Loading-PB_Data251"/>
      <sheetName val="Monthly_Loading-PrevOTP_Data251"/>
      <sheetName val="Data_Refresh251"/>
      <sheetName val="SUMM_LOADING_250"/>
      <sheetName val="Raw_Data_Sheet250"/>
      <sheetName val="IA_1250"/>
      <sheetName val="DATA_MOLD_NEW_BALANCE250"/>
      <sheetName val="SSAI_IP_ORDER250"/>
      <sheetName val="Cutting_Dies_250"/>
      <sheetName val="Indirect_List236"/>
      <sheetName val="BASIS_DATA236"/>
      <sheetName val="SUBCONT_STATUS236"/>
      <sheetName val="cumulus_16181"/>
      <sheetName val="EAM_INVENTORY146"/>
      <sheetName val="Maintenance_Work_Order146"/>
      <sheetName val="Vietnam_Report108"/>
      <sheetName val="5_수정데이터통합108"/>
      <sheetName val="CT__PL107"/>
      <sheetName val="CT_Thang_Mo107"/>
      <sheetName val="Chi_tiet107"/>
      <sheetName val="CTTR_Transfer_Type252"/>
      <sheetName val="GFP_Type252"/>
      <sheetName val="GFP_Reasons252"/>
      <sheetName val="LAST_YEARS_CS251"/>
      <sheetName val="Fct_Sum_2_SeasonView248"/>
      <sheetName val="F1_Scenarios248"/>
      <sheetName val="Fct_Summary248"/>
      <sheetName val="Chris'_Tab248"/>
      <sheetName val="OTP_Summary_Result248"/>
      <sheetName val="OTP_Projection248"/>
      <sheetName val="Monthly_Loading248"/>
      <sheetName val="OTP_Source248"/>
      <sheetName val="FA14_Detail248"/>
      <sheetName val="Lynne's_Tab248"/>
      <sheetName val="SU14_Detail248"/>
      <sheetName val="Category_Callouts248"/>
      <sheetName val="Cap_Scenario248"/>
      <sheetName val="Subcapacity_outsoles_248"/>
      <sheetName val="PA_Scenarios248"/>
      <sheetName val="PA_Transfer_Summary248"/>
      <sheetName val="Monthly_Loading_-Summary248"/>
      <sheetName val="Monthly_Loading-PB_Data248"/>
      <sheetName val="Monthly_Loading-PrevOTP_Data248"/>
      <sheetName val="Data_Refresh248"/>
      <sheetName val="SUMM_LOADING_247"/>
      <sheetName val="Raw_Data_Sheet247"/>
      <sheetName val="IA_1247"/>
      <sheetName val="DATA_MOLD_NEW_BALANCE247"/>
      <sheetName val="SSAI_IP_ORDER247"/>
      <sheetName val="Cutting_Dies_247"/>
      <sheetName val="Indirect_List233"/>
      <sheetName val="BASIS_DATA233"/>
      <sheetName val="SUBCONT_STATUS233"/>
      <sheetName val="cumulus_16178"/>
      <sheetName val="EAM_INVENTORY143"/>
      <sheetName val="Maintenance_Work_Order143"/>
      <sheetName val="Vietnam_Report105"/>
      <sheetName val="5_수정데이터통합105"/>
      <sheetName val="CT__PL104"/>
      <sheetName val="CT_Thang_Mo104"/>
      <sheetName val="Chi_tiet104"/>
      <sheetName val="CTTR_Transfer_Type253"/>
      <sheetName val="GFP_Type253"/>
      <sheetName val="GFP_Reasons253"/>
      <sheetName val="LAST_YEARS_CS252"/>
      <sheetName val="Fct_Sum_2_SeasonView249"/>
      <sheetName val="F1_Scenarios249"/>
      <sheetName val="Fct_Summary249"/>
      <sheetName val="Chris'_Tab249"/>
      <sheetName val="OTP_Summary_Result249"/>
      <sheetName val="OTP_Projection249"/>
      <sheetName val="Monthly_Loading249"/>
      <sheetName val="OTP_Source249"/>
      <sheetName val="FA14_Detail249"/>
      <sheetName val="Lynne's_Tab249"/>
      <sheetName val="SU14_Detail249"/>
      <sheetName val="Category_Callouts249"/>
      <sheetName val="Cap_Scenario249"/>
      <sheetName val="Subcapacity_outsoles_249"/>
      <sheetName val="PA_Scenarios249"/>
      <sheetName val="PA_Transfer_Summary249"/>
      <sheetName val="Monthly_Loading_-Summary249"/>
      <sheetName val="Monthly_Loading-PB_Data249"/>
      <sheetName val="Monthly_Loading-PrevOTP_Data249"/>
      <sheetName val="Data_Refresh249"/>
      <sheetName val="SUMM_LOADING_248"/>
      <sheetName val="Raw_Data_Sheet248"/>
      <sheetName val="IA_1248"/>
      <sheetName val="DATA_MOLD_NEW_BALANCE248"/>
      <sheetName val="SSAI_IP_ORDER248"/>
      <sheetName val="Cutting_Dies_248"/>
      <sheetName val="Indirect_List234"/>
      <sheetName val="BASIS_DATA234"/>
      <sheetName val="SUBCONT_STATUS234"/>
      <sheetName val="cumulus_16179"/>
      <sheetName val="EAM_INVENTORY144"/>
      <sheetName val="Maintenance_Work_Order144"/>
      <sheetName val="Vietnam_Report106"/>
      <sheetName val="5_수정데이터통합106"/>
      <sheetName val="CT__PL105"/>
      <sheetName val="CT_Thang_Mo105"/>
      <sheetName val="Chi_tiet105"/>
      <sheetName val="CTTR_Transfer_Type254"/>
      <sheetName val="GFP_Type254"/>
      <sheetName val="GFP_Reasons254"/>
      <sheetName val="LAST_YEARS_CS253"/>
      <sheetName val="Fct_Sum_2_SeasonView250"/>
      <sheetName val="F1_Scenarios250"/>
      <sheetName val="Fct_Summary250"/>
      <sheetName val="Chris'_Tab250"/>
      <sheetName val="OTP_Summary_Result250"/>
      <sheetName val="OTP_Projection250"/>
      <sheetName val="Monthly_Loading250"/>
      <sheetName val="OTP_Source250"/>
      <sheetName val="FA14_Detail250"/>
      <sheetName val="Lynne's_Tab250"/>
      <sheetName val="SU14_Detail250"/>
      <sheetName val="Category_Callouts250"/>
      <sheetName val="Cap_Scenario250"/>
      <sheetName val="Subcapacity_outsoles_250"/>
      <sheetName val="PA_Scenarios250"/>
      <sheetName val="PA_Transfer_Summary250"/>
      <sheetName val="Monthly_Loading_-Summary250"/>
      <sheetName val="Monthly_Loading-PB_Data250"/>
      <sheetName val="Monthly_Loading-PrevOTP_Data250"/>
      <sheetName val="Data_Refresh250"/>
      <sheetName val="SUMM_LOADING_249"/>
      <sheetName val="Raw_Data_Sheet249"/>
      <sheetName val="IA_1249"/>
      <sheetName val="DATA_MOLD_NEW_BALANCE249"/>
      <sheetName val="SSAI_IP_ORDER249"/>
      <sheetName val="Cutting_Dies_249"/>
      <sheetName val="Indirect_List235"/>
      <sheetName val="BASIS_DATA235"/>
      <sheetName val="SUBCONT_STATUS235"/>
      <sheetName val="cumulus_16180"/>
      <sheetName val="EAM_INVENTORY145"/>
      <sheetName val="Maintenance_Work_Order145"/>
      <sheetName val="Vietnam_Report107"/>
      <sheetName val="5_수정데이터통합107"/>
      <sheetName val="CT__PL106"/>
      <sheetName val="CT_Thang_Mo106"/>
      <sheetName val="Chi_tiet106"/>
      <sheetName val="CTTR_Transfer_Type257"/>
      <sheetName val="GFP_Type257"/>
      <sheetName val="GFP_Reasons257"/>
      <sheetName val="LAST_YEARS_CS256"/>
      <sheetName val="Fct_Sum_2_SeasonView253"/>
      <sheetName val="F1_Scenarios253"/>
      <sheetName val="Fct_Summary253"/>
      <sheetName val="Chris'_Tab253"/>
      <sheetName val="OTP_Summary_Result253"/>
      <sheetName val="OTP_Projection253"/>
      <sheetName val="Monthly_Loading253"/>
      <sheetName val="OTP_Source253"/>
      <sheetName val="FA14_Detail253"/>
      <sheetName val="Lynne's_Tab253"/>
      <sheetName val="SU14_Detail253"/>
      <sheetName val="Category_Callouts253"/>
      <sheetName val="Cap_Scenario253"/>
      <sheetName val="Subcapacity_outsoles_253"/>
      <sheetName val="PA_Scenarios253"/>
      <sheetName val="PA_Transfer_Summary253"/>
      <sheetName val="Monthly_Loading_-Summary253"/>
      <sheetName val="Monthly_Loading-PB_Data253"/>
      <sheetName val="Monthly_Loading-PrevOTP_Data253"/>
      <sheetName val="Data_Refresh253"/>
      <sheetName val="SUMM_LOADING_252"/>
      <sheetName val="Raw_Data_Sheet252"/>
      <sheetName val="IA_1252"/>
      <sheetName val="DATA_MOLD_NEW_BALANCE252"/>
      <sheetName val="SSAI_IP_ORDER252"/>
      <sheetName val="Cutting_Dies_252"/>
      <sheetName val="Indirect_List238"/>
      <sheetName val="BASIS_DATA238"/>
      <sheetName val="SUBCONT_STATUS238"/>
      <sheetName val="cumulus_16183"/>
      <sheetName val="EAM_INVENTORY148"/>
      <sheetName val="Maintenance_Work_Order148"/>
      <sheetName val="Vietnam_Report110"/>
      <sheetName val="5_수정데이터통합110"/>
      <sheetName val="CT__PL109"/>
      <sheetName val="CT_Thang_Mo109"/>
      <sheetName val="Chi_tiet109"/>
      <sheetName val="CTTR_Transfer_Type256"/>
      <sheetName val="GFP_Type256"/>
      <sheetName val="GFP_Reasons256"/>
      <sheetName val="LAST_YEARS_CS255"/>
      <sheetName val="Fct_Sum_2_SeasonView252"/>
      <sheetName val="F1_Scenarios252"/>
      <sheetName val="Fct_Summary252"/>
      <sheetName val="Chris'_Tab252"/>
      <sheetName val="OTP_Summary_Result252"/>
      <sheetName val="OTP_Projection252"/>
      <sheetName val="Monthly_Loading252"/>
      <sheetName val="OTP_Source252"/>
      <sheetName val="FA14_Detail252"/>
      <sheetName val="Lynne's_Tab252"/>
      <sheetName val="SU14_Detail252"/>
      <sheetName val="Category_Callouts252"/>
      <sheetName val="Cap_Scenario252"/>
      <sheetName val="Subcapacity_outsoles_252"/>
      <sheetName val="PA_Scenarios252"/>
      <sheetName val="PA_Transfer_Summary252"/>
      <sheetName val="Monthly_Loading_-Summary252"/>
      <sheetName val="Monthly_Loading-PB_Data252"/>
      <sheetName val="Monthly_Loading-PrevOTP_Data252"/>
      <sheetName val="Data_Refresh252"/>
      <sheetName val="SUMM_LOADING_251"/>
      <sheetName val="Raw_Data_Sheet251"/>
      <sheetName val="IA_1251"/>
      <sheetName val="DATA_MOLD_NEW_BALANCE251"/>
      <sheetName val="SSAI_IP_ORDER251"/>
      <sheetName val="Cutting_Dies_251"/>
      <sheetName val="Indirect_List237"/>
      <sheetName val="BASIS_DATA237"/>
      <sheetName val="SUBCONT_STATUS237"/>
      <sheetName val="cumulus_16182"/>
      <sheetName val="EAM_INVENTORY147"/>
      <sheetName val="Maintenance_Work_Order147"/>
      <sheetName val="Vietnam_Report109"/>
      <sheetName val="5_수정데이터통합109"/>
      <sheetName val="CT__PL108"/>
      <sheetName val="CT_Thang_Mo108"/>
      <sheetName val="Chi_tiet108"/>
      <sheetName val="CTTR_Transfer_Type258"/>
      <sheetName val="GFP_Type258"/>
      <sheetName val="GFP_Reasons258"/>
      <sheetName val="LAST_YEARS_CS257"/>
      <sheetName val="Fct_Sum_2_SeasonView254"/>
      <sheetName val="F1_Scenarios254"/>
      <sheetName val="Fct_Summary254"/>
      <sheetName val="Chris'_Tab254"/>
      <sheetName val="OTP_Summary_Result254"/>
      <sheetName val="OTP_Projection254"/>
      <sheetName val="Monthly_Loading254"/>
      <sheetName val="OTP_Source254"/>
      <sheetName val="FA14_Detail254"/>
      <sheetName val="Lynne's_Tab254"/>
      <sheetName val="SU14_Detail254"/>
      <sheetName val="Category_Callouts254"/>
      <sheetName val="Cap_Scenario254"/>
      <sheetName val="Subcapacity_outsoles_254"/>
      <sheetName val="PA_Scenarios254"/>
      <sheetName val="PA_Transfer_Summary254"/>
      <sheetName val="Monthly_Loading_-Summary254"/>
      <sheetName val="Monthly_Loading-PB_Data254"/>
      <sheetName val="Monthly_Loading-PrevOTP_Data254"/>
      <sheetName val="Data_Refresh254"/>
      <sheetName val="SUMM_LOADING_253"/>
      <sheetName val="Raw_Data_Sheet253"/>
      <sheetName val="IA_1253"/>
      <sheetName val="DATA_MOLD_NEW_BALANCE253"/>
      <sheetName val="SSAI_IP_ORDER253"/>
      <sheetName val="Cutting_Dies_253"/>
      <sheetName val="Indirect_List239"/>
      <sheetName val="BASIS_DATA239"/>
      <sheetName val="SUBCONT_STATUS239"/>
      <sheetName val="cumulus_16184"/>
      <sheetName val="EAM_INVENTORY149"/>
      <sheetName val="Maintenance_Work_Order149"/>
      <sheetName val="Vietnam_Report111"/>
      <sheetName val="5_수정데이터통합111"/>
      <sheetName val="CT__PL110"/>
      <sheetName val="CT_Thang_Mo110"/>
      <sheetName val="Chi_tiet110"/>
      <sheetName val="CTTR_Transfer_Type259"/>
      <sheetName val="GFP_Type259"/>
      <sheetName val="GFP_Reasons259"/>
      <sheetName val="LAST_YEARS_CS258"/>
      <sheetName val="Fct_Sum_2_SeasonView255"/>
      <sheetName val="F1_Scenarios255"/>
      <sheetName val="Fct_Summary255"/>
      <sheetName val="Chris'_Tab255"/>
      <sheetName val="OTP_Summary_Result255"/>
      <sheetName val="OTP_Projection255"/>
      <sheetName val="Monthly_Loading255"/>
      <sheetName val="OTP_Source255"/>
      <sheetName val="FA14_Detail255"/>
      <sheetName val="Lynne's_Tab255"/>
      <sheetName val="SU14_Detail255"/>
      <sheetName val="Category_Callouts255"/>
      <sheetName val="Cap_Scenario255"/>
      <sheetName val="Subcapacity_outsoles_255"/>
      <sheetName val="PA_Scenarios255"/>
      <sheetName val="PA_Transfer_Summary255"/>
      <sheetName val="Monthly_Loading_-Summary255"/>
      <sheetName val="Monthly_Loading-PB_Data255"/>
      <sheetName val="Monthly_Loading-PrevOTP_Data255"/>
      <sheetName val="Data_Refresh255"/>
      <sheetName val="SUMM_LOADING_254"/>
      <sheetName val="Raw_Data_Sheet254"/>
      <sheetName val="IA_1254"/>
      <sheetName val="DATA_MOLD_NEW_BALANCE254"/>
      <sheetName val="SSAI_IP_ORDER254"/>
      <sheetName val="Cutting_Dies_254"/>
      <sheetName val="Indirect_List240"/>
      <sheetName val="BASIS_DATA240"/>
      <sheetName val="SUBCONT_STATUS240"/>
      <sheetName val="cumulus_16185"/>
      <sheetName val="EAM_INVENTORY150"/>
      <sheetName val="Maintenance_Work_Order150"/>
      <sheetName val="Vietnam_Report112"/>
      <sheetName val="5_수정데이터통합112"/>
      <sheetName val="CT__PL111"/>
      <sheetName val="CT_Thang_Mo111"/>
      <sheetName val="Chi_tiet111"/>
      <sheetName val="CTTR_Transfer_Type260"/>
      <sheetName val="GFP_Type260"/>
      <sheetName val="GFP_Reasons260"/>
      <sheetName val="LAST_YEARS_CS259"/>
      <sheetName val="Fct_Sum_2_SeasonView256"/>
      <sheetName val="F1_Scenarios256"/>
      <sheetName val="Fct_Summary256"/>
      <sheetName val="Chris'_Tab256"/>
      <sheetName val="OTP_Summary_Result256"/>
      <sheetName val="OTP_Projection256"/>
      <sheetName val="Monthly_Loading256"/>
      <sheetName val="OTP_Source256"/>
      <sheetName val="FA14_Detail256"/>
      <sheetName val="Lynne's_Tab256"/>
      <sheetName val="SU14_Detail256"/>
      <sheetName val="Category_Callouts256"/>
      <sheetName val="Cap_Scenario256"/>
      <sheetName val="Subcapacity_outsoles_256"/>
      <sheetName val="PA_Scenarios256"/>
      <sheetName val="PA_Transfer_Summary256"/>
      <sheetName val="Monthly_Loading_-Summary256"/>
      <sheetName val="Monthly_Loading-PB_Data256"/>
      <sheetName val="Monthly_Loading-PrevOTP_Data256"/>
      <sheetName val="Data_Refresh256"/>
      <sheetName val="SUMM_LOADING_255"/>
      <sheetName val="Raw_Data_Sheet255"/>
      <sheetName val="IA_1255"/>
      <sheetName val="DATA_MOLD_NEW_BALANCE255"/>
      <sheetName val="SSAI_IP_ORDER255"/>
      <sheetName val="Cutting_Dies_255"/>
      <sheetName val="Indirect_List241"/>
      <sheetName val="BASIS_DATA241"/>
      <sheetName val="SUBCONT_STATUS241"/>
      <sheetName val="cumulus_16186"/>
      <sheetName val="EAM_INVENTORY151"/>
      <sheetName val="Maintenance_Work_Order151"/>
      <sheetName val="Vietnam_Report113"/>
      <sheetName val="5_수정데이터통합113"/>
      <sheetName val="CT__PL112"/>
      <sheetName val="CT_Thang_Mo112"/>
      <sheetName val="Chi_tiet112"/>
      <sheetName val="CTTR_Transfer_Type261"/>
      <sheetName val="GFP_Type261"/>
      <sheetName val="GFP_Reasons261"/>
      <sheetName val="LAST_YEARS_CS260"/>
      <sheetName val="Fct_Sum_2_SeasonView257"/>
      <sheetName val="F1_Scenarios257"/>
      <sheetName val="Fct_Summary257"/>
      <sheetName val="Chris'_Tab257"/>
      <sheetName val="OTP_Summary_Result257"/>
      <sheetName val="OTP_Projection257"/>
      <sheetName val="Monthly_Loading257"/>
      <sheetName val="OTP_Source257"/>
      <sheetName val="FA14_Detail257"/>
      <sheetName val="Lynne's_Tab257"/>
      <sheetName val="SU14_Detail257"/>
      <sheetName val="Category_Callouts257"/>
      <sheetName val="Cap_Scenario257"/>
      <sheetName val="Subcapacity_outsoles_257"/>
      <sheetName val="PA_Scenarios257"/>
      <sheetName val="PA_Transfer_Summary257"/>
      <sheetName val="Monthly_Loading_-Summary257"/>
      <sheetName val="Monthly_Loading-PB_Data257"/>
      <sheetName val="Monthly_Loading-PrevOTP_Data257"/>
      <sheetName val="Data_Refresh257"/>
      <sheetName val="SUMM_LOADING_256"/>
      <sheetName val="Raw_Data_Sheet256"/>
      <sheetName val="IA_1256"/>
      <sheetName val="DATA_MOLD_NEW_BALANCE256"/>
      <sheetName val="SSAI_IP_ORDER256"/>
      <sheetName val="Cutting_Dies_256"/>
      <sheetName val="Indirect_List242"/>
      <sheetName val="BASIS_DATA242"/>
      <sheetName val="SUBCONT_STATUS242"/>
      <sheetName val="cumulus_16187"/>
      <sheetName val="EAM_INVENTORY152"/>
      <sheetName val="Maintenance_Work_Order152"/>
      <sheetName val="Vietnam_Report114"/>
      <sheetName val="5_수정데이터통합114"/>
      <sheetName val="CT__PL113"/>
      <sheetName val="CT_Thang_Mo113"/>
      <sheetName val="Chi_tiet113"/>
      <sheetName val="CTTR_Transfer_Type262"/>
      <sheetName val="GFP_Type262"/>
      <sheetName val="GFP_Reasons262"/>
      <sheetName val="LAST_YEARS_CS261"/>
      <sheetName val="Fct_Sum_2_SeasonView258"/>
      <sheetName val="F1_Scenarios258"/>
      <sheetName val="Fct_Summary258"/>
      <sheetName val="Chris'_Tab258"/>
      <sheetName val="OTP_Summary_Result258"/>
      <sheetName val="OTP_Projection258"/>
      <sheetName val="Monthly_Loading258"/>
      <sheetName val="OTP_Source258"/>
      <sheetName val="FA14_Detail258"/>
      <sheetName val="Lynne's_Tab258"/>
      <sheetName val="SU14_Detail258"/>
      <sheetName val="Category_Callouts258"/>
      <sheetName val="Cap_Scenario258"/>
      <sheetName val="Subcapacity_outsoles_258"/>
      <sheetName val="PA_Scenarios258"/>
      <sheetName val="PA_Transfer_Summary258"/>
      <sheetName val="Monthly_Loading_-Summary258"/>
      <sheetName val="Monthly_Loading-PB_Data258"/>
      <sheetName val="Monthly_Loading-PrevOTP_Data258"/>
      <sheetName val="Data_Refresh258"/>
      <sheetName val="SUMM_LOADING_257"/>
      <sheetName val="Raw_Data_Sheet257"/>
      <sheetName val="IA_1257"/>
      <sheetName val="DATA_MOLD_NEW_BALANCE257"/>
      <sheetName val="SSAI_IP_ORDER257"/>
      <sheetName val="Cutting_Dies_257"/>
      <sheetName val="Indirect_List243"/>
      <sheetName val="BASIS_DATA243"/>
      <sheetName val="SUBCONT_STATUS243"/>
      <sheetName val="cumulus_16188"/>
      <sheetName val="EAM_INVENTORY153"/>
      <sheetName val="Maintenance_Work_Order153"/>
      <sheetName val="Vietnam_Report115"/>
      <sheetName val="5_수정데이터통합115"/>
      <sheetName val="CT__PL114"/>
      <sheetName val="CT_Thang_Mo114"/>
      <sheetName val="Chi_tiet114"/>
      <sheetName val="CTTR_Transfer_Type263"/>
      <sheetName val="GFP_Type263"/>
      <sheetName val="GFP_Reasons263"/>
      <sheetName val="LAST_YEARS_CS262"/>
      <sheetName val="Fct_Sum_2_SeasonView259"/>
      <sheetName val="F1_Scenarios259"/>
      <sheetName val="Fct_Summary259"/>
      <sheetName val="Chris'_Tab259"/>
      <sheetName val="OTP_Summary_Result259"/>
      <sheetName val="OTP_Projection259"/>
      <sheetName val="Monthly_Loading259"/>
      <sheetName val="OTP_Source259"/>
      <sheetName val="FA14_Detail259"/>
      <sheetName val="Lynne's_Tab259"/>
      <sheetName val="SU14_Detail259"/>
      <sheetName val="Category_Callouts259"/>
      <sheetName val="Cap_Scenario259"/>
      <sheetName val="Subcapacity_outsoles_259"/>
      <sheetName val="PA_Scenarios259"/>
      <sheetName val="PA_Transfer_Summary259"/>
      <sheetName val="Monthly_Loading_-Summary259"/>
      <sheetName val="Monthly_Loading-PB_Data259"/>
      <sheetName val="Monthly_Loading-PrevOTP_Data259"/>
      <sheetName val="Data_Refresh259"/>
      <sheetName val="SUMM_LOADING_258"/>
      <sheetName val="Raw_Data_Sheet258"/>
      <sheetName val="IA_1258"/>
      <sheetName val="DATA_MOLD_NEW_BALANCE258"/>
      <sheetName val="SSAI_IP_ORDER258"/>
      <sheetName val="Cutting_Dies_258"/>
      <sheetName val="Indirect_List244"/>
      <sheetName val="BASIS_DATA244"/>
      <sheetName val="SUBCONT_STATUS244"/>
      <sheetName val="cumulus_16189"/>
      <sheetName val="EAM_INVENTORY154"/>
      <sheetName val="Maintenance_Work_Order154"/>
      <sheetName val="Vietnam_Report116"/>
      <sheetName val="5_수정데이터통합116"/>
      <sheetName val="CT__PL115"/>
      <sheetName val="CT_Thang_Mo115"/>
      <sheetName val="Chi_tiet115"/>
      <sheetName val="CTTR_Transfer_Type264"/>
      <sheetName val="GFP_Type264"/>
      <sheetName val="GFP_Reasons264"/>
      <sheetName val="LAST_YEARS_CS263"/>
      <sheetName val="Fct_Sum_2_SeasonView260"/>
      <sheetName val="F1_Scenarios260"/>
      <sheetName val="Fct_Summary260"/>
      <sheetName val="Chris'_Tab260"/>
      <sheetName val="OTP_Summary_Result260"/>
      <sheetName val="OTP_Projection260"/>
      <sheetName val="Monthly_Loading260"/>
      <sheetName val="OTP_Source260"/>
      <sheetName val="FA14_Detail260"/>
      <sheetName val="Lynne's_Tab260"/>
      <sheetName val="SU14_Detail260"/>
      <sheetName val="Category_Callouts260"/>
      <sheetName val="Cap_Scenario260"/>
      <sheetName val="Subcapacity_outsoles_260"/>
      <sheetName val="PA_Scenarios260"/>
      <sheetName val="PA_Transfer_Summary260"/>
      <sheetName val="Monthly_Loading_-Summary260"/>
      <sheetName val="Monthly_Loading-PB_Data260"/>
      <sheetName val="Monthly_Loading-PrevOTP_Data260"/>
      <sheetName val="Data_Refresh260"/>
      <sheetName val="SUMM_LOADING_259"/>
      <sheetName val="Raw_Data_Sheet259"/>
      <sheetName val="IA_1259"/>
      <sheetName val="DATA_MOLD_NEW_BALANCE259"/>
      <sheetName val="SSAI_IP_ORDER259"/>
      <sheetName val="Cutting_Dies_259"/>
      <sheetName val="Indirect_List245"/>
      <sheetName val="BASIS_DATA245"/>
      <sheetName val="SUBCONT_STATUS245"/>
      <sheetName val="cumulus_16190"/>
      <sheetName val="EAM_INVENTORY155"/>
      <sheetName val="Maintenance_Work_Order155"/>
      <sheetName val="Vietnam_Report117"/>
      <sheetName val="5_수정데이터통합117"/>
      <sheetName val="CT__PL116"/>
      <sheetName val="CT_Thang_Mo116"/>
      <sheetName val="Chi_tiet116"/>
      <sheetName val="CTTR_Transfer_Type265"/>
      <sheetName val="GFP_Type265"/>
      <sheetName val="GFP_Reasons265"/>
      <sheetName val="LAST_YEARS_CS264"/>
      <sheetName val="Fct_Sum_2_SeasonView261"/>
      <sheetName val="F1_Scenarios261"/>
      <sheetName val="Fct_Summary261"/>
      <sheetName val="Chris'_Tab261"/>
      <sheetName val="OTP_Summary_Result261"/>
      <sheetName val="OTP_Projection261"/>
      <sheetName val="Monthly_Loading261"/>
      <sheetName val="OTP_Source261"/>
      <sheetName val="FA14_Detail261"/>
      <sheetName val="Lynne's_Tab261"/>
      <sheetName val="SU14_Detail261"/>
      <sheetName val="Category_Callouts261"/>
      <sheetName val="Cap_Scenario261"/>
      <sheetName val="Subcapacity_outsoles_261"/>
      <sheetName val="PA_Scenarios261"/>
      <sheetName val="PA_Transfer_Summary261"/>
      <sheetName val="Monthly_Loading_-Summary261"/>
      <sheetName val="Monthly_Loading-PB_Data261"/>
      <sheetName val="Monthly_Loading-PrevOTP_Data261"/>
      <sheetName val="Data_Refresh261"/>
      <sheetName val="SUMM_LOADING_260"/>
      <sheetName val="Raw_Data_Sheet260"/>
      <sheetName val="IA_1260"/>
      <sheetName val="DATA_MOLD_NEW_BALANCE260"/>
      <sheetName val="SSAI_IP_ORDER260"/>
      <sheetName val="Cutting_Dies_260"/>
      <sheetName val="Indirect_List246"/>
      <sheetName val="BASIS_DATA246"/>
      <sheetName val="SUBCONT_STATUS246"/>
      <sheetName val="cumulus_16191"/>
      <sheetName val="EAM_INVENTORY156"/>
      <sheetName val="Maintenance_Work_Order156"/>
      <sheetName val="Vietnam_Report118"/>
      <sheetName val="5_수정데이터통합118"/>
      <sheetName val="CT__PL117"/>
      <sheetName val="CT_Thang_Mo117"/>
      <sheetName val="Chi_tiet117"/>
      <sheetName val="CTTR_Transfer_Type266"/>
      <sheetName val="GFP_Type266"/>
      <sheetName val="GFP_Reasons266"/>
      <sheetName val="LAST_YEARS_CS265"/>
      <sheetName val="Fct_Sum_2_SeasonView262"/>
      <sheetName val="F1_Scenarios262"/>
      <sheetName val="Fct_Summary262"/>
      <sheetName val="Chris'_Tab262"/>
      <sheetName val="OTP_Summary_Result262"/>
      <sheetName val="OTP_Projection262"/>
      <sheetName val="Monthly_Loading262"/>
      <sheetName val="OTP_Source262"/>
      <sheetName val="FA14_Detail262"/>
      <sheetName val="Lynne's_Tab262"/>
      <sheetName val="SU14_Detail262"/>
      <sheetName val="Category_Callouts262"/>
      <sheetName val="Cap_Scenario262"/>
      <sheetName val="Subcapacity_outsoles_262"/>
      <sheetName val="PA_Scenarios262"/>
      <sheetName val="PA_Transfer_Summary262"/>
      <sheetName val="Monthly_Loading_-Summary262"/>
      <sheetName val="Monthly_Loading-PB_Data262"/>
      <sheetName val="Monthly_Loading-PrevOTP_Data262"/>
      <sheetName val="Data_Refresh262"/>
      <sheetName val="SUMM_LOADING_261"/>
      <sheetName val="Raw_Data_Sheet261"/>
      <sheetName val="IA_1261"/>
      <sheetName val="DATA_MOLD_NEW_BALANCE261"/>
      <sheetName val="SSAI_IP_ORDER261"/>
      <sheetName val="Cutting_Dies_261"/>
      <sheetName val="Indirect_List247"/>
      <sheetName val="BASIS_DATA247"/>
      <sheetName val="SUBCONT_STATUS247"/>
      <sheetName val="cumulus_16192"/>
      <sheetName val="EAM_INVENTORY157"/>
      <sheetName val="Maintenance_Work_Order157"/>
      <sheetName val="Vietnam_Report119"/>
      <sheetName val="5_수정데이터통합119"/>
      <sheetName val="CT__PL118"/>
      <sheetName val="CT_Thang_Mo118"/>
      <sheetName val="Chi_tiet118"/>
      <sheetName val="CTTR_Transfer_Type267"/>
      <sheetName val="GFP_Type267"/>
      <sheetName val="GFP_Reasons267"/>
      <sheetName val="LAST_YEARS_CS266"/>
      <sheetName val="Fct_Sum_2_SeasonView263"/>
      <sheetName val="F1_Scenarios263"/>
      <sheetName val="Fct_Summary263"/>
      <sheetName val="Chris'_Tab263"/>
      <sheetName val="OTP_Summary_Result263"/>
      <sheetName val="OTP_Projection263"/>
      <sheetName val="Monthly_Loading263"/>
      <sheetName val="OTP_Source263"/>
      <sheetName val="FA14_Detail263"/>
      <sheetName val="Lynne's_Tab263"/>
      <sheetName val="SU14_Detail263"/>
      <sheetName val="Category_Callouts263"/>
      <sheetName val="Cap_Scenario263"/>
      <sheetName val="Subcapacity_outsoles_263"/>
      <sheetName val="PA_Scenarios263"/>
      <sheetName val="PA_Transfer_Summary263"/>
      <sheetName val="Monthly_Loading_-Summary263"/>
      <sheetName val="Monthly_Loading-PB_Data263"/>
      <sheetName val="Monthly_Loading-PrevOTP_Data263"/>
      <sheetName val="Data_Refresh263"/>
      <sheetName val="SUMM_LOADING_262"/>
      <sheetName val="Raw_Data_Sheet262"/>
      <sheetName val="IA_1262"/>
      <sheetName val="DATA_MOLD_NEW_BALANCE262"/>
      <sheetName val="SSAI_IP_ORDER262"/>
      <sheetName val="Cutting_Dies_262"/>
      <sheetName val="Indirect_List248"/>
      <sheetName val="BASIS_DATA248"/>
      <sheetName val="SUBCONT_STATUS248"/>
      <sheetName val="cumulus_16193"/>
      <sheetName val="EAM_INVENTORY158"/>
      <sheetName val="Maintenance_Work_Order158"/>
      <sheetName val="Vietnam_Report120"/>
      <sheetName val="5_수정데이터통합120"/>
      <sheetName val="CT__PL119"/>
      <sheetName val="CT_Thang_Mo119"/>
      <sheetName val="Chi_tiet119"/>
      <sheetName val="CTTR_Transfer_Type279"/>
      <sheetName val="GFP_Type279"/>
      <sheetName val="GFP_Reasons279"/>
      <sheetName val="LAST_YEARS_CS278"/>
      <sheetName val="Fct_Sum_2_SeasonView275"/>
      <sheetName val="F1_Scenarios275"/>
      <sheetName val="Fct_Summary275"/>
      <sheetName val="Chris'_Tab275"/>
      <sheetName val="OTP_Summary_Result275"/>
      <sheetName val="OTP_Projection275"/>
      <sheetName val="Monthly_Loading275"/>
      <sheetName val="OTP_Source275"/>
      <sheetName val="FA14_Detail275"/>
      <sheetName val="Lynne's_Tab275"/>
      <sheetName val="SU14_Detail275"/>
      <sheetName val="Category_Callouts275"/>
      <sheetName val="Cap_Scenario275"/>
      <sheetName val="Subcapacity_outsoles_275"/>
      <sheetName val="PA_Scenarios275"/>
      <sheetName val="PA_Transfer_Summary275"/>
      <sheetName val="Monthly_Loading_-Summary275"/>
      <sheetName val="Monthly_Loading-PB_Data275"/>
      <sheetName val="Monthly_Loading-PrevOTP_Data275"/>
      <sheetName val="Data_Refresh275"/>
      <sheetName val="SUMM_LOADING_274"/>
      <sheetName val="Raw_Data_Sheet274"/>
      <sheetName val="IA_1274"/>
      <sheetName val="DATA_MOLD_NEW_BALANCE274"/>
      <sheetName val="SSAI_IP_ORDER274"/>
      <sheetName val="Cutting_Dies_274"/>
      <sheetName val="Indirect_List260"/>
      <sheetName val="BASIS_DATA260"/>
      <sheetName val="SUBCONT_STATUS260"/>
      <sheetName val="cumulus_16205"/>
      <sheetName val="EAM_INVENTORY170"/>
      <sheetName val="Maintenance_Work_Order170"/>
      <sheetName val="Vietnam_Report132"/>
      <sheetName val="5_수정데이터통합132"/>
      <sheetName val="CT__PL131"/>
      <sheetName val="CT_Thang_Mo131"/>
      <sheetName val="Chi_tiet131"/>
      <sheetName val="CTTR_Transfer_Type268"/>
      <sheetName val="GFP_Type268"/>
      <sheetName val="GFP_Reasons268"/>
      <sheetName val="LAST_YEARS_CS267"/>
      <sheetName val="Fct_Sum_2_SeasonView264"/>
      <sheetName val="F1_Scenarios264"/>
      <sheetName val="Fct_Summary264"/>
      <sheetName val="Chris'_Tab264"/>
      <sheetName val="OTP_Summary_Result264"/>
      <sheetName val="OTP_Projection264"/>
      <sheetName val="Monthly_Loading264"/>
      <sheetName val="OTP_Source264"/>
      <sheetName val="FA14_Detail264"/>
      <sheetName val="Lynne's_Tab264"/>
      <sheetName val="SU14_Detail264"/>
      <sheetName val="Category_Callouts264"/>
      <sheetName val="Cap_Scenario264"/>
      <sheetName val="Subcapacity_outsoles_264"/>
      <sheetName val="PA_Scenarios264"/>
      <sheetName val="PA_Transfer_Summary264"/>
      <sheetName val="Monthly_Loading_-Summary264"/>
      <sheetName val="Monthly_Loading-PB_Data264"/>
      <sheetName val="Monthly_Loading-PrevOTP_Data264"/>
      <sheetName val="Data_Refresh264"/>
      <sheetName val="SUMM_LOADING_263"/>
      <sheetName val="Raw_Data_Sheet263"/>
      <sheetName val="IA_1263"/>
      <sheetName val="DATA_MOLD_NEW_BALANCE263"/>
      <sheetName val="SSAI_IP_ORDER263"/>
      <sheetName val="Cutting_Dies_263"/>
      <sheetName val="Indirect_List249"/>
      <sheetName val="BASIS_DATA249"/>
      <sheetName val="SUBCONT_STATUS249"/>
      <sheetName val="cumulus_16194"/>
      <sheetName val="EAM_INVENTORY159"/>
      <sheetName val="Maintenance_Work_Order159"/>
      <sheetName val="Vietnam_Report121"/>
      <sheetName val="5_수정데이터통합121"/>
      <sheetName val="CT__PL120"/>
      <sheetName val="CT_Thang_Mo120"/>
      <sheetName val="Chi_tiet120"/>
      <sheetName val="CTTR_Transfer_Type269"/>
      <sheetName val="GFP_Type269"/>
      <sheetName val="GFP_Reasons269"/>
      <sheetName val="LAST_YEARS_CS268"/>
      <sheetName val="Fct_Sum_2_SeasonView265"/>
      <sheetName val="F1_Scenarios265"/>
      <sheetName val="Fct_Summary265"/>
      <sheetName val="Chris'_Tab265"/>
      <sheetName val="OTP_Summary_Result265"/>
      <sheetName val="OTP_Projection265"/>
      <sheetName val="Monthly_Loading265"/>
      <sheetName val="OTP_Source265"/>
      <sheetName val="FA14_Detail265"/>
      <sheetName val="Lynne's_Tab265"/>
      <sheetName val="SU14_Detail265"/>
      <sheetName val="Category_Callouts265"/>
      <sheetName val="Cap_Scenario265"/>
      <sheetName val="Subcapacity_outsoles_265"/>
      <sheetName val="PA_Scenarios265"/>
      <sheetName val="PA_Transfer_Summary265"/>
      <sheetName val="Monthly_Loading_-Summary265"/>
      <sheetName val="Monthly_Loading-PB_Data265"/>
      <sheetName val="Monthly_Loading-PrevOTP_Data265"/>
      <sheetName val="Data_Refresh265"/>
      <sheetName val="SUMM_LOADING_264"/>
      <sheetName val="Raw_Data_Sheet264"/>
      <sheetName val="IA_1264"/>
      <sheetName val="DATA_MOLD_NEW_BALANCE264"/>
      <sheetName val="SSAI_IP_ORDER264"/>
      <sheetName val="Cutting_Dies_264"/>
      <sheetName val="Indirect_List250"/>
      <sheetName val="BASIS_DATA250"/>
      <sheetName val="SUBCONT_STATUS250"/>
      <sheetName val="cumulus_16195"/>
      <sheetName val="EAM_INVENTORY160"/>
      <sheetName val="Maintenance_Work_Order160"/>
      <sheetName val="Vietnam_Report122"/>
      <sheetName val="5_수정데이터통합122"/>
      <sheetName val="CT__PL121"/>
      <sheetName val="CT_Thang_Mo121"/>
      <sheetName val="Chi_tiet121"/>
      <sheetName val="CTTR_Transfer_Type270"/>
      <sheetName val="GFP_Type270"/>
      <sheetName val="GFP_Reasons270"/>
      <sheetName val="LAST_YEARS_CS269"/>
      <sheetName val="Fct_Sum_2_SeasonView266"/>
      <sheetName val="F1_Scenarios266"/>
      <sheetName val="Fct_Summary266"/>
      <sheetName val="Chris'_Tab266"/>
      <sheetName val="OTP_Summary_Result266"/>
      <sheetName val="OTP_Projection266"/>
      <sheetName val="Monthly_Loading266"/>
      <sheetName val="OTP_Source266"/>
      <sheetName val="FA14_Detail266"/>
      <sheetName val="Lynne's_Tab266"/>
      <sheetName val="SU14_Detail266"/>
      <sheetName val="Category_Callouts266"/>
      <sheetName val="Cap_Scenario266"/>
      <sheetName val="Subcapacity_outsoles_266"/>
      <sheetName val="PA_Scenarios266"/>
      <sheetName val="PA_Transfer_Summary266"/>
      <sheetName val="Monthly_Loading_-Summary266"/>
      <sheetName val="Monthly_Loading-PB_Data266"/>
      <sheetName val="Monthly_Loading-PrevOTP_Data266"/>
      <sheetName val="Data_Refresh266"/>
      <sheetName val="SUMM_LOADING_265"/>
      <sheetName val="Raw_Data_Sheet265"/>
      <sheetName val="IA_1265"/>
      <sheetName val="DATA_MOLD_NEW_BALANCE265"/>
      <sheetName val="SSAI_IP_ORDER265"/>
      <sheetName val="Cutting_Dies_265"/>
      <sheetName val="Indirect_List251"/>
      <sheetName val="BASIS_DATA251"/>
      <sheetName val="SUBCONT_STATUS251"/>
      <sheetName val="cumulus_16196"/>
      <sheetName val="EAM_INVENTORY161"/>
      <sheetName val="Maintenance_Work_Order161"/>
      <sheetName val="Vietnam_Report123"/>
      <sheetName val="5_수정데이터통합123"/>
      <sheetName val="CT__PL122"/>
      <sheetName val="CT_Thang_Mo122"/>
      <sheetName val="Chi_tiet122"/>
      <sheetName val="CTTR_Transfer_Type271"/>
      <sheetName val="GFP_Type271"/>
      <sheetName val="GFP_Reasons271"/>
      <sheetName val="LAST_YEARS_CS270"/>
      <sheetName val="Fct_Sum_2_SeasonView267"/>
      <sheetName val="F1_Scenarios267"/>
      <sheetName val="Fct_Summary267"/>
      <sheetName val="Chris'_Tab267"/>
      <sheetName val="OTP_Summary_Result267"/>
      <sheetName val="OTP_Projection267"/>
      <sheetName val="Monthly_Loading267"/>
      <sheetName val="OTP_Source267"/>
      <sheetName val="FA14_Detail267"/>
      <sheetName val="Lynne's_Tab267"/>
      <sheetName val="SU14_Detail267"/>
      <sheetName val="Category_Callouts267"/>
      <sheetName val="Cap_Scenario267"/>
      <sheetName val="Subcapacity_outsoles_267"/>
      <sheetName val="PA_Scenarios267"/>
      <sheetName val="PA_Transfer_Summary267"/>
      <sheetName val="Monthly_Loading_-Summary267"/>
      <sheetName val="Monthly_Loading-PB_Data267"/>
      <sheetName val="Monthly_Loading-PrevOTP_Data267"/>
      <sheetName val="Data_Refresh267"/>
      <sheetName val="SUMM_LOADING_266"/>
      <sheetName val="Raw_Data_Sheet266"/>
      <sheetName val="IA_1266"/>
      <sheetName val="DATA_MOLD_NEW_BALANCE266"/>
      <sheetName val="SSAI_IP_ORDER266"/>
      <sheetName val="Cutting_Dies_266"/>
      <sheetName val="Indirect_List252"/>
      <sheetName val="BASIS_DATA252"/>
      <sheetName val="SUBCONT_STATUS252"/>
      <sheetName val="cumulus_16197"/>
      <sheetName val="EAM_INVENTORY162"/>
      <sheetName val="Maintenance_Work_Order162"/>
      <sheetName val="Vietnam_Report124"/>
      <sheetName val="5_수정데이터통합124"/>
      <sheetName val="CT__PL123"/>
      <sheetName val="CT_Thang_Mo123"/>
      <sheetName val="Chi_tiet123"/>
      <sheetName val="CTTR_Transfer_Type272"/>
      <sheetName val="GFP_Type272"/>
      <sheetName val="GFP_Reasons272"/>
      <sheetName val="LAST_YEARS_CS271"/>
      <sheetName val="Fct_Sum_2_SeasonView268"/>
      <sheetName val="F1_Scenarios268"/>
      <sheetName val="Fct_Summary268"/>
      <sheetName val="Chris'_Tab268"/>
      <sheetName val="OTP_Summary_Result268"/>
      <sheetName val="OTP_Projection268"/>
      <sheetName val="Monthly_Loading268"/>
      <sheetName val="OTP_Source268"/>
      <sheetName val="FA14_Detail268"/>
      <sheetName val="Lynne's_Tab268"/>
      <sheetName val="SU14_Detail268"/>
      <sheetName val="Category_Callouts268"/>
      <sheetName val="Cap_Scenario268"/>
      <sheetName val="Subcapacity_outsoles_268"/>
      <sheetName val="PA_Scenarios268"/>
      <sheetName val="PA_Transfer_Summary268"/>
      <sheetName val="Monthly_Loading_-Summary268"/>
      <sheetName val="Monthly_Loading-PB_Data268"/>
      <sheetName val="Monthly_Loading-PrevOTP_Data268"/>
      <sheetName val="Data_Refresh268"/>
      <sheetName val="SUMM_LOADING_267"/>
      <sheetName val="Raw_Data_Sheet267"/>
      <sheetName val="IA_1267"/>
      <sheetName val="DATA_MOLD_NEW_BALANCE267"/>
      <sheetName val="SSAI_IP_ORDER267"/>
      <sheetName val="Cutting_Dies_267"/>
      <sheetName val="Indirect_List253"/>
      <sheetName val="BASIS_DATA253"/>
      <sheetName val="SUBCONT_STATUS253"/>
      <sheetName val="cumulus_16198"/>
      <sheetName val="EAM_INVENTORY163"/>
      <sheetName val="Maintenance_Work_Order163"/>
      <sheetName val="Vietnam_Report125"/>
      <sheetName val="5_수정데이터통합125"/>
      <sheetName val="CT__PL124"/>
      <sheetName val="CT_Thang_Mo124"/>
      <sheetName val="Chi_tiet124"/>
      <sheetName val="CTTR_Transfer_Type273"/>
      <sheetName val="GFP_Type273"/>
      <sheetName val="GFP_Reasons273"/>
      <sheetName val="LAST_YEARS_CS272"/>
      <sheetName val="Fct_Sum_2_SeasonView269"/>
      <sheetName val="F1_Scenarios269"/>
      <sheetName val="Fct_Summary269"/>
      <sheetName val="Chris'_Tab269"/>
      <sheetName val="OTP_Summary_Result269"/>
      <sheetName val="OTP_Projection269"/>
      <sheetName val="Monthly_Loading269"/>
      <sheetName val="OTP_Source269"/>
      <sheetName val="FA14_Detail269"/>
      <sheetName val="Lynne's_Tab269"/>
      <sheetName val="SU14_Detail269"/>
      <sheetName val="Category_Callouts269"/>
      <sheetName val="Cap_Scenario269"/>
      <sheetName val="Subcapacity_outsoles_269"/>
      <sheetName val="PA_Scenarios269"/>
      <sheetName val="PA_Transfer_Summary269"/>
      <sheetName val="Monthly_Loading_-Summary269"/>
      <sheetName val="Monthly_Loading-PB_Data269"/>
      <sheetName val="Monthly_Loading-PrevOTP_Data269"/>
      <sheetName val="Data_Refresh269"/>
      <sheetName val="SUMM_LOADING_268"/>
      <sheetName val="Raw_Data_Sheet268"/>
      <sheetName val="IA_1268"/>
      <sheetName val="DATA_MOLD_NEW_BALANCE268"/>
      <sheetName val="SSAI_IP_ORDER268"/>
      <sheetName val="Cutting_Dies_268"/>
      <sheetName val="Indirect_List254"/>
      <sheetName val="BASIS_DATA254"/>
      <sheetName val="SUBCONT_STATUS254"/>
      <sheetName val="cumulus_16199"/>
      <sheetName val="EAM_INVENTORY164"/>
      <sheetName val="Maintenance_Work_Order164"/>
      <sheetName val="Vietnam_Report126"/>
      <sheetName val="5_수정데이터통합126"/>
      <sheetName val="CT__PL125"/>
      <sheetName val="CT_Thang_Mo125"/>
      <sheetName val="Chi_tiet125"/>
      <sheetName val="CTTR_Transfer_Type274"/>
      <sheetName val="GFP_Type274"/>
      <sheetName val="GFP_Reasons274"/>
      <sheetName val="LAST_YEARS_CS273"/>
      <sheetName val="Fct_Sum_2_SeasonView270"/>
      <sheetName val="F1_Scenarios270"/>
      <sheetName val="Fct_Summary270"/>
      <sheetName val="Chris'_Tab270"/>
      <sheetName val="OTP_Summary_Result270"/>
      <sheetName val="OTP_Projection270"/>
      <sheetName val="Monthly_Loading270"/>
      <sheetName val="OTP_Source270"/>
      <sheetName val="FA14_Detail270"/>
      <sheetName val="Lynne's_Tab270"/>
      <sheetName val="SU14_Detail270"/>
      <sheetName val="Category_Callouts270"/>
      <sheetName val="Cap_Scenario270"/>
      <sheetName val="Subcapacity_outsoles_270"/>
      <sheetName val="PA_Scenarios270"/>
      <sheetName val="PA_Transfer_Summary270"/>
      <sheetName val="Monthly_Loading_-Summary270"/>
      <sheetName val="Monthly_Loading-PB_Data270"/>
      <sheetName val="Monthly_Loading-PrevOTP_Data270"/>
      <sheetName val="Data_Refresh270"/>
      <sheetName val="SUMM_LOADING_269"/>
      <sheetName val="Raw_Data_Sheet269"/>
      <sheetName val="IA_1269"/>
      <sheetName val="DATA_MOLD_NEW_BALANCE269"/>
      <sheetName val="SSAI_IP_ORDER269"/>
      <sheetName val="Cutting_Dies_269"/>
      <sheetName val="Indirect_List255"/>
      <sheetName val="BASIS_DATA255"/>
      <sheetName val="SUBCONT_STATUS255"/>
      <sheetName val="cumulus_16200"/>
      <sheetName val="EAM_INVENTORY165"/>
      <sheetName val="Maintenance_Work_Order165"/>
      <sheetName val="Vietnam_Report127"/>
      <sheetName val="5_수정데이터통합127"/>
      <sheetName val="CT__PL126"/>
      <sheetName val="CT_Thang_Mo126"/>
      <sheetName val="Chi_tiet126"/>
      <sheetName val="CTTR_Transfer_Type275"/>
      <sheetName val="GFP_Type275"/>
      <sheetName val="GFP_Reasons275"/>
      <sheetName val="LAST_YEARS_CS274"/>
      <sheetName val="Fct_Sum_2_SeasonView271"/>
      <sheetName val="F1_Scenarios271"/>
      <sheetName val="Fct_Summary271"/>
      <sheetName val="Chris'_Tab271"/>
      <sheetName val="OTP_Summary_Result271"/>
      <sheetName val="OTP_Projection271"/>
      <sheetName val="Monthly_Loading271"/>
      <sheetName val="OTP_Source271"/>
      <sheetName val="FA14_Detail271"/>
      <sheetName val="Lynne's_Tab271"/>
      <sheetName val="SU14_Detail271"/>
      <sheetName val="Category_Callouts271"/>
      <sheetName val="Cap_Scenario271"/>
      <sheetName val="Subcapacity_outsoles_271"/>
      <sheetName val="PA_Scenarios271"/>
      <sheetName val="PA_Transfer_Summary271"/>
      <sheetName val="Monthly_Loading_-Summary271"/>
      <sheetName val="Monthly_Loading-PB_Data271"/>
      <sheetName val="Monthly_Loading-PrevOTP_Data271"/>
      <sheetName val="Data_Refresh271"/>
      <sheetName val="SUMM_LOADING_270"/>
      <sheetName val="Raw_Data_Sheet270"/>
      <sheetName val="IA_1270"/>
      <sheetName val="DATA_MOLD_NEW_BALANCE270"/>
      <sheetName val="SSAI_IP_ORDER270"/>
      <sheetName val="Cutting_Dies_270"/>
      <sheetName val="Indirect_List256"/>
      <sheetName val="BASIS_DATA256"/>
      <sheetName val="SUBCONT_STATUS256"/>
      <sheetName val="cumulus_16201"/>
      <sheetName val="EAM_INVENTORY166"/>
      <sheetName val="Maintenance_Work_Order166"/>
      <sheetName val="Vietnam_Report128"/>
      <sheetName val="5_수정데이터통합128"/>
      <sheetName val="CT__PL127"/>
      <sheetName val="CT_Thang_Mo127"/>
      <sheetName val="Chi_tiet127"/>
      <sheetName val="CTTR_Transfer_Type276"/>
      <sheetName val="GFP_Type276"/>
      <sheetName val="GFP_Reasons276"/>
      <sheetName val="LAST_YEARS_CS275"/>
      <sheetName val="Fct_Sum_2_SeasonView272"/>
      <sheetName val="F1_Scenarios272"/>
      <sheetName val="Fct_Summary272"/>
      <sheetName val="Chris'_Tab272"/>
      <sheetName val="OTP_Summary_Result272"/>
      <sheetName val="OTP_Projection272"/>
      <sheetName val="Monthly_Loading272"/>
      <sheetName val="OTP_Source272"/>
      <sheetName val="FA14_Detail272"/>
      <sheetName val="Lynne's_Tab272"/>
      <sheetName val="SU14_Detail272"/>
      <sheetName val="Category_Callouts272"/>
      <sheetName val="Cap_Scenario272"/>
      <sheetName val="Subcapacity_outsoles_272"/>
      <sheetName val="PA_Scenarios272"/>
      <sheetName val="PA_Transfer_Summary272"/>
      <sheetName val="Monthly_Loading_-Summary272"/>
      <sheetName val="Monthly_Loading-PB_Data272"/>
      <sheetName val="Monthly_Loading-PrevOTP_Data272"/>
      <sheetName val="Data_Refresh272"/>
      <sheetName val="SUMM_LOADING_271"/>
      <sheetName val="Raw_Data_Sheet271"/>
      <sheetName val="IA_1271"/>
      <sheetName val="DATA_MOLD_NEW_BALANCE271"/>
      <sheetName val="SSAI_IP_ORDER271"/>
      <sheetName val="Cutting_Dies_271"/>
      <sheetName val="Indirect_List257"/>
      <sheetName val="BASIS_DATA257"/>
      <sheetName val="SUBCONT_STATUS257"/>
      <sheetName val="cumulus_16202"/>
      <sheetName val="EAM_INVENTORY167"/>
      <sheetName val="Maintenance_Work_Order167"/>
      <sheetName val="Vietnam_Report129"/>
      <sheetName val="5_수정데이터통합129"/>
      <sheetName val="CT__PL128"/>
      <sheetName val="CT_Thang_Mo128"/>
      <sheetName val="Chi_tiet128"/>
      <sheetName val="CTTR_Transfer_Type277"/>
      <sheetName val="GFP_Type277"/>
      <sheetName val="GFP_Reasons277"/>
      <sheetName val="LAST_YEARS_CS276"/>
      <sheetName val="Fct_Sum_2_SeasonView273"/>
      <sheetName val="F1_Scenarios273"/>
      <sheetName val="Fct_Summary273"/>
      <sheetName val="Chris'_Tab273"/>
      <sheetName val="OTP_Summary_Result273"/>
      <sheetName val="OTP_Projection273"/>
      <sheetName val="Monthly_Loading273"/>
      <sheetName val="OTP_Source273"/>
      <sheetName val="FA14_Detail273"/>
      <sheetName val="Lynne's_Tab273"/>
      <sheetName val="SU14_Detail273"/>
      <sheetName val="Category_Callouts273"/>
      <sheetName val="Cap_Scenario273"/>
      <sheetName val="Subcapacity_outsoles_273"/>
      <sheetName val="PA_Scenarios273"/>
      <sheetName val="PA_Transfer_Summary273"/>
      <sheetName val="Monthly_Loading_-Summary273"/>
      <sheetName val="Monthly_Loading-PB_Data273"/>
      <sheetName val="Monthly_Loading-PrevOTP_Data273"/>
      <sheetName val="Data_Refresh273"/>
      <sheetName val="SUMM_LOADING_272"/>
      <sheetName val="Raw_Data_Sheet272"/>
      <sheetName val="IA_1272"/>
      <sheetName val="DATA_MOLD_NEW_BALANCE272"/>
      <sheetName val="SSAI_IP_ORDER272"/>
      <sheetName val="Cutting_Dies_272"/>
      <sheetName val="Indirect_List258"/>
      <sheetName val="BASIS_DATA258"/>
      <sheetName val="SUBCONT_STATUS258"/>
      <sheetName val="cumulus_16203"/>
      <sheetName val="EAM_INVENTORY168"/>
      <sheetName val="Maintenance_Work_Order168"/>
      <sheetName val="Vietnam_Report130"/>
      <sheetName val="5_수정데이터통합130"/>
      <sheetName val="CT__PL129"/>
      <sheetName val="CT_Thang_Mo129"/>
      <sheetName val="Chi_tiet129"/>
      <sheetName val="CTTR_Transfer_Type278"/>
      <sheetName val="GFP_Type278"/>
      <sheetName val="GFP_Reasons278"/>
      <sheetName val="LAST_YEARS_CS277"/>
      <sheetName val="Fct_Sum_2_SeasonView274"/>
      <sheetName val="F1_Scenarios274"/>
      <sheetName val="Fct_Summary274"/>
      <sheetName val="Chris'_Tab274"/>
      <sheetName val="OTP_Summary_Result274"/>
      <sheetName val="OTP_Projection274"/>
      <sheetName val="Monthly_Loading274"/>
      <sheetName val="OTP_Source274"/>
      <sheetName val="FA14_Detail274"/>
      <sheetName val="Lynne's_Tab274"/>
      <sheetName val="SU14_Detail274"/>
      <sheetName val="Category_Callouts274"/>
      <sheetName val="Cap_Scenario274"/>
      <sheetName val="Subcapacity_outsoles_274"/>
      <sheetName val="PA_Scenarios274"/>
      <sheetName val="PA_Transfer_Summary274"/>
      <sheetName val="Monthly_Loading_-Summary274"/>
      <sheetName val="Monthly_Loading-PB_Data274"/>
      <sheetName val="Monthly_Loading-PrevOTP_Data274"/>
      <sheetName val="Data_Refresh274"/>
      <sheetName val="SUMM_LOADING_273"/>
      <sheetName val="Raw_Data_Sheet273"/>
      <sheetName val="IA_1273"/>
      <sheetName val="DATA_MOLD_NEW_BALANCE273"/>
      <sheetName val="SSAI_IP_ORDER273"/>
      <sheetName val="Cutting_Dies_273"/>
      <sheetName val="Indirect_List259"/>
      <sheetName val="BASIS_DATA259"/>
      <sheetName val="SUBCONT_STATUS259"/>
      <sheetName val="cumulus_16204"/>
      <sheetName val="EAM_INVENTORY169"/>
      <sheetName val="Maintenance_Work_Order169"/>
      <sheetName val="Vietnam_Report131"/>
      <sheetName val="5_수정데이터통합131"/>
      <sheetName val="CT__PL130"/>
      <sheetName val="CT_Thang_Mo130"/>
      <sheetName val="Chi_tiet130"/>
      <sheetName val="CTTR_Transfer_Type281"/>
      <sheetName val="GFP_Type281"/>
      <sheetName val="GFP_Reasons281"/>
      <sheetName val="LAST_YEARS_CS280"/>
      <sheetName val="Fct_Sum_2_SeasonView277"/>
      <sheetName val="F1_Scenarios277"/>
      <sheetName val="Fct_Summary277"/>
      <sheetName val="Chris'_Tab277"/>
      <sheetName val="OTP_Summary_Result277"/>
      <sheetName val="OTP_Projection277"/>
      <sheetName val="Monthly_Loading277"/>
      <sheetName val="OTP_Source277"/>
      <sheetName val="FA14_Detail277"/>
      <sheetName val="Lynne's_Tab277"/>
      <sheetName val="SU14_Detail277"/>
      <sheetName val="Category_Callouts277"/>
      <sheetName val="Cap_Scenario277"/>
      <sheetName val="Subcapacity_outsoles_277"/>
      <sheetName val="PA_Scenarios277"/>
      <sheetName val="PA_Transfer_Summary277"/>
      <sheetName val="Monthly_Loading_-Summary277"/>
      <sheetName val="Monthly_Loading-PB_Data277"/>
      <sheetName val="Monthly_Loading-PrevOTP_Data277"/>
      <sheetName val="Data_Refresh277"/>
      <sheetName val="SUMM_LOADING_276"/>
      <sheetName val="Raw_Data_Sheet276"/>
      <sheetName val="IA_1276"/>
      <sheetName val="DATA_MOLD_NEW_BALANCE276"/>
      <sheetName val="SSAI_IP_ORDER276"/>
      <sheetName val="Cutting_Dies_276"/>
      <sheetName val="Indirect_List262"/>
      <sheetName val="BASIS_DATA262"/>
      <sheetName val="SUBCONT_STATUS262"/>
      <sheetName val="cumulus_16207"/>
      <sheetName val="EAM_INVENTORY172"/>
      <sheetName val="Maintenance_Work_Order172"/>
      <sheetName val="Vietnam_Report134"/>
      <sheetName val="5_수정데이터통합134"/>
      <sheetName val="CT__PL133"/>
      <sheetName val="CT_Thang_Mo133"/>
      <sheetName val="Chi_tiet133"/>
      <sheetName val="CTTR_Transfer_Type280"/>
      <sheetName val="GFP_Type280"/>
      <sheetName val="GFP_Reasons280"/>
      <sheetName val="LAST_YEARS_CS279"/>
      <sheetName val="Fct_Sum_2_SeasonView276"/>
      <sheetName val="F1_Scenarios276"/>
      <sheetName val="Fct_Summary276"/>
      <sheetName val="Chris'_Tab276"/>
      <sheetName val="OTP_Summary_Result276"/>
      <sheetName val="OTP_Projection276"/>
      <sheetName val="Monthly_Loading276"/>
      <sheetName val="OTP_Source276"/>
      <sheetName val="FA14_Detail276"/>
      <sheetName val="Lynne's_Tab276"/>
      <sheetName val="SU14_Detail276"/>
      <sheetName val="Category_Callouts276"/>
      <sheetName val="Cap_Scenario276"/>
      <sheetName val="Subcapacity_outsoles_276"/>
      <sheetName val="PA_Scenarios276"/>
      <sheetName val="PA_Transfer_Summary276"/>
      <sheetName val="Monthly_Loading_-Summary276"/>
      <sheetName val="Monthly_Loading-PB_Data276"/>
      <sheetName val="Monthly_Loading-PrevOTP_Data276"/>
      <sheetName val="Data_Refresh276"/>
      <sheetName val="SUMM_LOADING_275"/>
      <sheetName val="Raw_Data_Sheet275"/>
      <sheetName val="IA_1275"/>
      <sheetName val="DATA_MOLD_NEW_BALANCE275"/>
      <sheetName val="SSAI_IP_ORDER275"/>
      <sheetName val="Cutting_Dies_275"/>
      <sheetName val="Indirect_List261"/>
      <sheetName val="BASIS_DATA261"/>
      <sheetName val="SUBCONT_STATUS261"/>
      <sheetName val="cumulus_16206"/>
      <sheetName val="EAM_INVENTORY171"/>
      <sheetName val="Maintenance_Work_Order171"/>
      <sheetName val="Vietnam_Report133"/>
      <sheetName val="5_수정데이터통합133"/>
      <sheetName val="CT__PL132"/>
      <sheetName val="CT_Thang_Mo132"/>
      <sheetName val="Chi_tiet132"/>
      <sheetName val="CTTR_Transfer_Type282"/>
      <sheetName val="GFP_Type282"/>
      <sheetName val="GFP_Reasons282"/>
      <sheetName val="LAST_YEARS_CS281"/>
      <sheetName val="Fct_Sum_2_SeasonView278"/>
      <sheetName val="F1_Scenarios278"/>
      <sheetName val="Fct_Summary278"/>
      <sheetName val="Chris'_Tab278"/>
      <sheetName val="OTP_Summary_Result278"/>
      <sheetName val="OTP_Projection278"/>
      <sheetName val="Monthly_Loading278"/>
      <sheetName val="OTP_Source278"/>
      <sheetName val="FA14_Detail278"/>
      <sheetName val="Lynne's_Tab278"/>
      <sheetName val="SU14_Detail278"/>
      <sheetName val="Category_Callouts278"/>
      <sheetName val="Cap_Scenario278"/>
      <sheetName val="Subcapacity_outsoles_278"/>
      <sheetName val="PA_Scenarios278"/>
      <sheetName val="PA_Transfer_Summary278"/>
      <sheetName val="Monthly_Loading_-Summary278"/>
      <sheetName val="Monthly_Loading-PB_Data278"/>
      <sheetName val="Monthly_Loading-PrevOTP_Data278"/>
      <sheetName val="Data_Refresh278"/>
      <sheetName val="SUMM_LOADING_277"/>
      <sheetName val="Raw_Data_Sheet277"/>
      <sheetName val="IA_1277"/>
      <sheetName val="DATA_MOLD_NEW_BALANCE277"/>
      <sheetName val="SSAI_IP_ORDER277"/>
      <sheetName val="Cutting_Dies_277"/>
      <sheetName val="Indirect_List263"/>
      <sheetName val="BASIS_DATA263"/>
      <sheetName val="SUBCONT_STATUS263"/>
      <sheetName val="cumulus_16208"/>
      <sheetName val="EAM_INVENTORY173"/>
      <sheetName val="Maintenance_Work_Order173"/>
      <sheetName val="Vietnam_Report135"/>
      <sheetName val="5_수정데이터통합135"/>
      <sheetName val="CT__PL134"/>
      <sheetName val="CT_Thang_Mo134"/>
      <sheetName val="Chi_tiet134"/>
      <sheetName val="CTTR_Transfer_Type283"/>
      <sheetName val="GFP_Type283"/>
      <sheetName val="GFP_Reasons283"/>
      <sheetName val="LAST_YEARS_CS282"/>
      <sheetName val="Fct_Sum_2_SeasonView279"/>
      <sheetName val="F1_Scenarios279"/>
      <sheetName val="Fct_Summary279"/>
      <sheetName val="Chris'_Tab279"/>
      <sheetName val="OTP_Summary_Result279"/>
      <sheetName val="OTP_Projection279"/>
      <sheetName val="Monthly_Loading279"/>
      <sheetName val="OTP_Source279"/>
      <sheetName val="FA14_Detail279"/>
      <sheetName val="Lynne's_Tab279"/>
      <sheetName val="SU14_Detail279"/>
      <sheetName val="Category_Callouts279"/>
      <sheetName val="Cap_Scenario279"/>
      <sheetName val="Subcapacity_outsoles_279"/>
      <sheetName val="PA_Scenarios279"/>
      <sheetName val="PA_Transfer_Summary279"/>
      <sheetName val="Monthly_Loading_-Summary279"/>
      <sheetName val="Monthly_Loading-PB_Data279"/>
      <sheetName val="Monthly_Loading-PrevOTP_Data279"/>
      <sheetName val="Data_Refresh279"/>
      <sheetName val="SUMM_LOADING_278"/>
      <sheetName val="Raw_Data_Sheet278"/>
      <sheetName val="IA_1278"/>
      <sheetName val="DATA_MOLD_NEW_BALANCE278"/>
      <sheetName val="SSAI_IP_ORDER278"/>
      <sheetName val="Cutting_Dies_278"/>
      <sheetName val="Indirect_List264"/>
      <sheetName val="BASIS_DATA264"/>
      <sheetName val="SUBCONT_STATUS264"/>
      <sheetName val="cumulus_16209"/>
      <sheetName val="EAM_INVENTORY174"/>
      <sheetName val="Maintenance_Work_Order174"/>
      <sheetName val="Vietnam_Report136"/>
      <sheetName val="5_수정데이터통합136"/>
      <sheetName val="CT__PL135"/>
      <sheetName val="CT_Thang_Mo135"/>
      <sheetName val="Chi_tiet135"/>
      <sheetName val="CTTR_Transfer_Type284"/>
      <sheetName val="GFP_Type284"/>
      <sheetName val="GFP_Reasons284"/>
      <sheetName val="LAST_YEARS_CS283"/>
      <sheetName val="Fct_Sum_2_SeasonView280"/>
      <sheetName val="F1_Scenarios280"/>
      <sheetName val="Fct_Summary280"/>
      <sheetName val="Chris'_Tab280"/>
      <sheetName val="OTP_Summary_Result280"/>
      <sheetName val="OTP_Projection280"/>
      <sheetName val="Monthly_Loading280"/>
      <sheetName val="OTP_Source280"/>
      <sheetName val="FA14_Detail280"/>
      <sheetName val="Lynne's_Tab280"/>
      <sheetName val="SU14_Detail280"/>
      <sheetName val="Category_Callouts280"/>
      <sheetName val="Cap_Scenario280"/>
      <sheetName val="Subcapacity_outsoles_280"/>
      <sheetName val="PA_Scenarios280"/>
      <sheetName val="PA_Transfer_Summary280"/>
      <sheetName val="Monthly_Loading_-Summary280"/>
      <sheetName val="Monthly_Loading-PB_Data280"/>
      <sheetName val="Monthly_Loading-PrevOTP_Data280"/>
      <sheetName val="Data_Refresh280"/>
      <sheetName val="SUMM_LOADING_279"/>
      <sheetName val="Raw_Data_Sheet279"/>
      <sheetName val="IA_1279"/>
      <sheetName val="DATA_MOLD_NEW_BALANCE279"/>
      <sheetName val="SSAI_IP_ORDER279"/>
      <sheetName val="Cutting_Dies_279"/>
      <sheetName val="Indirect_List265"/>
      <sheetName val="BASIS_DATA265"/>
      <sheetName val="SUBCONT_STATUS265"/>
      <sheetName val="cumulus_16210"/>
      <sheetName val="EAM_INVENTORY175"/>
      <sheetName val="Maintenance_Work_Order175"/>
      <sheetName val="Vietnam_Report137"/>
      <sheetName val="5_수정데이터통합137"/>
      <sheetName val="CT__PL136"/>
      <sheetName val="CT_Thang_Mo136"/>
      <sheetName val="Chi_tiet136"/>
      <sheetName val="CTTR_Transfer_Type285"/>
      <sheetName val="GFP_Type285"/>
      <sheetName val="GFP_Reasons285"/>
      <sheetName val="LAST_YEARS_CS284"/>
      <sheetName val="Fct_Sum_2_SeasonView281"/>
      <sheetName val="F1_Scenarios281"/>
      <sheetName val="Fct_Summary281"/>
      <sheetName val="Chris'_Tab281"/>
      <sheetName val="OTP_Summary_Result281"/>
      <sheetName val="OTP_Projection281"/>
      <sheetName val="Monthly_Loading281"/>
      <sheetName val="OTP_Source281"/>
      <sheetName val="FA14_Detail281"/>
      <sheetName val="Lynne's_Tab281"/>
      <sheetName val="SU14_Detail281"/>
      <sheetName val="Category_Callouts281"/>
      <sheetName val="Cap_Scenario281"/>
      <sheetName val="Subcapacity_outsoles_281"/>
      <sheetName val="PA_Scenarios281"/>
      <sheetName val="PA_Transfer_Summary281"/>
      <sheetName val="Monthly_Loading_-Summary281"/>
      <sheetName val="Monthly_Loading-PB_Data281"/>
      <sheetName val="Monthly_Loading-PrevOTP_Data281"/>
      <sheetName val="Data_Refresh281"/>
      <sheetName val="SUMM_LOADING_280"/>
      <sheetName val="Raw_Data_Sheet280"/>
      <sheetName val="IA_1280"/>
      <sheetName val="DATA_MOLD_NEW_BALANCE280"/>
      <sheetName val="SSAI_IP_ORDER280"/>
      <sheetName val="Cutting_Dies_280"/>
      <sheetName val="Indirect_List266"/>
      <sheetName val="BASIS_DATA266"/>
      <sheetName val="SUBCONT_STATUS266"/>
      <sheetName val="cumulus_16211"/>
      <sheetName val="EAM_INVENTORY176"/>
      <sheetName val="Maintenance_Work_Order176"/>
      <sheetName val="Vietnam_Report138"/>
      <sheetName val="5_수정데이터통합138"/>
      <sheetName val="CT__PL137"/>
      <sheetName val="CT_Thang_Mo137"/>
      <sheetName val="Chi_tiet137"/>
      <sheetName val="heso"/>
      <sheetName val="OTP GRC"/>
      <sheetName val="CTTR_Transfer_Type287"/>
      <sheetName val="GFP_Type287"/>
      <sheetName val="GFP_Reasons287"/>
      <sheetName val="LAST_YEARS_CS286"/>
      <sheetName val="Fct_Sum_2_SeasonView283"/>
      <sheetName val="F1_Scenarios283"/>
      <sheetName val="Fct_Summary283"/>
      <sheetName val="Chris'_Tab283"/>
      <sheetName val="OTP_Summary_Result283"/>
      <sheetName val="OTP_Projection283"/>
      <sheetName val="Monthly_Loading283"/>
      <sheetName val="OTP_Source283"/>
      <sheetName val="FA14_Detail283"/>
      <sheetName val="Lynne's_Tab283"/>
      <sheetName val="SU14_Detail283"/>
      <sheetName val="Category_Callouts283"/>
      <sheetName val="Cap_Scenario283"/>
      <sheetName val="Subcapacity_outsoles_283"/>
      <sheetName val="PA_Scenarios283"/>
      <sheetName val="PA_Transfer_Summary283"/>
      <sheetName val="Monthly_Loading_-Summary283"/>
      <sheetName val="Monthly_Loading-PB_Data283"/>
      <sheetName val="Monthly_Loading-PrevOTP_Data283"/>
      <sheetName val="Data_Refresh283"/>
      <sheetName val="SUMM_LOADING_282"/>
      <sheetName val="Raw_Data_Sheet282"/>
      <sheetName val="IA_1282"/>
      <sheetName val="DATA_MOLD_NEW_BALANCE282"/>
      <sheetName val="SSAI_IP_ORDER282"/>
      <sheetName val="Cutting_Dies_282"/>
      <sheetName val="Indirect_List268"/>
      <sheetName val="BASIS_DATA268"/>
      <sheetName val="SUBCONT_STATUS268"/>
      <sheetName val="cumulus_16213"/>
      <sheetName val="EAM_INVENTORY178"/>
      <sheetName val="Maintenance_Work_Order178"/>
      <sheetName val="Vietnam_Report140"/>
      <sheetName val="5_수정데이터통합140"/>
      <sheetName val="CT__PL139"/>
      <sheetName val="CT_Thang_Mo139"/>
      <sheetName val="Chi_tiet139"/>
      <sheetName val="CTTR_Transfer_Type286"/>
      <sheetName val="GFP_Type286"/>
      <sheetName val="GFP_Reasons286"/>
      <sheetName val="LAST_YEARS_CS285"/>
      <sheetName val="Fct_Sum_2_SeasonView282"/>
      <sheetName val="F1_Scenarios282"/>
      <sheetName val="Fct_Summary282"/>
      <sheetName val="Chris'_Tab282"/>
      <sheetName val="OTP_Summary_Result282"/>
      <sheetName val="OTP_Projection282"/>
      <sheetName val="Monthly_Loading282"/>
      <sheetName val="OTP_Source282"/>
      <sheetName val="FA14_Detail282"/>
      <sheetName val="Lynne's_Tab282"/>
      <sheetName val="SU14_Detail282"/>
      <sheetName val="Category_Callouts282"/>
      <sheetName val="Cap_Scenario282"/>
      <sheetName val="Subcapacity_outsoles_282"/>
      <sheetName val="PA_Scenarios282"/>
      <sheetName val="PA_Transfer_Summary282"/>
      <sheetName val="Monthly_Loading_-Summary282"/>
      <sheetName val="Monthly_Loading-PB_Data282"/>
      <sheetName val="Monthly_Loading-PrevOTP_Data282"/>
      <sheetName val="Data_Refresh282"/>
      <sheetName val="SUMM_LOADING_281"/>
      <sheetName val="Raw_Data_Sheet281"/>
      <sheetName val="IA_1281"/>
      <sheetName val="DATA_MOLD_NEW_BALANCE281"/>
      <sheetName val="SSAI_IP_ORDER281"/>
      <sheetName val="Cutting_Dies_281"/>
      <sheetName val="Indirect_List267"/>
      <sheetName val="BASIS_DATA267"/>
      <sheetName val="SUBCONT_STATUS267"/>
      <sheetName val="cumulus_16212"/>
      <sheetName val="EAM_INVENTORY177"/>
      <sheetName val="Maintenance_Work_Order177"/>
      <sheetName val="Vietnam_Report139"/>
      <sheetName val="5_수정데이터통합139"/>
      <sheetName val="CT__PL138"/>
      <sheetName val="CT_Thang_Mo138"/>
      <sheetName val="Chi_tiet138"/>
      <sheetName val="FA14_D聥tail135"/>
      <sheetName val=""/>
      <sheetName val="CTTR_Transfer_Type288"/>
      <sheetName val="GFP_Type288"/>
      <sheetName val="GFP_Reasons288"/>
      <sheetName val="LAST_YEARS_CS287"/>
      <sheetName val="Fct_Sum_2_SeasonView284"/>
      <sheetName val="F1_Scenarios284"/>
      <sheetName val="Fct_Summary284"/>
      <sheetName val="Chris'_Tab284"/>
      <sheetName val="OTP_Summary_Result284"/>
      <sheetName val="OTP_Projection284"/>
      <sheetName val="Monthly_Loading284"/>
      <sheetName val="OTP_Source284"/>
      <sheetName val="FA14_Detail284"/>
      <sheetName val="Lynne's_Tab284"/>
      <sheetName val="SU14_Detail284"/>
      <sheetName val="Category_Callouts284"/>
      <sheetName val="Cap_Scenario284"/>
      <sheetName val="Subcapacity_outsoles_284"/>
      <sheetName val="PA_Scenarios284"/>
      <sheetName val="PA_Transfer_Summary284"/>
      <sheetName val="Monthly_Loading_-Summary284"/>
      <sheetName val="Monthly_Loading-PB_Data284"/>
      <sheetName val="Monthly_Loading-PrevOTP_Data284"/>
      <sheetName val="Data_Refresh284"/>
      <sheetName val="SUMM_LOADING_283"/>
      <sheetName val="Raw_Data_Sheet283"/>
      <sheetName val="IA_1283"/>
      <sheetName val="DATA_MOLD_NEW_BALANCE283"/>
      <sheetName val="SSAI_IP_ORDER283"/>
      <sheetName val="Cutting_Dies_283"/>
      <sheetName val="Indirect_List269"/>
      <sheetName val="BASIS_DATA269"/>
      <sheetName val="SUBCONT_STATUS269"/>
      <sheetName val="cumulus_16214"/>
      <sheetName val="EAM_INVENTORY179"/>
      <sheetName val="Maintenance_Work_Order179"/>
      <sheetName val="Vietnam_Report141"/>
      <sheetName val="5_수정데이터통합141"/>
      <sheetName val="CT__PL140"/>
      <sheetName val="CT_Thang_Mo140"/>
      <sheetName val="Chi_tiet140"/>
      <sheetName val="CTTR_Transfer_Type292"/>
      <sheetName val="GFP_Type292"/>
      <sheetName val="GFP_Reasons292"/>
      <sheetName val="LAST_YEARS_CS291"/>
      <sheetName val="Fct_Sum_2_SeasonView288"/>
      <sheetName val="F1_Scenarios288"/>
      <sheetName val="Fct_Summary288"/>
      <sheetName val="Chris'_Tab288"/>
      <sheetName val="OTP_Summary_Result288"/>
      <sheetName val="OTP_Projection288"/>
      <sheetName val="Monthly_Loading288"/>
      <sheetName val="OTP_Source288"/>
      <sheetName val="FA14_Detail288"/>
      <sheetName val="Lynne's_Tab288"/>
      <sheetName val="SU14_Detail288"/>
      <sheetName val="Category_Callouts288"/>
      <sheetName val="Cap_Scenario288"/>
      <sheetName val="Subcapacity_outsoles_288"/>
      <sheetName val="PA_Scenarios288"/>
      <sheetName val="PA_Transfer_Summary288"/>
      <sheetName val="Monthly_Loading_-Summary288"/>
      <sheetName val="Monthly_Loading-PB_Data288"/>
      <sheetName val="Monthly_Loading-PrevOTP_Data288"/>
      <sheetName val="Data_Refresh288"/>
      <sheetName val="SUMM_LOADING_287"/>
      <sheetName val="Raw_Data_Sheet287"/>
      <sheetName val="IA_1287"/>
      <sheetName val="DATA_MOLD_NEW_BALANCE287"/>
      <sheetName val="SSAI_IP_ORDER287"/>
      <sheetName val="Cutting_Dies_287"/>
      <sheetName val="Indirect_List273"/>
      <sheetName val="BASIS_DATA273"/>
      <sheetName val="SUBCONT_STATUS273"/>
      <sheetName val="cumulus_16218"/>
      <sheetName val="EAM_INVENTORY183"/>
      <sheetName val="Maintenance_Work_Order183"/>
      <sheetName val="Vietnam_Report145"/>
      <sheetName val="5_수정데이터통합145"/>
      <sheetName val="CT__PL144"/>
      <sheetName val="CT_Thang_Mo144"/>
      <sheetName val="Chi_tiet144"/>
      <sheetName val="CTTR_Transfer_Type289"/>
      <sheetName val="GFP_Type289"/>
      <sheetName val="GFP_Reasons289"/>
      <sheetName val="LAST_YEARS_CS288"/>
      <sheetName val="Fct_Sum_2_SeasonView285"/>
      <sheetName val="F1_Scenarios285"/>
      <sheetName val="Fct_Summary285"/>
      <sheetName val="Chris'_Tab285"/>
      <sheetName val="OTP_Summary_Result285"/>
      <sheetName val="OTP_Projection285"/>
      <sheetName val="Monthly_Loading285"/>
      <sheetName val="OTP_Source285"/>
      <sheetName val="FA14_Detail285"/>
      <sheetName val="Lynne's_Tab285"/>
      <sheetName val="SU14_Detail285"/>
      <sheetName val="Category_Callouts285"/>
      <sheetName val="Cap_Scenario285"/>
      <sheetName val="Subcapacity_outsoles_285"/>
      <sheetName val="PA_Scenarios285"/>
      <sheetName val="PA_Transfer_Summary285"/>
      <sheetName val="Monthly_Loading_-Summary285"/>
      <sheetName val="Monthly_Loading-PB_Data285"/>
      <sheetName val="Monthly_Loading-PrevOTP_Data285"/>
      <sheetName val="Data_Refresh285"/>
      <sheetName val="SUMM_LOADING_284"/>
      <sheetName val="Raw_Data_Sheet284"/>
      <sheetName val="IA_1284"/>
      <sheetName val="DATA_MOLD_NEW_BALANCE284"/>
      <sheetName val="SSAI_IP_ORDER284"/>
      <sheetName val="Cutting_Dies_284"/>
      <sheetName val="Indirect_List270"/>
      <sheetName val="BASIS_DATA270"/>
      <sheetName val="SUBCONT_STATUS270"/>
      <sheetName val="cumulus_16215"/>
      <sheetName val="EAM_INVENTORY180"/>
      <sheetName val="Maintenance_Work_Order180"/>
      <sheetName val="Vietnam_Report142"/>
      <sheetName val="5_수정데이터통합142"/>
      <sheetName val="CT__PL141"/>
      <sheetName val="CT_Thang_Mo141"/>
      <sheetName val="Chi_tiet141"/>
      <sheetName val="CTTR_Transfer_Type290"/>
      <sheetName val="GFP_Type290"/>
      <sheetName val="GFP_Reasons290"/>
      <sheetName val="LAST_YEARS_CS289"/>
      <sheetName val="Fct_Sum_2_SeasonView286"/>
      <sheetName val="F1_Scenarios286"/>
      <sheetName val="Fct_Summary286"/>
      <sheetName val="Chris'_Tab286"/>
      <sheetName val="OTP_Summary_Result286"/>
      <sheetName val="OTP_Projection286"/>
      <sheetName val="Monthly_Loading286"/>
      <sheetName val="OTP_Source286"/>
      <sheetName val="FA14_Detail286"/>
      <sheetName val="Lynne's_Tab286"/>
      <sheetName val="SU14_Detail286"/>
      <sheetName val="Category_Callouts286"/>
      <sheetName val="Cap_Scenario286"/>
      <sheetName val="Subcapacity_outsoles_286"/>
      <sheetName val="PA_Scenarios286"/>
      <sheetName val="PA_Transfer_Summary286"/>
      <sheetName val="Monthly_Loading_-Summary286"/>
      <sheetName val="Monthly_Loading-PB_Data286"/>
      <sheetName val="Monthly_Loading-PrevOTP_Data286"/>
      <sheetName val="Data_Refresh286"/>
      <sheetName val="SUMM_LOADING_285"/>
      <sheetName val="Raw_Data_Sheet285"/>
      <sheetName val="IA_1285"/>
      <sheetName val="DATA_MOLD_NEW_BALANCE285"/>
      <sheetName val="SSAI_IP_ORDER285"/>
      <sheetName val="Cutting_Dies_285"/>
      <sheetName val="Indirect_List271"/>
      <sheetName val="BASIS_DATA271"/>
      <sheetName val="SUBCONT_STATUS271"/>
      <sheetName val="cumulus_16216"/>
      <sheetName val="EAM_INVENTORY181"/>
      <sheetName val="Maintenance_Work_Order181"/>
      <sheetName val="Vietnam_Report143"/>
      <sheetName val="5_수정데이터통합143"/>
      <sheetName val="CT__PL142"/>
      <sheetName val="CT_Thang_Mo142"/>
      <sheetName val="Chi_tiet142"/>
      <sheetName val="CTTR_Transfer_Type291"/>
      <sheetName val="GFP_Type291"/>
      <sheetName val="GFP_Reasons291"/>
      <sheetName val="LAST_YEARS_CS290"/>
      <sheetName val="Fct_Sum_2_SeasonView287"/>
      <sheetName val="F1_Scenarios287"/>
      <sheetName val="Fct_Summary287"/>
      <sheetName val="Chris'_Tab287"/>
      <sheetName val="OTP_Summary_Result287"/>
      <sheetName val="OTP_Projection287"/>
      <sheetName val="Monthly_Loading287"/>
      <sheetName val="OTP_Source287"/>
      <sheetName val="FA14_Detail287"/>
      <sheetName val="Lynne's_Tab287"/>
      <sheetName val="SU14_Detail287"/>
      <sheetName val="Category_Callouts287"/>
      <sheetName val="Cap_Scenario287"/>
      <sheetName val="Subcapacity_outsoles_287"/>
      <sheetName val="PA_Scenarios287"/>
      <sheetName val="PA_Transfer_Summary287"/>
      <sheetName val="Monthly_Loading_-Summary287"/>
      <sheetName val="Monthly_Loading-PB_Data287"/>
      <sheetName val="Monthly_Loading-PrevOTP_Data287"/>
      <sheetName val="Data_Refresh287"/>
      <sheetName val="SUMM_LOADING_286"/>
      <sheetName val="Raw_Data_Sheet286"/>
      <sheetName val="IA_1286"/>
      <sheetName val="DATA_MOLD_NEW_BALANCE286"/>
      <sheetName val="SSAI_IP_ORDER286"/>
      <sheetName val="Cutting_Dies_286"/>
      <sheetName val="Indirect_List272"/>
      <sheetName val="BASIS_DATA272"/>
      <sheetName val="SUBCONT_STATUS272"/>
      <sheetName val="cumulus_16217"/>
      <sheetName val="EAM_INVENTORY182"/>
      <sheetName val="Maintenance_Work_Order182"/>
      <sheetName val="Vietnam_Report144"/>
      <sheetName val="5_수정데이터통합144"/>
      <sheetName val="CT__PL143"/>
      <sheetName val="CT_Thang_Mo143"/>
      <sheetName val="Chi_tiet143"/>
      <sheetName val="CTTR_Transfer_Type293"/>
      <sheetName val="GFP_Type293"/>
      <sheetName val="GFP_Reasons293"/>
      <sheetName val="LAST_YEARS_CS292"/>
      <sheetName val="Fct_Sum_2_SeasonView289"/>
      <sheetName val="F1_Scenarios289"/>
      <sheetName val="Fct_Summary289"/>
      <sheetName val="Chris'_Tab289"/>
      <sheetName val="OTP_Summary_Result289"/>
      <sheetName val="OTP_Projection289"/>
      <sheetName val="Monthly_Loading289"/>
      <sheetName val="OTP_Source289"/>
      <sheetName val="FA14_Detail289"/>
      <sheetName val="Lynne's_Tab289"/>
      <sheetName val="SU14_Detail289"/>
      <sheetName val="Category_Callouts289"/>
      <sheetName val="Cap_Scenario289"/>
      <sheetName val="Subcapacity_outsoles_289"/>
      <sheetName val="PA_Scenarios289"/>
      <sheetName val="PA_Transfer_Summary289"/>
      <sheetName val="Monthly_Loading_-Summary289"/>
      <sheetName val="Monthly_Loading-PB_Data289"/>
      <sheetName val="Monthly_Loading-PrevOTP_Data289"/>
      <sheetName val="Data_Refresh289"/>
      <sheetName val="SUMM_LOADING_288"/>
      <sheetName val="Raw_Data_Sheet288"/>
      <sheetName val="IA_1288"/>
      <sheetName val="DATA_MOLD_NEW_BALANCE288"/>
      <sheetName val="SSAI_IP_ORDER288"/>
      <sheetName val="Cutting_Dies_288"/>
      <sheetName val="Indirect_List274"/>
      <sheetName val="BASIS_DATA274"/>
      <sheetName val="SUBCONT_STATUS274"/>
      <sheetName val="cumulus_16219"/>
      <sheetName val="EAM_INVENTORY184"/>
      <sheetName val="Maintenance_Work_Order184"/>
      <sheetName val="Vietnam_Report146"/>
      <sheetName val="5_수정데이터통합146"/>
      <sheetName val="CT__PL145"/>
      <sheetName val="CT_Thang_Mo145"/>
      <sheetName val="Chi_tiet145"/>
      <sheetName val="CTTR_Transfer_Type294"/>
      <sheetName val="GFP_Type294"/>
      <sheetName val="GFP_Reasons294"/>
      <sheetName val="LAST_YEARS_CS293"/>
      <sheetName val="Fct_Sum_2_SeasonView290"/>
      <sheetName val="F1_Scenarios290"/>
      <sheetName val="Fct_Summary290"/>
      <sheetName val="Chris'_Tab290"/>
      <sheetName val="OTP_Summary_Result290"/>
      <sheetName val="OTP_Projection290"/>
      <sheetName val="Monthly_Loading290"/>
      <sheetName val="OTP_Source290"/>
      <sheetName val="FA14_Detail290"/>
      <sheetName val="Lynne's_Tab290"/>
      <sheetName val="SU14_Detail290"/>
      <sheetName val="Category_Callouts290"/>
      <sheetName val="Cap_Scenario290"/>
      <sheetName val="Subcapacity_outsoles_290"/>
      <sheetName val="PA_Scenarios290"/>
      <sheetName val="PA_Transfer_Summary290"/>
      <sheetName val="Monthly_Loading_-Summary290"/>
      <sheetName val="Monthly_Loading-PB_Data290"/>
      <sheetName val="Monthly_Loading-PrevOTP_Data290"/>
      <sheetName val="Data_Refresh290"/>
      <sheetName val="SUMM_LOADING_289"/>
      <sheetName val="Raw_Data_Sheet289"/>
      <sheetName val="IA_1289"/>
      <sheetName val="DATA_MOLD_NEW_BALANCE289"/>
      <sheetName val="SSAI_IP_ORDER289"/>
      <sheetName val="Cutting_Dies_289"/>
      <sheetName val="Indirect_List275"/>
      <sheetName val="BASIS_DATA275"/>
      <sheetName val="SUBCONT_STATUS275"/>
      <sheetName val="cumulus_16220"/>
      <sheetName val="EAM_INVENTORY185"/>
      <sheetName val="Maintenance_Work_Order185"/>
      <sheetName val="Vietnam_Report147"/>
      <sheetName val="5_수정데이터통합147"/>
      <sheetName val="CT__PL146"/>
      <sheetName val="CT_Thang_Mo146"/>
      <sheetName val="Chi_tiet146"/>
      <sheetName val="CTTR_Transfer_Type295"/>
      <sheetName val="GFP_Type295"/>
      <sheetName val="GFP_Reasons295"/>
      <sheetName val="LAST_YEARS_CS294"/>
      <sheetName val="Fct_Sum_2_SeasonView291"/>
      <sheetName val="F1_Scenarios291"/>
      <sheetName val="Fct_Summary291"/>
      <sheetName val="Chris'_Tab291"/>
      <sheetName val="OTP_Summary_Result291"/>
      <sheetName val="OTP_Projection291"/>
      <sheetName val="Monthly_Loading291"/>
      <sheetName val="OTP_Source291"/>
      <sheetName val="FA14_Detail291"/>
      <sheetName val="Lynne's_Tab291"/>
      <sheetName val="SU14_Detail291"/>
      <sheetName val="Category_Callouts291"/>
      <sheetName val="Cap_Scenario291"/>
      <sheetName val="Subcapacity_outsoles_291"/>
      <sheetName val="PA_Scenarios291"/>
      <sheetName val="PA_Transfer_Summary291"/>
      <sheetName val="Monthly_Loading_-Summary291"/>
      <sheetName val="Monthly_Loading-PB_Data291"/>
      <sheetName val="Monthly_Loading-PrevOTP_Data291"/>
      <sheetName val="Data_Refresh291"/>
      <sheetName val="SUMM_LOADING_290"/>
      <sheetName val="Raw_Data_Sheet290"/>
      <sheetName val="IA_1290"/>
      <sheetName val="DATA_MOLD_NEW_BALANCE290"/>
      <sheetName val="SSAI_IP_ORDER290"/>
      <sheetName val="Cutting_Dies_290"/>
      <sheetName val="Indirect_List276"/>
      <sheetName val="BASIS_DATA276"/>
      <sheetName val="SUBCONT_STATUS276"/>
      <sheetName val="cumulus_16221"/>
      <sheetName val="EAM_INVENTORY186"/>
      <sheetName val="Maintenance_Work_Order186"/>
      <sheetName val="Vietnam_Report148"/>
      <sheetName val="5_수정데이터통합148"/>
      <sheetName val="CT__PL147"/>
      <sheetName val="CT_Thang_Mo147"/>
      <sheetName val="Chi_tiet147"/>
      <sheetName val="CTTR_Transfer_Type296"/>
      <sheetName val="GFP_Type296"/>
      <sheetName val="GFP_Reasons296"/>
      <sheetName val="LAST_YEARS_CS295"/>
      <sheetName val="Fct_Sum_2_SeasonView292"/>
      <sheetName val="F1_Scenarios292"/>
      <sheetName val="Fct_Summary292"/>
      <sheetName val="Chris'_Tab292"/>
      <sheetName val="OTP_Summary_Result292"/>
      <sheetName val="OTP_Projection292"/>
      <sheetName val="Monthly_Loading292"/>
      <sheetName val="OTP_Source292"/>
      <sheetName val="FA14_Detail292"/>
      <sheetName val="Lynne's_Tab292"/>
      <sheetName val="SU14_Detail292"/>
      <sheetName val="Category_Callouts292"/>
      <sheetName val="Cap_Scenario292"/>
      <sheetName val="Subcapacity_outsoles_292"/>
      <sheetName val="PA_Scenarios292"/>
      <sheetName val="PA_Transfer_Summary292"/>
      <sheetName val="Monthly_Loading_-Summary292"/>
      <sheetName val="Monthly_Loading-PB_Data292"/>
      <sheetName val="Monthly_Loading-PrevOTP_Data292"/>
      <sheetName val="Data_Refresh292"/>
      <sheetName val="SUMM_LOADING_291"/>
      <sheetName val="Raw_Data_Sheet291"/>
      <sheetName val="IA_1291"/>
      <sheetName val="DATA_MOLD_NEW_BALANCE291"/>
      <sheetName val="SSAI_IP_ORDER291"/>
      <sheetName val="Cutting_Dies_291"/>
      <sheetName val="Indirect_List277"/>
      <sheetName val="BASIS_DATA277"/>
      <sheetName val="SUBCONT_STATUS277"/>
      <sheetName val="cumulus_16222"/>
      <sheetName val="EAM_INVENTORY187"/>
      <sheetName val="Maintenance_Work_Order187"/>
      <sheetName val="Vietnam_Report149"/>
      <sheetName val="5_수정데이터통합149"/>
      <sheetName val="CT__PL148"/>
      <sheetName val="CT_Thang_Mo148"/>
      <sheetName val="Chi_tiet148"/>
      <sheetName val="CTTR_Transfer_Type297"/>
      <sheetName val="GFP_Type297"/>
      <sheetName val="GFP_Reasons297"/>
      <sheetName val="LAST_YEARS_CS296"/>
      <sheetName val="Fct_Sum_2_SeasonView293"/>
      <sheetName val="F1_Scenarios293"/>
      <sheetName val="Fct_Summary293"/>
      <sheetName val="Chris'_Tab293"/>
      <sheetName val="OTP_Summary_Result293"/>
      <sheetName val="OTP_Projection293"/>
      <sheetName val="Monthly_Loading293"/>
      <sheetName val="OTP_Source293"/>
      <sheetName val="FA14_Detail293"/>
      <sheetName val="Lynne's_Tab293"/>
      <sheetName val="SU14_Detail293"/>
      <sheetName val="Category_Callouts293"/>
      <sheetName val="Cap_Scenario293"/>
      <sheetName val="Subcapacity_outsoles_293"/>
      <sheetName val="PA_Scenarios293"/>
      <sheetName val="PA_Transfer_Summary293"/>
      <sheetName val="Monthly_Loading_-Summary293"/>
      <sheetName val="Monthly_Loading-PB_Data293"/>
      <sheetName val="Monthly_Loading-PrevOTP_Data293"/>
      <sheetName val="Data_Refresh293"/>
      <sheetName val="SUMM_LOADING_292"/>
      <sheetName val="Raw_Data_Sheet292"/>
      <sheetName val="IA_1292"/>
      <sheetName val="DATA_MOLD_NEW_BALANCE292"/>
      <sheetName val="SSAI_IP_ORDER292"/>
      <sheetName val="Cutting_Dies_292"/>
      <sheetName val="Indirect_List278"/>
      <sheetName val="BASIS_DATA278"/>
      <sheetName val="SUBCONT_STATUS278"/>
      <sheetName val="cumulus_16223"/>
      <sheetName val="EAM_INVENTORY188"/>
      <sheetName val="Maintenance_Work_Order188"/>
      <sheetName val="Vietnam_Report150"/>
      <sheetName val="5_수정데이터통합150"/>
      <sheetName val="CT__PL149"/>
      <sheetName val="CT_Thang_Mo149"/>
      <sheetName val="Chi_tiet149"/>
      <sheetName val="CTTR_Transfer_Type298"/>
      <sheetName val="GFP_Type298"/>
      <sheetName val="GFP_Reasons298"/>
      <sheetName val="LAST_YEARS_CS297"/>
      <sheetName val="Fct_Sum_2_SeasonView294"/>
      <sheetName val="F1_Scenarios294"/>
      <sheetName val="Fct_Summary294"/>
      <sheetName val="Chris'_Tab294"/>
      <sheetName val="OTP_Summary_Result294"/>
      <sheetName val="OTP_Projection294"/>
      <sheetName val="Monthly_Loading294"/>
      <sheetName val="OTP_Source294"/>
      <sheetName val="FA14_Detail294"/>
      <sheetName val="Lynne's_Tab294"/>
      <sheetName val="SU14_Detail294"/>
      <sheetName val="Category_Callouts294"/>
      <sheetName val="Cap_Scenario294"/>
      <sheetName val="Subcapacity_outsoles_294"/>
      <sheetName val="PA_Scenarios294"/>
      <sheetName val="PA_Transfer_Summary294"/>
      <sheetName val="Monthly_Loading_-Summary294"/>
      <sheetName val="Monthly_Loading-PB_Data294"/>
      <sheetName val="Monthly_Loading-PrevOTP_Data294"/>
      <sheetName val="Data_Refresh294"/>
      <sheetName val="SUMM_LOADING_293"/>
      <sheetName val="Raw_Data_Sheet293"/>
      <sheetName val="IA_1293"/>
      <sheetName val="DATA_MOLD_NEW_BALANCE293"/>
      <sheetName val="SSAI_IP_ORDER293"/>
      <sheetName val="Cutting_Dies_293"/>
      <sheetName val="Indirect_List279"/>
      <sheetName val="BASIS_DATA279"/>
      <sheetName val="SUBCONT_STATUS279"/>
      <sheetName val="cumulus_16224"/>
      <sheetName val="EAM_INVENTORY189"/>
      <sheetName val="Maintenance_Work_Order189"/>
      <sheetName val="Vietnam_Report151"/>
      <sheetName val="5_수정데이터통합151"/>
      <sheetName val="CT__PL150"/>
      <sheetName val="CT_Thang_Mo150"/>
      <sheetName val="Chi_tiet150"/>
      <sheetName val="OTP_GRC"/>
      <sheetName val="CTTR_Transfer_Type299"/>
      <sheetName val="GFP_Type299"/>
      <sheetName val="GFP_Reasons299"/>
      <sheetName val="LAST_YEARS_CS298"/>
      <sheetName val="Fct_Sum_2_SeasonView295"/>
      <sheetName val="F1_Scenarios295"/>
      <sheetName val="Fct_Summary295"/>
      <sheetName val="Chris'_Tab295"/>
      <sheetName val="OTP_Summary_Result295"/>
      <sheetName val="OTP_Projection295"/>
      <sheetName val="Monthly_Loading295"/>
      <sheetName val="OTP_Source295"/>
      <sheetName val="FA14_Detail295"/>
      <sheetName val="Lynne's_Tab295"/>
      <sheetName val="SU14_Detail295"/>
      <sheetName val="Category_Callouts295"/>
      <sheetName val="Cap_Scenario295"/>
      <sheetName val="Subcapacity_outsoles_295"/>
      <sheetName val="PA_Scenarios295"/>
      <sheetName val="PA_Transfer_Summary295"/>
      <sheetName val="Monthly_Loading_-Summary295"/>
      <sheetName val="Monthly_Loading-PB_Data295"/>
      <sheetName val="Monthly_Loading-PrevOTP_Data295"/>
      <sheetName val="Data_Refresh295"/>
      <sheetName val="SUMM_LOADING_294"/>
      <sheetName val="Raw_Data_Sheet294"/>
      <sheetName val="IA_1294"/>
      <sheetName val="DATA_MOLD_NEW_BALANCE294"/>
      <sheetName val="SSAI_IP_ORDER294"/>
      <sheetName val="Cutting_Dies_294"/>
      <sheetName val="Indirect_List280"/>
      <sheetName val="BASIS_DATA280"/>
      <sheetName val="SUBCONT_STATUS280"/>
      <sheetName val="cumulus_16225"/>
      <sheetName val="EAM_INVENTORY190"/>
      <sheetName val="Maintenance_Work_Order190"/>
      <sheetName val="Vietnam_Report152"/>
      <sheetName val="5_수정데이터통합152"/>
      <sheetName val="CT__PL151"/>
      <sheetName val="CT_Thang_Mo151"/>
      <sheetName val="Chi_tiet151"/>
      <sheetName val="OTP_GRC1"/>
      <sheetName val="CTTR_Transfer_Type300"/>
      <sheetName val="GFP_Type300"/>
      <sheetName val="GFP_Reasons300"/>
      <sheetName val="LAST_YEARS_CS299"/>
      <sheetName val="Fct_Sum_2_SeasonView296"/>
      <sheetName val="F1_Scenarios296"/>
      <sheetName val="Fct_Summary296"/>
      <sheetName val="Chris'_Tab296"/>
      <sheetName val="OTP_Summary_Result296"/>
      <sheetName val="OTP_Projection296"/>
      <sheetName val="Monthly_Loading296"/>
      <sheetName val="OTP_Source296"/>
      <sheetName val="FA14_Detail296"/>
      <sheetName val="Lynne's_Tab296"/>
      <sheetName val="SU14_Detail296"/>
      <sheetName val="Category_Callouts296"/>
      <sheetName val="Cap_Scenario296"/>
      <sheetName val="Subcapacity_outsoles_296"/>
      <sheetName val="PA_Scenarios296"/>
      <sheetName val="PA_Transfer_Summary296"/>
      <sheetName val="Monthly_Loading_-Summary296"/>
      <sheetName val="Monthly_Loading-PB_Data296"/>
      <sheetName val="Monthly_Loading-PrevOTP_Data296"/>
      <sheetName val="Data_Refresh296"/>
      <sheetName val="SUMM_LOADING_295"/>
      <sheetName val="Raw_Data_Sheet295"/>
      <sheetName val="IA_1295"/>
      <sheetName val="DATA_MOLD_NEW_BALANCE295"/>
      <sheetName val="SSAI_IP_ORDER295"/>
      <sheetName val="Cutting_Dies_295"/>
      <sheetName val="Indirect_List281"/>
      <sheetName val="BASIS_DATA281"/>
      <sheetName val="SUBCONT_STATUS281"/>
      <sheetName val="cumulus_16226"/>
      <sheetName val="EAM_INVENTORY191"/>
      <sheetName val="Maintenance_Work_Order191"/>
      <sheetName val="Vietnam_Report153"/>
      <sheetName val="5_수정데이터통합153"/>
      <sheetName val="CT__PL152"/>
      <sheetName val="CT_Thang_Mo152"/>
      <sheetName val="Chi_tiet152"/>
      <sheetName val="OTP_GRC2"/>
      <sheetName val="CTTR_Transfer_Type301"/>
      <sheetName val="GFP_Type301"/>
      <sheetName val="GFP_Reasons301"/>
      <sheetName val="LAST_YEARS_CS300"/>
      <sheetName val="Fct_Sum_2_SeasonView297"/>
      <sheetName val="F1_Scenarios297"/>
      <sheetName val="Fct_Summary297"/>
      <sheetName val="Chris'_Tab297"/>
      <sheetName val="OTP_Summary_Result297"/>
      <sheetName val="OTP_Projection297"/>
      <sheetName val="Monthly_Loading297"/>
      <sheetName val="OTP_Source297"/>
      <sheetName val="FA14_Detail297"/>
      <sheetName val="Lynne's_Tab297"/>
      <sheetName val="SU14_Detail297"/>
      <sheetName val="Category_Callouts297"/>
      <sheetName val="Cap_Scenario297"/>
      <sheetName val="Subcapacity_outsoles_297"/>
      <sheetName val="PA_Scenarios297"/>
      <sheetName val="PA_Transfer_Summary297"/>
      <sheetName val="Monthly_Loading_-Summary297"/>
      <sheetName val="Monthly_Loading-PB_Data297"/>
      <sheetName val="Monthly_Loading-PrevOTP_Data297"/>
      <sheetName val="Data_Refresh297"/>
      <sheetName val="SUMM_LOADING_296"/>
      <sheetName val="Raw_Data_Sheet296"/>
      <sheetName val="IA_1296"/>
      <sheetName val="DATA_MOLD_NEW_BALANCE296"/>
      <sheetName val="SSAI_IP_ORDER296"/>
      <sheetName val="Cutting_Dies_296"/>
      <sheetName val="Indirect_List282"/>
      <sheetName val="BASIS_DATA282"/>
      <sheetName val="SUBCONT_STATUS282"/>
      <sheetName val="cumulus_16227"/>
      <sheetName val="EAM_INVENTORY192"/>
      <sheetName val="Maintenance_Work_Order192"/>
      <sheetName val="Vietnam_Report154"/>
      <sheetName val="5_수정데이터통합154"/>
      <sheetName val="CT__PL153"/>
      <sheetName val="CT_Thang_Mo153"/>
      <sheetName val="Chi_tiet153"/>
      <sheetName val="OTP_GRC3"/>
      <sheetName val="CTTR_Transfer_Type302"/>
      <sheetName val="GFP_Type302"/>
      <sheetName val="GFP_Reasons302"/>
      <sheetName val="LAST_YEARS_CS301"/>
      <sheetName val="Fct_Sum_2_SeasonView298"/>
      <sheetName val="F1_Scenarios298"/>
      <sheetName val="Fct_Summary298"/>
      <sheetName val="Chris'_Tab298"/>
      <sheetName val="OTP_Summary_Result298"/>
      <sheetName val="OTP_Projection298"/>
      <sheetName val="Monthly_Loading298"/>
      <sheetName val="OTP_Source298"/>
      <sheetName val="FA14_Detail298"/>
      <sheetName val="Lynne's_Tab298"/>
      <sheetName val="SU14_Detail298"/>
      <sheetName val="Category_Callouts298"/>
      <sheetName val="Cap_Scenario298"/>
      <sheetName val="Subcapacity_outsoles_298"/>
      <sheetName val="PA_Scenarios298"/>
      <sheetName val="PA_Transfer_Summary298"/>
      <sheetName val="Monthly_Loading_-Summary298"/>
      <sheetName val="Monthly_Loading-PB_Data298"/>
      <sheetName val="Monthly_Loading-PrevOTP_Data298"/>
      <sheetName val="Data_Refresh298"/>
      <sheetName val="SUMM_LOADING_297"/>
      <sheetName val="Raw_Data_Sheet297"/>
      <sheetName val="IA_1297"/>
      <sheetName val="DATA_MOLD_NEW_BALANCE297"/>
      <sheetName val="SSAI_IP_ORDER297"/>
      <sheetName val="Cutting_Dies_297"/>
      <sheetName val="Indirect_List283"/>
      <sheetName val="BASIS_DATA283"/>
      <sheetName val="SUBCONT_STATUS283"/>
      <sheetName val="cumulus_16228"/>
      <sheetName val="EAM_INVENTORY193"/>
      <sheetName val="Maintenance_Work_Order193"/>
      <sheetName val="Vietnam_Report155"/>
      <sheetName val="5_수정데이터통합155"/>
      <sheetName val="CT__PL154"/>
      <sheetName val="CT_Thang_Mo154"/>
      <sheetName val="Chi_tiet154"/>
      <sheetName val="OTP_GRC4"/>
      <sheetName val="CTTR_Transfer_Type303"/>
      <sheetName val="GFP_Type303"/>
      <sheetName val="GFP_Reasons303"/>
      <sheetName val="LAST_YEARS_CS302"/>
      <sheetName val="Fct_Sum_2_SeasonView299"/>
      <sheetName val="F1_Scenarios299"/>
      <sheetName val="Fct_Summary299"/>
      <sheetName val="Chris'_Tab299"/>
      <sheetName val="OTP_Summary_Result299"/>
      <sheetName val="OTP_Projection299"/>
      <sheetName val="Monthly_Loading299"/>
      <sheetName val="OTP_Source299"/>
      <sheetName val="FA14_Detail299"/>
      <sheetName val="Lynne's_Tab299"/>
      <sheetName val="SU14_Detail299"/>
      <sheetName val="Category_Callouts299"/>
      <sheetName val="Cap_Scenario299"/>
      <sheetName val="Subcapacity_outsoles_299"/>
      <sheetName val="PA_Scenarios299"/>
      <sheetName val="PA_Transfer_Summary299"/>
      <sheetName val="Monthly_Loading_-Summary299"/>
      <sheetName val="Monthly_Loading-PB_Data299"/>
      <sheetName val="Monthly_Loading-PrevOTP_Data299"/>
      <sheetName val="Data_Refresh299"/>
      <sheetName val="SUMM_LOADING_298"/>
      <sheetName val="Raw_Data_Sheet298"/>
      <sheetName val="IA_1298"/>
      <sheetName val="DATA_MOLD_NEW_BALANCE298"/>
      <sheetName val="SSAI_IP_ORDER298"/>
      <sheetName val="Cutting_Dies_298"/>
      <sheetName val="Indirect_List284"/>
      <sheetName val="BASIS_DATA284"/>
      <sheetName val="SUBCONT_STATUS284"/>
      <sheetName val="cumulus_16229"/>
      <sheetName val="EAM_INVENTORY194"/>
      <sheetName val="Maintenance_Work_Order194"/>
      <sheetName val="Vietnam_Report156"/>
      <sheetName val="5_수정데이터통합156"/>
      <sheetName val="CT__PL155"/>
      <sheetName val="CT_Thang_Mo155"/>
      <sheetName val="Chi_tiet155"/>
      <sheetName val="OTP_GRC5"/>
      <sheetName val="CTTR_Transfer_Type304"/>
      <sheetName val="GFP_Type304"/>
      <sheetName val="GFP_Reasons304"/>
      <sheetName val="LAST_YEARS_CS303"/>
      <sheetName val="Fct_Sum_2_SeasonView300"/>
      <sheetName val="F1_Scenarios300"/>
      <sheetName val="Fct_Summary300"/>
      <sheetName val="Chris'_Tab300"/>
      <sheetName val="OTP_Summary_Result300"/>
      <sheetName val="OTP_Projection300"/>
      <sheetName val="Monthly_Loading300"/>
      <sheetName val="OTP_Source300"/>
      <sheetName val="FA14_Detail300"/>
      <sheetName val="Lynne's_Tab300"/>
      <sheetName val="SU14_Detail300"/>
      <sheetName val="Category_Callouts300"/>
      <sheetName val="Cap_Scenario300"/>
      <sheetName val="Subcapacity_outsoles_300"/>
      <sheetName val="PA_Scenarios300"/>
      <sheetName val="PA_Transfer_Summary300"/>
      <sheetName val="Monthly_Loading_-Summary300"/>
      <sheetName val="Monthly_Loading-PB_Data300"/>
      <sheetName val="Monthly_Loading-PrevOTP_Data300"/>
      <sheetName val="Data_Refresh300"/>
      <sheetName val="SUMM_LOADING_299"/>
      <sheetName val="Raw_Data_Sheet299"/>
      <sheetName val="IA_1299"/>
      <sheetName val="DATA_MOLD_NEW_BALANCE299"/>
      <sheetName val="SSAI_IP_ORDER299"/>
      <sheetName val="Cutting_Dies_299"/>
      <sheetName val="Indirect_List285"/>
      <sheetName val="BASIS_DATA285"/>
      <sheetName val="SUBCONT_STATUS285"/>
      <sheetName val="cumulus_16230"/>
      <sheetName val="EAM_INVENTORY195"/>
      <sheetName val="Maintenance_Work_Order195"/>
      <sheetName val="Vietnam_Report157"/>
      <sheetName val="5_수정데이터통합157"/>
      <sheetName val="CT__PL156"/>
      <sheetName val="CT_Thang_Mo156"/>
      <sheetName val="Chi_tiet156"/>
      <sheetName val="OTP_GRC6"/>
      <sheetName val="CTTR_Transfer_Type305"/>
      <sheetName val="GFP_Type305"/>
      <sheetName val="GFP_Reasons305"/>
      <sheetName val="LAST_YEARS_CS304"/>
      <sheetName val="Fct_Sum_2_SeasonView301"/>
      <sheetName val="F1_Scenarios301"/>
      <sheetName val="Fct_Summary301"/>
      <sheetName val="Chris'_Tab301"/>
      <sheetName val="OTP_Summary_Result301"/>
      <sheetName val="OTP_Projection301"/>
      <sheetName val="Monthly_Loading301"/>
      <sheetName val="OTP_Source301"/>
      <sheetName val="FA14_Detail301"/>
      <sheetName val="Lynne's_Tab301"/>
      <sheetName val="SU14_Detail301"/>
      <sheetName val="Category_Callouts301"/>
      <sheetName val="Cap_Scenario301"/>
      <sheetName val="Subcapacity_outsoles_301"/>
      <sheetName val="PA_Scenarios301"/>
      <sheetName val="PA_Transfer_Summary301"/>
      <sheetName val="Monthly_Loading_-Summary301"/>
      <sheetName val="Monthly_Loading-PB_Data301"/>
      <sheetName val="Monthly_Loading-PrevOTP_Data301"/>
      <sheetName val="Data_Refresh301"/>
      <sheetName val="SUMM_LOADING_300"/>
      <sheetName val="Raw_Data_Sheet300"/>
      <sheetName val="IA_1300"/>
      <sheetName val="DATA_MOLD_NEW_BALANCE300"/>
      <sheetName val="SSAI_IP_ORDER300"/>
      <sheetName val="Cutting_Dies_300"/>
      <sheetName val="Indirect_List286"/>
      <sheetName val="BASIS_DATA286"/>
      <sheetName val="SUBCONT_STATUS286"/>
      <sheetName val="cumulus_16231"/>
      <sheetName val="EAM_INVENTORY196"/>
      <sheetName val="Maintenance_Work_Order196"/>
      <sheetName val="Vietnam_Report158"/>
      <sheetName val="5_수정데이터통합158"/>
      <sheetName val="CT__PL157"/>
      <sheetName val="CT_Thang_Mo157"/>
      <sheetName val="Chi_tiet157"/>
      <sheetName val="OTP_GRC7"/>
      <sheetName val="CTTR_Transfer_Type306"/>
      <sheetName val="GFP_Type306"/>
      <sheetName val="GFP_Reasons306"/>
      <sheetName val="LAST_YEARS_CS305"/>
      <sheetName val="Fct_Sum_2_SeasonView302"/>
      <sheetName val="F1_Scenarios302"/>
      <sheetName val="Fct_Summary302"/>
      <sheetName val="Chris'_Tab302"/>
      <sheetName val="OTP_Summary_Result302"/>
      <sheetName val="OTP_Projection302"/>
      <sheetName val="Monthly_Loading302"/>
      <sheetName val="OTP_Source302"/>
      <sheetName val="FA14_Detail302"/>
      <sheetName val="Lynne's_Tab302"/>
      <sheetName val="SU14_Detail302"/>
      <sheetName val="Category_Callouts302"/>
      <sheetName val="Cap_Scenario302"/>
      <sheetName val="Subcapacity_outsoles_302"/>
      <sheetName val="PA_Scenarios302"/>
      <sheetName val="PA_Transfer_Summary302"/>
      <sheetName val="Monthly_Loading_-Summary302"/>
      <sheetName val="Monthly_Loading-PB_Data302"/>
      <sheetName val="Monthly_Loading-PrevOTP_Data302"/>
      <sheetName val="Data_Refresh302"/>
      <sheetName val="SUMM_LOADING_301"/>
      <sheetName val="Raw_Data_Sheet301"/>
      <sheetName val="IA_1301"/>
      <sheetName val="DATA_MOLD_NEW_BALANCE301"/>
      <sheetName val="SSAI_IP_ORDER301"/>
      <sheetName val="Cutting_Dies_301"/>
      <sheetName val="Indirect_List287"/>
      <sheetName val="BASIS_DATA287"/>
      <sheetName val="SUBCONT_STATUS287"/>
      <sheetName val="cumulus_16232"/>
      <sheetName val="EAM_INVENTORY197"/>
      <sheetName val="Maintenance_Work_Order197"/>
      <sheetName val="Vietnam_Report159"/>
      <sheetName val="5_수정데이터통합159"/>
      <sheetName val="CT__PL158"/>
      <sheetName val="CT_Thang_Mo158"/>
      <sheetName val="Chi_tiet158"/>
      <sheetName val="OTP_GRC8"/>
      <sheetName val="CTTR_Transfer_Type307"/>
      <sheetName val="GFP_Type307"/>
      <sheetName val="GFP_Reasons307"/>
      <sheetName val="LAST_YEARS_CS306"/>
      <sheetName val="Fct_Sum_2_SeasonView303"/>
      <sheetName val="F1_Scenarios303"/>
      <sheetName val="Fct_Summary303"/>
      <sheetName val="Chris'_Tab303"/>
      <sheetName val="OTP_Summary_Result303"/>
      <sheetName val="OTP_Projection303"/>
      <sheetName val="Monthly_Loading303"/>
      <sheetName val="OTP_Source303"/>
      <sheetName val="FA14_Detail303"/>
      <sheetName val="Lynne's_Tab303"/>
      <sheetName val="SU14_Detail303"/>
      <sheetName val="Category_Callouts303"/>
      <sheetName val="Cap_Scenario303"/>
      <sheetName val="Subcapacity_outsoles_303"/>
      <sheetName val="PA_Scenarios303"/>
      <sheetName val="PA_Transfer_Summary303"/>
      <sheetName val="Monthly_Loading_-Summary303"/>
      <sheetName val="Monthly_Loading-PB_Data303"/>
      <sheetName val="Monthly_Loading-PrevOTP_Data303"/>
      <sheetName val="Data_Refresh303"/>
      <sheetName val="SUMM_LOADING_302"/>
      <sheetName val="Raw_Data_Sheet302"/>
      <sheetName val="IA_1302"/>
      <sheetName val="DATA_MOLD_NEW_BALANCE302"/>
      <sheetName val="SSAI_IP_ORDER302"/>
      <sheetName val="Cutting_Dies_302"/>
      <sheetName val="Indirect_List288"/>
      <sheetName val="BASIS_DATA288"/>
      <sheetName val="SUBCONT_STATUS288"/>
      <sheetName val="cumulus_16233"/>
      <sheetName val="EAM_INVENTORY198"/>
      <sheetName val="Maintenance_Work_Order198"/>
      <sheetName val="Vietnam_Report160"/>
      <sheetName val="5_수정데이터통합160"/>
      <sheetName val="CT__PL159"/>
      <sheetName val="CT_Thang_Mo159"/>
      <sheetName val="Chi_tiet159"/>
      <sheetName val="OTP_GRC9"/>
      <sheetName val="CTTR_Transfer_Type308"/>
      <sheetName val="GFP_Type308"/>
      <sheetName val="GFP_Reasons308"/>
      <sheetName val="LAST_YEARS_CS307"/>
      <sheetName val="Fct_Sum_2_SeasonView304"/>
      <sheetName val="F1_Scenarios304"/>
      <sheetName val="Fct_Summary304"/>
      <sheetName val="Chris'_Tab304"/>
      <sheetName val="OTP_Summary_Result304"/>
      <sheetName val="OTP_Projection304"/>
      <sheetName val="Monthly_Loading304"/>
      <sheetName val="OTP_Source304"/>
      <sheetName val="FA14_Detail304"/>
      <sheetName val="Lynne's_Tab304"/>
      <sheetName val="SU14_Detail304"/>
      <sheetName val="Category_Callouts304"/>
      <sheetName val="Cap_Scenario304"/>
      <sheetName val="Subcapacity_outsoles_304"/>
      <sheetName val="PA_Scenarios304"/>
      <sheetName val="PA_Transfer_Summary304"/>
      <sheetName val="Monthly_Loading_-Summary304"/>
      <sheetName val="Monthly_Loading-PB_Data304"/>
      <sheetName val="Monthly_Loading-PrevOTP_Data304"/>
      <sheetName val="Data_Refresh304"/>
      <sheetName val="SUMM_LOADING_303"/>
      <sheetName val="Raw_Data_Sheet303"/>
      <sheetName val="IA_1303"/>
      <sheetName val="DATA_MOLD_NEW_BALANCE303"/>
      <sheetName val="SSAI_IP_ORDER303"/>
      <sheetName val="Cutting_Dies_303"/>
      <sheetName val="Indirect_List289"/>
      <sheetName val="BASIS_DATA289"/>
      <sheetName val="SUBCONT_STATUS289"/>
      <sheetName val="cumulus_16234"/>
      <sheetName val="EAM_INVENTORY199"/>
      <sheetName val="Maintenance_Work_Order199"/>
      <sheetName val="Vietnam_Report161"/>
      <sheetName val="5_수정데이터통합161"/>
      <sheetName val="CT__PL160"/>
      <sheetName val="CT_Thang_Mo160"/>
      <sheetName val="Chi_tiet160"/>
      <sheetName val="OTP_GRC10"/>
      <sheetName val="CTTR_Transfer_Type309"/>
      <sheetName val="GFP_Type309"/>
      <sheetName val="GFP_Reasons309"/>
      <sheetName val="LAST_YEARS_CS308"/>
      <sheetName val="Fct_Sum_2_SeasonView305"/>
      <sheetName val="F1_Scenarios305"/>
      <sheetName val="Fct_Summary305"/>
      <sheetName val="Chris'_Tab305"/>
      <sheetName val="OTP_Summary_Result305"/>
      <sheetName val="OTP_Projection305"/>
      <sheetName val="Monthly_Loading305"/>
      <sheetName val="OTP_Source305"/>
      <sheetName val="FA14_Detail305"/>
      <sheetName val="Lynne's_Tab305"/>
      <sheetName val="SU14_Detail305"/>
      <sheetName val="Category_Callouts305"/>
      <sheetName val="Cap_Scenario305"/>
      <sheetName val="Subcapacity_outsoles_305"/>
      <sheetName val="PA_Scenarios305"/>
      <sheetName val="PA_Transfer_Summary305"/>
      <sheetName val="Monthly_Loading_-Summary305"/>
      <sheetName val="Monthly_Loading-PB_Data305"/>
      <sheetName val="Monthly_Loading-PrevOTP_Data305"/>
      <sheetName val="Data_Refresh305"/>
      <sheetName val="SUMM_LOADING_304"/>
      <sheetName val="Raw_Data_Sheet304"/>
      <sheetName val="IA_1304"/>
      <sheetName val="DATA_MOLD_NEW_BALANCE304"/>
      <sheetName val="SSAI_IP_ORDER304"/>
      <sheetName val="Cutting_Dies_304"/>
      <sheetName val="Indirect_List290"/>
      <sheetName val="BASIS_DATA290"/>
      <sheetName val="SUBCONT_STATUS290"/>
      <sheetName val="cumulus_16235"/>
      <sheetName val="EAM_INVENTORY200"/>
      <sheetName val="Maintenance_Work_Order200"/>
      <sheetName val="Vietnam_Report162"/>
      <sheetName val="5_수정데이터통합162"/>
      <sheetName val="CT__PL161"/>
      <sheetName val="CT_Thang_Mo161"/>
      <sheetName val="Chi_tiet161"/>
      <sheetName val="OTP_GRC11"/>
      <sheetName val="CTTR_Transfer_Type310"/>
      <sheetName val="GFP_Type310"/>
      <sheetName val="GFP_Reasons310"/>
      <sheetName val="LAST_YEARS_CS309"/>
      <sheetName val="Fct_Sum_2_SeasonView306"/>
      <sheetName val="F1_Scenarios306"/>
      <sheetName val="Fct_Summary306"/>
      <sheetName val="Chris'_Tab306"/>
      <sheetName val="OTP_Summary_Result306"/>
      <sheetName val="OTP_Projection306"/>
      <sheetName val="Monthly_Loading306"/>
      <sheetName val="OTP_Source306"/>
      <sheetName val="FA14_Detail306"/>
      <sheetName val="Lynne's_Tab306"/>
      <sheetName val="SU14_Detail306"/>
      <sheetName val="Category_Callouts306"/>
      <sheetName val="Cap_Scenario306"/>
      <sheetName val="Subcapacity_outsoles_306"/>
      <sheetName val="PA_Scenarios306"/>
      <sheetName val="PA_Transfer_Summary306"/>
      <sheetName val="Monthly_Loading_-Summary306"/>
      <sheetName val="Monthly_Loading-PB_Data306"/>
      <sheetName val="Monthly_Loading-PrevOTP_Data306"/>
      <sheetName val="Data_Refresh306"/>
      <sheetName val="SUMM_LOADING_305"/>
      <sheetName val="Raw_Data_Sheet305"/>
      <sheetName val="IA_1305"/>
      <sheetName val="DATA_MOLD_NEW_BALANCE305"/>
      <sheetName val="SSAI_IP_ORDER305"/>
      <sheetName val="Cutting_Dies_305"/>
      <sheetName val="Indirect_List291"/>
      <sheetName val="BASIS_DATA291"/>
      <sheetName val="SUBCONT_STATUS291"/>
      <sheetName val="cumulus_16236"/>
      <sheetName val="EAM_INVENTORY201"/>
      <sheetName val="Maintenance_Work_Order201"/>
      <sheetName val="Vietnam_Report163"/>
      <sheetName val="5_수정데이터통합163"/>
      <sheetName val="CT__PL162"/>
      <sheetName val="CT_Thang_Mo162"/>
      <sheetName val="Chi_tiet162"/>
      <sheetName val="OTP_GRC12"/>
      <sheetName val="CTTR_Transfer_Type311"/>
      <sheetName val="GFP_Type311"/>
      <sheetName val="GFP_Reasons311"/>
      <sheetName val="LAST_YEARS_CS310"/>
      <sheetName val="Fct_Sum_2_SeasonView307"/>
      <sheetName val="F1_Scenarios307"/>
      <sheetName val="Fct_Summary307"/>
      <sheetName val="Chris'_Tab307"/>
      <sheetName val="OTP_Summary_Result307"/>
      <sheetName val="OTP_Projection307"/>
      <sheetName val="Monthly_Loading307"/>
      <sheetName val="OTP_Source307"/>
      <sheetName val="FA14_Detail307"/>
      <sheetName val="Lynne's_Tab307"/>
      <sheetName val="SU14_Detail307"/>
      <sheetName val="Category_Callouts307"/>
      <sheetName val="Cap_Scenario307"/>
      <sheetName val="Subcapacity_outsoles_307"/>
      <sheetName val="PA_Scenarios307"/>
      <sheetName val="PA_Transfer_Summary307"/>
      <sheetName val="Monthly_Loading_-Summary307"/>
      <sheetName val="Monthly_Loading-PB_Data307"/>
      <sheetName val="Monthly_Loading-PrevOTP_Data307"/>
      <sheetName val="Data_Refresh307"/>
      <sheetName val="SUMM_LOADING_306"/>
      <sheetName val="Raw_Data_Sheet306"/>
      <sheetName val="IA_1306"/>
      <sheetName val="DATA_MOLD_NEW_BALANCE306"/>
      <sheetName val="SSAI_IP_ORDER306"/>
      <sheetName val="Cutting_Dies_306"/>
      <sheetName val="Indirect_List292"/>
      <sheetName val="BASIS_DATA292"/>
      <sheetName val="SUBCONT_STATUS292"/>
      <sheetName val="cumulus_16237"/>
      <sheetName val="EAM_INVENTORY202"/>
      <sheetName val="Maintenance_Work_Order202"/>
      <sheetName val="Vietnam_Report164"/>
      <sheetName val="5_수정데이터통합164"/>
      <sheetName val="CT__PL163"/>
      <sheetName val="CT_Thang_Mo163"/>
      <sheetName val="Chi_tiet163"/>
      <sheetName val="OTP_GRC13"/>
      <sheetName val="CTTR_Transfer_Type312"/>
      <sheetName val="GFP_Type312"/>
      <sheetName val="GFP_Reasons312"/>
      <sheetName val="LAST_YEARS_CS311"/>
      <sheetName val="Fct_Sum_2_SeasonView308"/>
      <sheetName val="F1_Scenarios308"/>
      <sheetName val="Fct_Summary308"/>
      <sheetName val="Chris'_Tab308"/>
      <sheetName val="OTP_Summary_Result308"/>
      <sheetName val="OTP_Projection308"/>
      <sheetName val="Monthly_Loading308"/>
      <sheetName val="OTP_Source308"/>
      <sheetName val="FA14_Detail308"/>
      <sheetName val="Lynne's_Tab308"/>
      <sheetName val="SU14_Detail308"/>
      <sheetName val="Category_Callouts308"/>
      <sheetName val="Cap_Scenario308"/>
      <sheetName val="Subcapacity_outsoles_308"/>
      <sheetName val="PA_Scenarios308"/>
      <sheetName val="PA_Transfer_Summary308"/>
      <sheetName val="Monthly_Loading_-Summary308"/>
      <sheetName val="Monthly_Loading-PB_Data308"/>
      <sheetName val="Monthly_Loading-PrevOTP_Data308"/>
      <sheetName val="Data_Refresh308"/>
      <sheetName val="SUMM_LOADING_307"/>
      <sheetName val="Raw_Data_Sheet307"/>
      <sheetName val="IA_1307"/>
      <sheetName val="DATA_MOLD_NEW_BALANCE307"/>
      <sheetName val="SSAI_IP_ORDER307"/>
      <sheetName val="Cutting_Dies_307"/>
      <sheetName val="Indirect_List293"/>
      <sheetName val="BASIS_DATA293"/>
      <sheetName val="SUBCONT_STATUS293"/>
      <sheetName val="cumulus_16238"/>
      <sheetName val="EAM_INVENTORY203"/>
      <sheetName val="Maintenance_Work_Order203"/>
      <sheetName val="Vietnam_Report165"/>
      <sheetName val="5_수정데이터통합165"/>
      <sheetName val="CT__PL164"/>
      <sheetName val="CT_Thang_Mo164"/>
      <sheetName val="Chi_tiet164"/>
      <sheetName val="OTP_GRC14"/>
      <sheetName val="CTTR_Transfer_Type313"/>
      <sheetName val="GFP_Type313"/>
      <sheetName val="GFP_Reasons313"/>
      <sheetName val="LAST_YEARS_CS312"/>
      <sheetName val="Fct_Sum_2_SeasonView309"/>
      <sheetName val="F1_Scenarios309"/>
      <sheetName val="Fct_Summary309"/>
      <sheetName val="Chris'_Tab309"/>
      <sheetName val="OTP_Summary_Result309"/>
      <sheetName val="OTP_Projection309"/>
      <sheetName val="Monthly_Loading309"/>
      <sheetName val="OTP_Source309"/>
      <sheetName val="FA14_Detail309"/>
      <sheetName val="Lynne's_Tab309"/>
      <sheetName val="SU14_Detail309"/>
      <sheetName val="Category_Callouts309"/>
      <sheetName val="Cap_Scenario309"/>
      <sheetName val="Subcapacity_outsoles_309"/>
      <sheetName val="PA_Scenarios309"/>
      <sheetName val="PA_Transfer_Summary309"/>
      <sheetName val="Monthly_Loading_-Summary309"/>
      <sheetName val="Monthly_Loading-PB_Data309"/>
      <sheetName val="Monthly_Loading-PrevOTP_Data309"/>
      <sheetName val="Data_Refresh309"/>
      <sheetName val="SUMM_LOADING_308"/>
      <sheetName val="Raw_Data_Sheet308"/>
      <sheetName val="IA_1308"/>
      <sheetName val="DATA_MOLD_NEW_BALANCE308"/>
      <sheetName val="SSAI_IP_ORDER308"/>
      <sheetName val="Cutting_Dies_308"/>
      <sheetName val="Indirect_List294"/>
      <sheetName val="BASIS_DATA294"/>
      <sheetName val="SUBCONT_STATUS294"/>
      <sheetName val="cumulus_16239"/>
      <sheetName val="EAM_INVENTORY204"/>
      <sheetName val="Maintenance_Work_Order204"/>
      <sheetName val="Vietnam_Report166"/>
      <sheetName val="5_수정데이터통합166"/>
      <sheetName val="CT__PL165"/>
      <sheetName val="CT_Thang_Mo165"/>
      <sheetName val="Chi_tiet165"/>
      <sheetName val="OTP_GRC15"/>
      <sheetName val="CTTR_Transfer_Type314"/>
      <sheetName val="GFP_Type314"/>
      <sheetName val="GFP_Reasons314"/>
      <sheetName val="LAST_YEARS_CS313"/>
      <sheetName val="Fct_Sum_2_SeasonView310"/>
      <sheetName val="F1_Scenarios310"/>
      <sheetName val="Fct_Summary310"/>
      <sheetName val="Chris'_Tab310"/>
      <sheetName val="OTP_Summary_Result310"/>
      <sheetName val="OTP_Projection310"/>
      <sheetName val="Monthly_Loading310"/>
      <sheetName val="OTP_Source310"/>
      <sheetName val="FA14_Detail310"/>
      <sheetName val="Lynne's_Tab310"/>
      <sheetName val="SU14_Detail310"/>
      <sheetName val="Category_Callouts310"/>
      <sheetName val="Cap_Scenario310"/>
      <sheetName val="Subcapacity_outsoles_310"/>
      <sheetName val="PA_Scenarios310"/>
      <sheetName val="PA_Transfer_Summary310"/>
      <sheetName val="Monthly_Loading_-Summary310"/>
      <sheetName val="Monthly_Loading-PB_Data310"/>
      <sheetName val="Monthly_Loading-PrevOTP_Data310"/>
      <sheetName val="Data_Refresh310"/>
      <sheetName val="SUMM_LOADING_309"/>
      <sheetName val="Raw_Data_Sheet309"/>
      <sheetName val="IA_1309"/>
      <sheetName val="DATA_MOLD_NEW_BALANCE309"/>
      <sheetName val="SSAI_IP_ORDER309"/>
      <sheetName val="Cutting_Dies_309"/>
      <sheetName val="Indirect_List295"/>
      <sheetName val="BASIS_DATA295"/>
      <sheetName val="SUBCONT_STATUS295"/>
      <sheetName val="cumulus_16240"/>
      <sheetName val="EAM_INVENTORY205"/>
      <sheetName val="Maintenance_Work_Order205"/>
      <sheetName val="Vietnam_Report167"/>
      <sheetName val="5_수정데이터통합167"/>
      <sheetName val="CT__PL166"/>
      <sheetName val="CT_Thang_Mo166"/>
      <sheetName val="Chi_tiet166"/>
      <sheetName val="OTP_GRC16"/>
      <sheetName val="TREE"/>
      <sheetName val="CTTR_Transfer_Type326"/>
      <sheetName val="GFP_Type326"/>
      <sheetName val="GFP_Reasons326"/>
      <sheetName val="LAST_YEARS_CS325"/>
      <sheetName val="Fct_Sum_2_SeasonView322"/>
      <sheetName val="F1_Scenarios322"/>
      <sheetName val="Fct_Summary322"/>
      <sheetName val="Chris'_Tab322"/>
      <sheetName val="OTP_Summary_Result322"/>
      <sheetName val="OTP_Projection322"/>
      <sheetName val="Monthly_Loading322"/>
      <sheetName val="OTP_Source322"/>
      <sheetName val="FA14_Detail322"/>
      <sheetName val="Lynne's_Tab322"/>
      <sheetName val="SU14_Detail322"/>
      <sheetName val="Category_Callouts322"/>
      <sheetName val="Cap_Scenario322"/>
      <sheetName val="Subcapacity_outsoles_322"/>
      <sheetName val="PA_Scenarios322"/>
      <sheetName val="PA_Transfer_Summary322"/>
      <sheetName val="Monthly_Loading_-Summary322"/>
      <sheetName val="Monthly_Loading-PB_Data322"/>
      <sheetName val="Monthly_Loading-PrevOTP_Data322"/>
      <sheetName val="Data_Refresh322"/>
      <sheetName val="SUMM_LOADING_321"/>
      <sheetName val="Raw_Data_Sheet321"/>
      <sheetName val="IA_1321"/>
      <sheetName val="DATA_MOLD_NEW_BALANCE321"/>
      <sheetName val="SSAI_IP_ORDER321"/>
      <sheetName val="Cutting_Dies_321"/>
      <sheetName val="Indirect_List307"/>
      <sheetName val="BASIS_DATA307"/>
      <sheetName val="SUBCONT_STATUS307"/>
      <sheetName val="cumulus_16252"/>
      <sheetName val="EAM_INVENTORY217"/>
      <sheetName val="Maintenance_Work_Order217"/>
      <sheetName val="Vietnam_Report179"/>
      <sheetName val="5_수정데이터통합179"/>
      <sheetName val="CT__PL178"/>
      <sheetName val="CT_Thang_Mo178"/>
      <sheetName val="Chi_tiet178"/>
      <sheetName val="OTP_GRC28"/>
      <sheetName val="CTTR_Transfer_Type320"/>
      <sheetName val="GFP_Type320"/>
      <sheetName val="GFP_Reasons320"/>
      <sheetName val="LAST_YEARS_CS319"/>
      <sheetName val="Fct_Sum_2_SeasonView316"/>
      <sheetName val="F1_Scenarios316"/>
      <sheetName val="Fct_Summary316"/>
      <sheetName val="Chris'_Tab316"/>
      <sheetName val="OTP_Summary_Result316"/>
      <sheetName val="OTP_Projection316"/>
      <sheetName val="Monthly_Loading316"/>
      <sheetName val="OTP_Source316"/>
      <sheetName val="FA14_Detail316"/>
      <sheetName val="Lynne's_Tab316"/>
      <sheetName val="SU14_Detail316"/>
      <sheetName val="Category_Callouts316"/>
      <sheetName val="Cap_Scenario316"/>
      <sheetName val="Subcapacity_outsoles_316"/>
      <sheetName val="PA_Scenarios316"/>
      <sheetName val="PA_Transfer_Summary316"/>
      <sheetName val="Monthly_Loading_-Summary316"/>
      <sheetName val="Monthly_Loading-PB_Data316"/>
      <sheetName val="Monthly_Loading-PrevOTP_Data316"/>
      <sheetName val="Data_Refresh316"/>
      <sheetName val="SUMM_LOADING_315"/>
      <sheetName val="Raw_Data_Sheet315"/>
      <sheetName val="IA_1315"/>
      <sheetName val="DATA_MOLD_NEW_BALANCE315"/>
      <sheetName val="SSAI_IP_ORDER315"/>
      <sheetName val="Cutting_Dies_315"/>
      <sheetName val="Indirect_List301"/>
      <sheetName val="BASIS_DATA301"/>
      <sheetName val="SUBCONT_STATUS301"/>
      <sheetName val="cumulus_16246"/>
      <sheetName val="EAM_INVENTORY211"/>
      <sheetName val="Maintenance_Work_Order211"/>
      <sheetName val="Vietnam_Report173"/>
      <sheetName val="5_수정데이터통합173"/>
      <sheetName val="CT__PL172"/>
      <sheetName val="CT_Thang_Mo172"/>
      <sheetName val="Chi_tiet172"/>
      <sheetName val="OTP_GRC22"/>
      <sheetName val="CTTR_Transfer_Type315"/>
      <sheetName val="GFP_Type315"/>
      <sheetName val="GFP_Reasons315"/>
      <sheetName val="LAST_YEARS_CS314"/>
      <sheetName val="Fct_Sum_2_SeasonView311"/>
      <sheetName val="F1_Scenarios311"/>
      <sheetName val="Fct_Summary311"/>
      <sheetName val="Chris'_Tab311"/>
      <sheetName val="OTP_Summary_Result311"/>
      <sheetName val="OTP_Projection311"/>
      <sheetName val="Monthly_Loading311"/>
      <sheetName val="OTP_Source311"/>
      <sheetName val="FA14_Detail311"/>
      <sheetName val="Lynne's_Tab311"/>
      <sheetName val="SU14_Detail311"/>
      <sheetName val="Category_Callouts311"/>
      <sheetName val="Cap_Scenario311"/>
      <sheetName val="Subcapacity_outsoles_311"/>
      <sheetName val="PA_Scenarios311"/>
      <sheetName val="PA_Transfer_Summary311"/>
      <sheetName val="Monthly_Loading_-Summary311"/>
      <sheetName val="Monthly_Loading-PB_Data311"/>
      <sheetName val="Monthly_Loading-PrevOTP_Data311"/>
      <sheetName val="Data_Refresh311"/>
      <sheetName val="SUMM_LOADING_310"/>
      <sheetName val="Raw_Data_Sheet310"/>
      <sheetName val="IA_1310"/>
      <sheetName val="DATA_MOLD_NEW_BALANCE310"/>
      <sheetName val="SSAI_IP_ORDER310"/>
      <sheetName val="Cutting_Dies_310"/>
      <sheetName val="Indirect_List296"/>
      <sheetName val="BASIS_DATA296"/>
      <sheetName val="SUBCONT_STATUS296"/>
      <sheetName val="cumulus_16241"/>
      <sheetName val="EAM_INVENTORY206"/>
      <sheetName val="Maintenance_Work_Order206"/>
      <sheetName val="Vietnam_Report168"/>
      <sheetName val="5_수정데이터통합168"/>
      <sheetName val="CT__PL167"/>
      <sheetName val="CT_Thang_Mo167"/>
      <sheetName val="Chi_tiet167"/>
      <sheetName val="OTP_GRC17"/>
      <sheetName val="CTTR_Transfer_Type316"/>
      <sheetName val="GFP_Type316"/>
      <sheetName val="GFP_Reasons316"/>
      <sheetName val="LAST_YEARS_CS315"/>
      <sheetName val="Fct_Sum_2_SeasonView312"/>
      <sheetName val="F1_Scenarios312"/>
      <sheetName val="Fct_Summary312"/>
      <sheetName val="Chris'_Tab312"/>
      <sheetName val="OTP_Summary_Result312"/>
      <sheetName val="OTP_Projection312"/>
      <sheetName val="Monthly_Loading312"/>
      <sheetName val="OTP_Source312"/>
      <sheetName val="FA14_Detail312"/>
      <sheetName val="Lynne's_Tab312"/>
      <sheetName val="SU14_Detail312"/>
      <sheetName val="Category_Callouts312"/>
      <sheetName val="Cap_Scenario312"/>
      <sheetName val="Subcapacity_outsoles_312"/>
      <sheetName val="PA_Scenarios312"/>
      <sheetName val="PA_Transfer_Summary312"/>
      <sheetName val="Monthly_Loading_-Summary312"/>
      <sheetName val="Monthly_Loading-PB_Data312"/>
      <sheetName val="Monthly_Loading-PrevOTP_Data312"/>
      <sheetName val="Data_Refresh312"/>
      <sheetName val="SUMM_LOADING_311"/>
      <sheetName val="Raw_Data_Sheet311"/>
      <sheetName val="IA_1311"/>
      <sheetName val="DATA_MOLD_NEW_BALANCE311"/>
      <sheetName val="SSAI_IP_ORDER311"/>
      <sheetName val="Cutting_Dies_311"/>
      <sheetName val="Indirect_List297"/>
      <sheetName val="BASIS_DATA297"/>
      <sheetName val="SUBCONT_STATUS297"/>
      <sheetName val="cumulus_16242"/>
      <sheetName val="EAM_INVENTORY207"/>
      <sheetName val="Maintenance_Work_Order207"/>
      <sheetName val="Vietnam_Report169"/>
      <sheetName val="5_수정데이터통합169"/>
      <sheetName val="CT__PL168"/>
      <sheetName val="CT_Thang_Mo168"/>
      <sheetName val="Chi_tiet168"/>
      <sheetName val="OTP_GRC18"/>
      <sheetName val="CTTR_Transfer_Type317"/>
      <sheetName val="GFP_Type317"/>
      <sheetName val="GFP_Reasons317"/>
      <sheetName val="LAST_YEARS_CS316"/>
      <sheetName val="Fct_Sum_2_SeasonView313"/>
      <sheetName val="F1_Scenarios313"/>
      <sheetName val="Fct_Summary313"/>
      <sheetName val="Chris'_Tab313"/>
      <sheetName val="OTP_Summary_Result313"/>
      <sheetName val="OTP_Projection313"/>
      <sheetName val="Monthly_Loading313"/>
      <sheetName val="OTP_Source313"/>
      <sheetName val="FA14_Detail313"/>
      <sheetName val="Lynne's_Tab313"/>
      <sheetName val="SU14_Detail313"/>
      <sheetName val="Category_Callouts313"/>
      <sheetName val="Cap_Scenario313"/>
      <sheetName val="Subcapacity_outsoles_313"/>
      <sheetName val="PA_Scenarios313"/>
      <sheetName val="PA_Transfer_Summary313"/>
      <sheetName val="Monthly_Loading_-Summary313"/>
      <sheetName val="Monthly_Loading-PB_Data313"/>
      <sheetName val="Monthly_Loading-PrevOTP_Data313"/>
      <sheetName val="Data_Refresh313"/>
      <sheetName val="SUMM_LOADING_312"/>
      <sheetName val="Raw_Data_Sheet312"/>
      <sheetName val="IA_1312"/>
      <sheetName val="DATA_MOLD_NEW_BALANCE312"/>
      <sheetName val="SSAI_IP_ORDER312"/>
      <sheetName val="Cutting_Dies_312"/>
      <sheetName val="Indirect_List298"/>
      <sheetName val="BASIS_DATA298"/>
      <sheetName val="SUBCONT_STATUS298"/>
      <sheetName val="cumulus_16243"/>
      <sheetName val="EAM_INVENTORY208"/>
      <sheetName val="Maintenance_Work_Order208"/>
      <sheetName val="Vietnam_Report170"/>
      <sheetName val="5_수정데이터통합170"/>
      <sheetName val="CT__PL169"/>
      <sheetName val="CT_Thang_Mo169"/>
      <sheetName val="Chi_tiet169"/>
      <sheetName val="OTP_GRC19"/>
      <sheetName val="CTTR_Transfer_Type318"/>
      <sheetName val="GFP_Type318"/>
      <sheetName val="GFP_Reasons318"/>
      <sheetName val="LAST_YEARS_CS317"/>
      <sheetName val="Fct_Sum_2_SeasonView314"/>
      <sheetName val="F1_Scenarios314"/>
      <sheetName val="Fct_Summary314"/>
      <sheetName val="Chris'_Tab314"/>
      <sheetName val="OTP_Summary_Result314"/>
      <sheetName val="OTP_Projection314"/>
      <sheetName val="Monthly_Loading314"/>
      <sheetName val="OTP_Source314"/>
      <sheetName val="FA14_Detail314"/>
      <sheetName val="Lynne's_Tab314"/>
      <sheetName val="SU14_Detail314"/>
      <sheetName val="Category_Callouts314"/>
      <sheetName val="Cap_Scenario314"/>
      <sheetName val="Subcapacity_outsoles_314"/>
      <sheetName val="PA_Scenarios314"/>
      <sheetName val="PA_Transfer_Summary314"/>
      <sheetName val="Monthly_Loading_-Summary314"/>
      <sheetName val="Monthly_Loading-PB_Data314"/>
      <sheetName val="Monthly_Loading-PrevOTP_Data314"/>
      <sheetName val="Data_Refresh314"/>
      <sheetName val="SUMM_LOADING_313"/>
      <sheetName val="Raw_Data_Sheet313"/>
      <sheetName val="IA_1313"/>
      <sheetName val="DATA_MOLD_NEW_BALANCE313"/>
      <sheetName val="SSAI_IP_ORDER313"/>
      <sheetName val="Cutting_Dies_313"/>
      <sheetName val="Indirect_List299"/>
      <sheetName val="BASIS_DATA299"/>
      <sheetName val="SUBCONT_STATUS299"/>
      <sheetName val="cumulus_16244"/>
      <sheetName val="EAM_INVENTORY209"/>
      <sheetName val="Maintenance_Work_Order209"/>
      <sheetName val="Vietnam_Report171"/>
      <sheetName val="5_수정데이터통합171"/>
      <sheetName val="CT__PL170"/>
      <sheetName val="CT_Thang_Mo170"/>
      <sheetName val="Chi_tiet170"/>
      <sheetName val="OTP_GRC20"/>
      <sheetName val="CTTR_Transfer_Type319"/>
      <sheetName val="GFP_Type319"/>
      <sheetName val="GFP_Reasons319"/>
      <sheetName val="LAST_YEARS_CS318"/>
      <sheetName val="Fct_Sum_2_SeasonView315"/>
      <sheetName val="F1_Scenarios315"/>
      <sheetName val="Fct_Summary315"/>
      <sheetName val="Chris'_Tab315"/>
      <sheetName val="OTP_Summary_Result315"/>
      <sheetName val="OTP_Projection315"/>
      <sheetName val="Monthly_Loading315"/>
      <sheetName val="OTP_Source315"/>
      <sheetName val="FA14_Detail315"/>
      <sheetName val="Lynne's_Tab315"/>
      <sheetName val="SU14_Detail315"/>
      <sheetName val="Category_Callouts315"/>
      <sheetName val="Cap_Scenario315"/>
      <sheetName val="Subcapacity_outsoles_315"/>
      <sheetName val="PA_Scenarios315"/>
      <sheetName val="PA_Transfer_Summary315"/>
      <sheetName val="Monthly_Loading_-Summary315"/>
      <sheetName val="Monthly_Loading-PB_Data315"/>
      <sheetName val="Monthly_Loading-PrevOTP_Data315"/>
      <sheetName val="Data_Refresh315"/>
      <sheetName val="SUMM_LOADING_314"/>
      <sheetName val="Raw_Data_Sheet314"/>
      <sheetName val="IA_1314"/>
      <sheetName val="DATA_MOLD_NEW_BALANCE314"/>
      <sheetName val="SSAI_IP_ORDER314"/>
      <sheetName val="Cutting_Dies_314"/>
      <sheetName val="Indirect_List300"/>
      <sheetName val="BASIS_DATA300"/>
      <sheetName val="SUBCONT_STATUS300"/>
      <sheetName val="cumulus_16245"/>
      <sheetName val="EAM_INVENTORY210"/>
      <sheetName val="Maintenance_Work_Order210"/>
      <sheetName val="Vietnam_Report172"/>
      <sheetName val="5_수정데이터통합172"/>
      <sheetName val="CT__PL171"/>
      <sheetName val="CT_Thang_Mo171"/>
      <sheetName val="Chi_tiet171"/>
      <sheetName val="OTP_GRC21"/>
      <sheetName val="CTTR_Transfer_Type321"/>
      <sheetName val="GFP_Type321"/>
      <sheetName val="GFP_Reasons321"/>
      <sheetName val="LAST_YEARS_CS320"/>
      <sheetName val="Fct_Sum_2_SeasonView317"/>
      <sheetName val="F1_Scenarios317"/>
      <sheetName val="Fct_Summary317"/>
      <sheetName val="Chris'_Tab317"/>
      <sheetName val="OTP_Summary_Result317"/>
      <sheetName val="OTP_Projection317"/>
      <sheetName val="Monthly_Loading317"/>
      <sheetName val="OTP_Source317"/>
      <sheetName val="FA14_Detail317"/>
      <sheetName val="Lynne's_Tab317"/>
      <sheetName val="SU14_Detail317"/>
      <sheetName val="Category_Callouts317"/>
      <sheetName val="Cap_Scenario317"/>
      <sheetName val="Subcapacity_outsoles_317"/>
      <sheetName val="PA_Scenarios317"/>
      <sheetName val="PA_Transfer_Summary317"/>
      <sheetName val="Monthly_Loading_-Summary317"/>
      <sheetName val="Monthly_Loading-PB_Data317"/>
      <sheetName val="Monthly_Loading-PrevOTP_Data317"/>
      <sheetName val="Data_Refresh317"/>
      <sheetName val="SUMM_LOADING_316"/>
      <sheetName val="Raw_Data_Sheet316"/>
      <sheetName val="IA_1316"/>
      <sheetName val="DATA_MOLD_NEW_BALANCE316"/>
      <sheetName val="SSAI_IP_ORDER316"/>
      <sheetName val="Cutting_Dies_316"/>
      <sheetName val="Indirect_List302"/>
      <sheetName val="BASIS_DATA302"/>
      <sheetName val="SUBCONT_STATUS302"/>
      <sheetName val="cumulus_16247"/>
      <sheetName val="EAM_INVENTORY212"/>
      <sheetName val="Maintenance_Work_Order212"/>
      <sheetName val="Vietnam_Report174"/>
      <sheetName val="5_수정데이터통합174"/>
      <sheetName val="CT__PL173"/>
      <sheetName val="CT_Thang_Mo173"/>
      <sheetName val="Chi_tiet173"/>
      <sheetName val="OTP_GRC23"/>
      <sheetName val="CTTR_Transfer_Type322"/>
      <sheetName val="GFP_Type322"/>
      <sheetName val="GFP_Reasons322"/>
      <sheetName val="LAST_YEARS_CS321"/>
      <sheetName val="Fct_Sum_2_SeasonView318"/>
      <sheetName val="F1_Scenarios318"/>
      <sheetName val="Fct_Summary318"/>
      <sheetName val="Chris'_Tab318"/>
      <sheetName val="OTP_Summary_Result318"/>
      <sheetName val="OTP_Projection318"/>
      <sheetName val="Monthly_Loading318"/>
      <sheetName val="OTP_Source318"/>
      <sheetName val="FA14_Detail318"/>
      <sheetName val="Lynne's_Tab318"/>
      <sheetName val="SU14_Detail318"/>
      <sheetName val="Category_Callouts318"/>
      <sheetName val="Cap_Scenario318"/>
      <sheetName val="Subcapacity_outsoles_318"/>
      <sheetName val="PA_Scenarios318"/>
      <sheetName val="PA_Transfer_Summary318"/>
      <sheetName val="Monthly_Loading_-Summary318"/>
      <sheetName val="Monthly_Loading-PB_Data318"/>
      <sheetName val="Monthly_Loading-PrevOTP_Data318"/>
      <sheetName val="Data_Refresh318"/>
      <sheetName val="SUMM_LOADING_317"/>
      <sheetName val="Raw_Data_Sheet317"/>
      <sheetName val="IA_1317"/>
      <sheetName val="DATA_MOLD_NEW_BALANCE317"/>
      <sheetName val="SSAI_IP_ORDER317"/>
      <sheetName val="Cutting_Dies_317"/>
      <sheetName val="Indirect_List303"/>
      <sheetName val="BASIS_DATA303"/>
      <sheetName val="SUBCONT_STATUS303"/>
      <sheetName val="cumulus_16248"/>
      <sheetName val="EAM_INVENTORY213"/>
      <sheetName val="Maintenance_Work_Order213"/>
      <sheetName val="Vietnam_Report175"/>
      <sheetName val="5_수정데이터통합175"/>
      <sheetName val="CT__PL174"/>
      <sheetName val="CT_Thang_Mo174"/>
      <sheetName val="Chi_tiet174"/>
      <sheetName val="OTP_GRC24"/>
      <sheetName val="CTTR_Transfer_Type323"/>
      <sheetName val="GFP_Type323"/>
      <sheetName val="GFP_Reasons323"/>
      <sheetName val="LAST_YEARS_CS322"/>
      <sheetName val="Fct_Sum_2_SeasonView319"/>
      <sheetName val="F1_Scenarios319"/>
      <sheetName val="Fct_Summary319"/>
      <sheetName val="Chris'_Tab319"/>
      <sheetName val="OTP_Summary_Result319"/>
      <sheetName val="OTP_Projection319"/>
      <sheetName val="Monthly_Loading319"/>
      <sheetName val="OTP_Source319"/>
      <sheetName val="FA14_Detail319"/>
      <sheetName val="Lynne's_Tab319"/>
      <sheetName val="SU14_Detail319"/>
      <sheetName val="Category_Callouts319"/>
      <sheetName val="Cap_Scenario319"/>
      <sheetName val="Subcapacity_outsoles_319"/>
      <sheetName val="PA_Scenarios319"/>
      <sheetName val="PA_Transfer_Summary319"/>
      <sheetName val="Monthly_Loading_-Summary319"/>
      <sheetName val="Monthly_Loading-PB_Data319"/>
      <sheetName val="Monthly_Loading-PrevOTP_Data319"/>
      <sheetName val="Data_Refresh319"/>
      <sheetName val="SUMM_LOADING_318"/>
      <sheetName val="Raw_Data_Sheet318"/>
      <sheetName val="IA_1318"/>
      <sheetName val="DATA_MOLD_NEW_BALANCE318"/>
      <sheetName val="SSAI_IP_ORDER318"/>
      <sheetName val="Cutting_Dies_318"/>
      <sheetName val="Indirect_List304"/>
      <sheetName val="BASIS_DATA304"/>
      <sheetName val="SUBCONT_STATUS304"/>
      <sheetName val="cumulus_16249"/>
      <sheetName val="EAM_INVENTORY214"/>
      <sheetName val="Maintenance_Work_Order214"/>
      <sheetName val="Vietnam_Report176"/>
      <sheetName val="5_수정데이터통합176"/>
      <sheetName val="CT__PL175"/>
      <sheetName val="CT_Thang_Mo175"/>
      <sheetName val="Chi_tiet175"/>
      <sheetName val="OTP_GRC25"/>
      <sheetName val="CTTR_Transfer_Type324"/>
      <sheetName val="GFP_Type324"/>
      <sheetName val="GFP_Reasons324"/>
      <sheetName val="LAST_YEARS_CS323"/>
      <sheetName val="Fct_Sum_2_SeasonView320"/>
      <sheetName val="F1_Scenarios320"/>
      <sheetName val="Fct_Summary320"/>
      <sheetName val="Chris'_Tab320"/>
      <sheetName val="OTP_Summary_Result320"/>
      <sheetName val="OTP_Projection320"/>
      <sheetName val="Monthly_Loading320"/>
      <sheetName val="OTP_Source320"/>
      <sheetName val="FA14_Detail320"/>
      <sheetName val="Lynne's_Tab320"/>
      <sheetName val="SU14_Detail320"/>
      <sheetName val="Category_Callouts320"/>
      <sheetName val="Cap_Scenario320"/>
      <sheetName val="Subcapacity_outsoles_320"/>
      <sheetName val="PA_Scenarios320"/>
      <sheetName val="PA_Transfer_Summary320"/>
      <sheetName val="Monthly_Loading_-Summary320"/>
      <sheetName val="Monthly_Loading-PB_Data320"/>
      <sheetName val="Monthly_Loading-PrevOTP_Data320"/>
      <sheetName val="Data_Refresh320"/>
      <sheetName val="SUMM_LOADING_319"/>
      <sheetName val="Raw_Data_Sheet319"/>
      <sheetName val="IA_1319"/>
      <sheetName val="DATA_MOLD_NEW_BALANCE319"/>
      <sheetName val="SSAI_IP_ORDER319"/>
      <sheetName val="Cutting_Dies_319"/>
      <sheetName val="Indirect_List305"/>
      <sheetName val="BASIS_DATA305"/>
      <sheetName val="SUBCONT_STATUS305"/>
      <sheetName val="cumulus_16250"/>
      <sheetName val="EAM_INVENTORY215"/>
      <sheetName val="Maintenance_Work_Order215"/>
      <sheetName val="Vietnam_Report177"/>
      <sheetName val="5_수정데이터통합177"/>
      <sheetName val="CT__PL176"/>
      <sheetName val="CT_Thang_Mo176"/>
      <sheetName val="Chi_tiet176"/>
      <sheetName val="OTP_GRC26"/>
      <sheetName val="CTTR_Transfer_Type325"/>
      <sheetName val="GFP_Type325"/>
      <sheetName val="GFP_Reasons325"/>
      <sheetName val="LAST_YEARS_CS324"/>
      <sheetName val="Fct_Sum_2_SeasonView321"/>
      <sheetName val="F1_Scenarios321"/>
      <sheetName val="Fct_Summary321"/>
      <sheetName val="Chris'_Tab321"/>
      <sheetName val="OTP_Summary_Result321"/>
      <sheetName val="OTP_Projection321"/>
      <sheetName val="Monthly_Loading321"/>
      <sheetName val="OTP_Source321"/>
      <sheetName val="FA14_Detail321"/>
      <sheetName val="Lynne's_Tab321"/>
      <sheetName val="SU14_Detail321"/>
      <sheetName val="Category_Callouts321"/>
      <sheetName val="Cap_Scenario321"/>
      <sheetName val="Subcapacity_outsoles_321"/>
      <sheetName val="PA_Scenarios321"/>
      <sheetName val="PA_Transfer_Summary321"/>
      <sheetName val="Monthly_Loading_-Summary321"/>
      <sheetName val="Monthly_Loading-PB_Data321"/>
      <sheetName val="Monthly_Loading-PrevOTP_Data321"/>
      <sheetName val="Data_Refresh321"/>
      <sheetName val="SUMM_LOADING_320"/>
      <sheetName val="Raw_Data_Sheet320"/>
      <sheetName val="IA_1320"/>
      <sheetName val="DATA_MOLD_NEW_BALANCE320"/>
      <sheetName val="SSAI_IP_ORDER320"/>
      <sheetName val="Cutting_Dies_320"/>
      <sheetName val="Indirect_List306"/>
      <sheetName val="BASIS_DATA306"/>
      <sheetName val="SUBCONT_STATUS306"/>
      <sheetName val="cumulus_16251"/>
      <sheetName val="EAM_INVENTORY216"/>
      <sheetName val="Maintenance_Work_Order216"/>
      <sheetName val="Vietnam_Report178"/>
      <sheetName val="5_수정데이터통합178"/>
      <sheetName val="CT__PL177"/>
      <sheetName val="CT_Thang_Mo177"/>
      <sheetName val="Chi_tiet177"/>
      <sheetName val="OTP_GRC27"/>
      <sheetName val="CTTR_Transfer_Type328"/>
      <sheetName val="GFP_Type328"/>
      <sheetName val="GFP_Reasons328"/>
      <sheetName val="LAST_YEARS_CS327"/>
      <sheetName val="Fct_Sum_2_SeasonView324"/>
      <sheetName val="F1_Scenarios324"/>
      <sheetName val="Fct_Summary324"/>
      <sheetName val="Chris'_Tab324"/>
      <sheetName val="OTP_Summary_Result324"/>
      <sheetName val="OTP_Projection324"/>
      <sheetName val="Monthly_Loading324"/>
      <sheetName val="OTP_Source324"/>
      <sheetName val="FA14_Detail324"/>
      <sheetName val="Lynne's_Tab324"/>
      <sheetName val="SU14_Detail324"/>
      <sheetName val="Category_Callouts324"/>
      <sheetName val="Cap_Scenario324"/>
      <sheetName val="Subcapacity_outsoles_324"/>
      <sheetName val="PA_Scenarios324"/>
      <sheetName val="PA_Transfer_Summary324"/>
      <sheetName val="Monthly_Loading_-Summary324"/>
      <sheetName val="Monthly_Loading-PB_Data324"/>
      <sheetName val="Monthly_Loading-PrevOTP_Data324"/>
      <sheetName val="Data_Refresh324"/>
      <sheetName val="SUMM_LOADING_323"/>
      <sheetName val="Raw_Data_Sheet323"/>
      <sheetName val="IA_1323"/>
      <sheetName val="DATA_MOLD_NEW_BALANCE323"/>
      <sheetName val="SSAI_IP_ORDER323"/>
      <sheetName val="Cutting_Dies_323"/>
      <sheetName val="Indirect_List309"/>
      <sheetName val="BASIS_DATA309"/>
      <sheetName val="SUBCONT_STATUS309"/>
      <sheetName val="cumulus_16254"/>
      <sheetName val="EAM_INVENTORY219"/>
      <sheetName val="Maintenance_Work_Order219"/>
      <sheetName val="Vietnam_Report181"/>
      <sheetName val="5_수정데이터통합181"/>
      <sheetName val="CT__PL180"/>
      <sheetName val="CT_Thang_Mo180"/>
      <sheetName val="Chi_tiet180"/>
      <sheetName val="OTP_GRC30"/>
      <sheetName val="CTTR_Transfer_Type327"/>
      <sheetName val="GFP_Type327"/>
      <sheetName val="GFP_Reasons327"/>
      <sheetName val="LAST_YEARS_CS326"/>
      <sheetName val="Fct_Sum_2_SeasonView323"/>
      <sheetName val="F1_Scenarios323"/>
      <sheetName val="Fct_Summary323"/>
      <sheetName val="Chris'_Tab323"/>
      <sheetName val="OTP_Summary_Result323"/>
      <sheetName val="OTP_Projection323"/>
      <sheetName val="Monthly_Loading323"/>
      <sheetName val="OTP_Source323"/>
      <sheetName val="FA14_Detail323"/>
      <sheetName val="Lynne's_Tab323"/>
      <sheetName val="SU14_Detail323"/>
      <sheetName val="Category_Callouts323"/>
      <sheetName val="Cap_Scenario323"/>
      <sheetName val="Subcapacity_outsoles_323"/>
      <sheetName val="PA_Scenarios323"/>
      <sheetName val="PA_Transfer_Summary323"/>
      <sheetName val="Monthly_Loading_-Summary323"/>
      <sheetName val="Monthly_Loading-PB_Data323"/>
      <sheetName val="Monthly_Loading-PrevOTP_Data323"/>
      <sheetName val="Data_Refresh323"/>
      <sheetName val="SUMM_LOADING_322"/>
      <sheetName val="Raw_Data_Sheet322"/>
      <sheetName val="IA_1322"/>
      <sheetName val="DATA_MOLD_NEW_BALANCE322"/>
      <sheetName val="SSAI_IP_ORDER322"/>
      <sheetName val="Cutting_Dies_322"/>
      <sheetName val="Indirect_List308"/>
      <sheetName val="BASIS_DATA308"/>
      <sheetName val="SUBCONT_STATUS308"/>
      <sheetName val="cumulus_16253"/>
      <sheetName val="EAM_INVENTORY218"/>
      <sheetName val="Maintenance_Work_Order218"/>
      <sheetName val="Vietnam_Report180"/>
      <sheetName val="5_수정데이터통합180"/>
      <sheetName val="CT__PL179"/>
      <sheetName val="CT_Thang_Mo179"/>
      <sheetName val="Chi_tiet179"/>
      <sheetName val="OTP_GRC29"/>
      <sheetName val="CTTR_Transfer_Type329"/>
      <sheetName val="GFP_Type329"/>
      <sheetName val="GFP_Reasons329"/>
      <sheetName val="LAST_YEARS_CS328"/>
      <sheetName val="Fct_Sum_2_SeasonView325"/>
      <sheetName val="F1_Scenarios325"/>
      <sheetName val="Fct_Summary325"/>
      <sheetName val="Chris'_Tab325"/>
      <sheetName val="OTP_Summary_Result325"/>
      <sheetName val="OTP_Projection325"/>
      <sheetName val="Monthly_Loading325"/>
      <sheetName val="OTP_Source325"/>
      <sheetName val="FA14_Detail325"/>
      <sheetName val="Lynne's_Tab325"/>
      <sheetName val="SU14_Detail325"/>
      <sheetName val="Category_Callouts325"/>
      <sheetName val="Cap_Scenario325"/>
      <sheetName val="Subcapacity_outsoles_325"/>
      <sheetName val="PA_Scenarios325"/>
      <sheetName val="PA_Transfer_Summary325"/>
      <sheetName val="Monthly_Loading_-Summary325"/>
      <sheetName val="Monthly_Loading-PB_Data325"/>
      <sheetName val="Monthly_Loading-PrevOTP_Data325"/>
      <sheetName val="Data_Refresh325"/>
      <sheetName val="SUMM_LOADING_324"/>
      <sheetName val="Raw_Data_Sheet324"/>
      <sheetName val="IA_1324"/>
      <sheetName val="DATA_MOLD_NEW_BALANCE324"/>
      <sheetName val="SSAI_IP_ORDER324"/>
      <sheetName val="Cutting_Dies_324"/>
      <sheetName val="Indirect_List310"/>
      <sheetName val="BASIS_DATA310"/>
      <sheetName val="SUBCONT_STATUS310"/>
      <sheetName val="cumulus_16255"/>
      <sheetName val="EAM_INVENTORY220"/>
      <sheetName val="Maintenance_Work_Order220"/>
      <sheetName val="Vietnam_Report182"/>
      <sheetName val="5_수정데이터통합182"/>
      <sheetName val="CT__PL181"/>
      <sheetName val="CT_Thang_Mo181"/>
      <sheetName val="Chi_tiet181"/>
      <sheetName val="OTP_GRC31"/>
      <sheetName val="CTTR_Transfer_Type330"/>
      <sheetName val="GFP_Type330"/>
      <sheetName val="GFP_Reasons330"/>
      <sheetName val="LAST_YEARS_CS329"/>
      <sheetName val="Fct_Sum_2_SeasonView326"/>
      <sheetName val="F1_Scenarios326"/>
      <sheetName val="Fct_Summary326"/>
      <sheetName val="Chris'_Tab326"/>
      <sheetName val="OTP_Summary_Result326"/>
      <sheetName val="OTP_Projection326"/>
      <sheetName val="Monthly_Loading326"/>
      <sheetName val="OTP_Source326"/>
      <sheetName val="FA14_Detail326"/>
      <sheetName val="Lynne's_Tab326"/>
      <sheetName val="SU14_Detail326"/>
      <sheetName val="Category_Callouts326"/>
      <sheetName val="Cap_Scenario326"/>
      <sheetName val="Subcapacity_outsoles_326"/>
      <sheetName val="PA_Scenarios326"/>
      <sheetName val="PA_Transfer_Summary326"/>
      <sheetName val="Monthly_Loading_-Summary326"/>
      <sheetName val="Monthly_Loading-PB_Data326"/>
      <sheetName val="Monthly_Loading-PrevOTP_Data326"/>
      <sheetName val="Data_Refresh326"/>
      <sheetName val="SUMM_LOADING_325"/>
      <sheetName val="Raw_Data_Sheet325"/>
      <sheetName val="IA_1325"/>
      <sheetName val="DATA_MOLD_NEW_BALANCE325"/>
      <sheetName val="SSAI_IP_ORDER325"/>
      <sheetName val="Cutting_Dies_325"/>
      <sheetName val="Indirect_List311"/>
      <sheetName val="BASIS_DATA311"/>
      <sheetName val="SUBCONT_STATUS311"/>
      <sheetName val="cumulus_16256"/>
      <sheetName val="EAM_INVENTORY221"/>
      <sheetName val="Maintenance_Work_Order221"/>
      <sheetName val="Vietnam_Report183"/>
      <sheetName val="5_수정데이터통합183"/>
      <sheetName val="CT__PL182"/>
      <sheetName val="CT_Thang_Mo182"/>
      <sheetName val="Chi_tiet182"/>
      <sheetName val="OTP_GRC32"/>
      <sheetName val="CTTR_Transfer_Type331"/>
      <sheetName val="GFP_Type331"/>
      <sheetName val="GFP_Reasons331"/>
      <sheetName val="LAST_YEARS_CS330"/>
      <sheetName val="Fct_Sum_2_SeasonView327"/>
      <sheetName val="F1_Scenarios327"/>
      <sheetName val="Fct_Summary327"/>
      <sheetName val="Chris'_Tab327"/>
      <sheetName val="OTP_Summary_Result327"/>
      <sheetName val="OTP_Projection327"/>
      <sheetName val="Monthly_Loading327"/>
      <sheetName val="OTP_Source327"/>
      <sheetName val="FA14_Detail327"/>
      <sheetName val="Lynne's_Tab327"/>
      <sheetName val="SU14_Detail327"/>
      <sheetName val="Category_Callouts327"/>
      <sheetName val="Cap_Scenario327"/>
      <sheetName val="Subcapacity_outsoles_327"/>
      <sheetName val="PA_Scenarios327"/>
      <sheetName val="PA_Transfer_Summary327"/>
      <sheetName val="Monthly_Loading_-Summary327"/>
      <sheetName val="Monthly_Loading-PB_Data327"/>
      <sheetName val="Monthly_Loading-PrevOTP_Data327"/>
      <sheetName val="Data_Refresh327"/>
      <sheetName val="SUMM_LOADING_326"/>
      <sheetName val="Raw_Data_Sheet326"/>
      <sheetName val="IA_1326"/>
      <sheetName val="DATA_MOLD_NEW_BALANCE326"/>
      <sheetName val="SSAI_IP_ORDER326"/>
      <sheetName val="Cutting_Dies_326"/>
      <sheetName val="Indirect_List312"/>
      <sheetName val="BASIS_DATA312"/>
      <sheetName val="SUBCONT_STATUS312"/>
      <sheetName val="cumulus_16257"/>
      <sheetName val="EAM_INVENTORY222"/>
      <sheetName val="Maintenance_Work_Order222"/>
      <sheetName val="Vietnam_Report184"/>
      <sheetName val="5_수정데이터통합184"/>
      <sheetName val="CT__PL183"/>
      <sheetName val="CT_Thang_Mo183"/>
      <sheetName val="Chi_tiet183"/>
      <sheetName val="OTP_GRC33"/>
      <sheetName val="CTTR_Transfer_Type332"/>
      <sheetName val="GFP_Type332"/>
      <sheetName val="GFP_Reasons332"/>
      <sheetName val="LAST_YEARS_CS331"/>
      <sheetName val="Fct_Sum_2_SeasonView328"/>
      <sheetName val="F1_Scenarios328"/>
      <sheetName val="Fct_Summary328"/>
      <sheetName val="Chris'_Tab328"/>
      <sheetName val="OTP_Summary_Result328"/>
      <sheetName val="OTP_Projection328"/>
      <sheetName val="Monthly_Loading328"/>
      <sheetName val="OTP_Source328"/>
      <sheetName val="FA14_Detail328"/>
      <sheetName val="Lynne's_Tab328"/>
      <sheetName val="SU14_Detail328"/>
      <sheetName val="Category_Callouts328"/>
      <sheetName val="Cap_Scenario328"/>
      <sheetName val="Subcapacity_outsoles_328"/>
      <sheetName val="PA_Scenarios328"/>
      <sheetName val="PA_Transfer_Summary328"/>
      <sheetName val="Monthly_Loading_-Summary328"/>
      <sheetName val="Monthly_Loading-PB_Data328"/>
      <sheetName val="Monthly_Loading-PrevOTP_Data328"/>
      <sheetName val="Data_Refresh328"/>
      <sheetName val="SUMM_LOADING_327"/>
      <sheetName val="Raw_Data_Sheet327"/>
      <sheetName val="IA_1327"/>
      <sheetName val="DATA_MOLD_NEW_BALANCE327"/>
      <sheetName val="SSAI_IP_ORDER327"/>
      <sheetName val="Cutting_Dies_327"/>
      <sheetName val="Indirect_List313"/>
      <sheetName val="BASIS_DATA313"/>
      <sheetName val="SUBCONT_STATUS313"/>
      <sheetName val="cumulus_16258"/>
      <sheetName val="EAM_INVENTORY223"/>
      <sheetName val="Maintenance_Work_Order223"/>
      <sheetName val="Vietnam_Report185"/>
      <sheetName val="5_수정데이터통합185"/>
      <sheetName val="CT__PL184"/>
      <sheetName val="CT_Thang_Mo184"/>
      <sheetName val="Chi_tiet184"/>
      <sheetName val="OTP_GRC34"/>
      <sheetName val="CTTR_Transfer_Type333"/>
      <sheetName val="GFP_Type333"/>
      <sheetName val="GFP_Reasons333"/>
      <sheetName val="LAST_YEARS_CS332"/>
      <sheetName val="Fct_Sum_2_SeasonView329"/>
      <sheetName val="F1_Scenarios329"/>
      <sheetName val="Fct_Summary329"/>
      <sheetName val="Chris'_Tab329"/>
      <sheetName val="OTP_Summary_Result329"/>
      <sheetName val="OTP_Projection329"/>
      <sheetName val="Monthly_Loading329"/>
      <sheetName val="OTP_Source329"/>
      <sheetName val="FA14_Detail329"/>
      <sheetName val="Lynne's_Tab329"/>
      <sheetName val="SU14_Detail329"/>
      <sheetName val="Category_Callouts329"/>
      <sheetName val="Cap_Scenario329"/>
      <sheetName val="Subcapacity_outsoles_329"/>
      <sheetName val="PA_Scenarios329"/>
      <sheetName val="PA_Transfer_Summary329"/>
      <sheetName val="Monthly_Loading_-Summary329"/>
      <sheetName val="Monthly_Loading-PB_Data329"/>
      <sheetName val="Monthly_Loading-PrevOTP_Data329"/>
      <sheetName val="Data_Refresh329"/>
      <sheetName val="SUMM_LOADING_328"/>
      <sheetName val="Raw_Data_Sheet328"/>
      <sheetName val="IA_1328"/>
      <sheetName val="DATA_MOLD_NEW_BALANCE328"/>
      <sheetName val="SSAI_IP_ORDER328"/>
      <sheetName val="Cutting_Dies_328"/>
      <sheetName val="Indirect_List314"/>
      <sheetName val="BASIS_DATA314"/>
      <sheetName val="SUBCONT_STATUS314"/>
      <sheetName val="cumulus_16259"/>
      <sheetName val="EAM_INVENTORY224"/>
      <sheetName val="Maintenance_Work_Order224"/>
      <sheetName val="Vietnam_Report186"/>
      <sheetName val="5_수정데이터통합186"/>
      <sheetName val="CT__PL185"/>
      <sheetName val="CT_Thang_Mo185"/>
      <sheetName val="Chi_tiet185"/>
      <sheetName val="OTP_GRC35"/>
      <sheetName val="CTTR_Transfer_Type334"/>
      <sheetName val="GFP_Type334"/>
      <sheetName val="GFP_Reasons334"/>
      <sheetName val="LAST_YEARS_CS333"/>
      <sheetName val="Fct_Sum_2_SeasonView330"/>
      <sheetName val="F1_Scenarios330"/>
      <sheetName val="Fct_Summary330"/>
      <sheetName val="Chris'_Tab330"/>
      <sheetName val="OTP_Summary_Result330"/>
      <sheetName val="OTP_Projection330"/>
      <sheetName val="Monthly_Loading330"/>
      <sheetName val="OTP_Source330"/>
      <sheetName val="FA14_Detail330"/>
      <sheetName val="Lynne's_Tab330"/>
      <sheetName val="SU14_Detail330"/>
      <sheetName val="Category_Callouts330"/>
      <sheetName val="Cap_Scenario330"/>
      <sheetName val="Subcapacity_outsoles_330"/>
      <sheetName val="PA_Scenarios330"/>
      <sheetName val="PA_Transfer_Summary330"/>
      <sheetName val="Monthly_Loading_-Summary330"/>
      <sheetName val="Monthly_Loading-PB_Data330"/>
      <sheetName val="Monthly_Loading-PrevOTP_Data330"/>
      <sheetName val="Data_Refresh330"/>
      <sheetName val="SUMM_LOADING_329"/>
      <sheetName val="Raw_Data_Sheet329"/>
      <sheetName val="IA_1329"/>
      <sheetName val="DATA_MOLD_NEW_BALANCE329"/>
      <sheetName val="SSAI_IP_ORDER329"/>
      <sheetName val="Cutting_Dies_329"/>
      <sheetName val="Indirect_List315"/>
      <sheetName val="BASIS_DATA315"/>
      <sheetName val="SUBCONT_STATUS315"/>
      <sheetName val="cumulus_16260"/>
      <sheetName val="EAM_INVENTORY225"/>
      <sheetName val="Maintenance_Work_Order225"/>
      <sheetName val="Vietnam_Report187"/>
      <sheetName val="5_수정데이터통합187"/>
      <sheetName val="CT__PL186"/>
      <sheetName val="CT_Thang_Mo186"/>
      <sheetName val="Chi_tiet186"/>
      <sheetName val="OTP_GRC36"/>
      <sheetName val="CTTR_Transfer_Type337"/>
      <sheetName val="GFP_Type337"/>
      <sheetName val="GFP_Reasons337"/>
      <sheetName val="LAST_YEARS_CS336"/>
      <sheetName val="Fct_Sum_2_SeasonView333"/>
      <sheetName val="F1_Scenarios333"/>
      <sheetName val="Fct_Summary333"/>
      <sheetName val="Chris'_Tab333"/>
      <sheetName val="OTP_Summary_Result333"/>
      <sheetName val="OTP_Projection333"/>
      <sheetName val="Monthly_Loading333"/>
      <sheetName val="OTP_Source333"/>
      <sheetName val="FA14_Detail333"/>
      <sheetName val="Lynne's_Tab333"/>
      <sheetName val="SU14_Detail333"/>
      <sheetName val="Category_Callouts333"/>
      <sheetName val="Cap_Scenario333"/>
      <sheetName val="Subcapacity_outsoles_333"/>
      <sheetName val="PA_Scenarios333"/>
      <sheetName val="PA_Transfer_Summary333"/>
      <sheetName val="Monthly_Loading_-Summary333"/>
      <sheetName val="Monthly_Loading-PB_Data333"/>
      <sheetName val="Monthly_Loading-PrevOTP_Data333"/>
      <sheetName val="Data_Refresh333"/>
      <sheetName val="SUMM_LOADING_332"/>
      <sheetName val="Raw_Data_Sheet332"/>
      <sheetName val="IA_1332"/>
      <sheetName val="DATA_MOLD_NEW_BALANCE332"/>
      <sheetName val="SSAI_IP_ORDER332"/>
      <sheetName val="Cutting_Dies_332"/>
      <sheetName val="Indirect_List318"/>
      <sheetName val="BASIS_DATA318"/>
      <sheetName val="SUBCONT_STATUS318"/>
      <sheetName val="cumulus_16263"/>
      <sheetName val="EAM_INVENTORY228"/>
      <sheetName val="Maintenance_Work_Order228"/>
      <sheetName val="Vietnam_Report190"/>
      <sheetName val="5_수정데이터통합190"/>
      <sheetName val="CT__PL189"/>
      <sheetName val="CT_Thang_Mo189"/>
      <sheetName val="Chi_tiet189"/>
      <sheetName val="OTP_GRC39"/>
      <sheetName val="CTTR_Transfer_Type335"/>
      <sheetName val="GFP_Type335"/>
      <sheetName val="GFP_Reasons335"/>
      <sheetName val="LAST_YEARS_CS334"/>
      <sheetName val="Fct_Sum_2_SeasonView331"/>
      <sheetName val="F1_Scenarios331"/>
      <sheetName val="Fct_Summary331"/>
      <sheetName val="Chris'_Tab331"/>
      <sheetName val="OTP_Summary_Result331"/>
      <sheetName val="OTP_Projection331"/>
      <sheetName val="Monthly_Loading331"/>
      <sheetName val="OTP_Source331"/>
      <sheetName val="FA14_Detail331"/>
      <sheetName val="Lynne's_Tab331"/>
      <sheetName val="SU14_Detail331"/>
      <sheetName val="Category_Callouts331"/>
      <sheetName val="Cap_Scenario331"/>
      <sheetName val="Subcapacity_outsoles_331"/>
      <sheetName val="PA_Scenarios331"/>
      <sheetName val="PA_Transfer_Summary331"/>
      <sheetName val="Monthly_Loading_-Summary331"/>
      <sheetName val="Monthly_Loading-PB_Data331"/>
      <sheetName val="Monthly_Loading-PrevOTP_Data331"/>
      <sheetName val="Data_Refresh331"/>
      <sheetName val="SUMM_LOADING_330"/>
      <sheetName val="Raw_Data_Sheet330"/>
      <sheetName val="IA_1330"/>
      <sheetName val="DATA_MOLD_NEW_BALANCE330"/>
      <sheetName val="SSAI_IP_ORDER330"/>
      <sheetName val="Cutting_Dies_330"/>
      <sheetName val="Indirect_List316"/>
      <sheetName val="BASIS_DATA316"/>
      <sheetName val="SUBCONT_STATUS316"/>
      <sheetName val="cumulus_16261"/>
      <sheetName val="EAM_INVENTORY226"/>
      <sheetName val="Maintenance_Work_Order226"/>
      <sheetName val="Vietnam_Report188"/>
      <sheetName val="5_수정데이터통합188"/>
      <sheetName val="CT__PL187"/>
      <sheetName val="CT_Thang_Mo187"/>
      <sheetName val="Chi_tiet187"/>
      <sheetName val="OTP_GRC37"/>
      <sheetName val="CTTR_Transfer_Type336"/>
      <sheetName val="GFP_Type336"/>
      <sheetName val="GFP_Reasons336"/>
      <sheetName val="LAST_YEARS_CS335"/>
      <sheetName val="Fct_Sum_2_SeasonView332"/>
      <sheetName val="F1_Scenarios332"/>
      <sheetName val="Fct_Summary332"/>
      <sheetName val="Chris'_Tab332"/>
      <sheetName val="OTP_Summary_Result332"/>
      <sheetName val="OTP_Projection332"/>
      <sheetName val="Monthly_Loading332"/>
      <sheetName val="OTP_Source332"/>
      <sheetName val="FA14_Detail332"/>
      <sheetName val="Lynne's_Tab332"/>
      <sheetName val="SU14_Detail332"/>
      <sheetName val="Category_Callouts332"/>
      <sheetName val="Cap_Scenario332"/>
      <sheetName val="Subcapacity_outsoles_332"/>
      <sheetName val="PA_Scenarios332"/>
      <sheetName val="PA_Transfer_Summary332"/>
      <sheetName val="Monthly_Loading_-Summary332"/>
      <sheetName val="Monthly_Loading-PB_Data332"/>
      <sheetName val="Monthly_Loading-PrevOTP_Data332"/>
      <sheetName val="Data_Refresh332"/>
      <sheetName val="SUMM_LOADING_331"/>
      <sheetName val="Raw_Data_Sheet331"/>
      <sheetName val="IA_1331"/>
      <sheetName val="DATA_MOLD_NEW_BALANCE331"/>
      <sheetName val="SSAI_IP_ORDER331"/>
      <sheetName val="Cutting_Dies_331"/>
      <sheetName val="Indirect_List317"/>
      <sheetName val="BASIS_DATA317"/>
      <sheetName val="SUBCONT_STATUS317"/>
      <sheetName val="cumulus_16262"/>
      <sheetName val="EAM_INVENTORY227"/>
      <sheetName val="Maintenance_Work_Order227"/>
      <sheetName val="Vietnam_Report189"/>
      <sheetName val="5_수정데이터통합189"/>
      <sheetName val="CT__PL188"/>
      <sheetName val="CT_Thang_Mo188"/>
      <sheetName val="Chi_tiet188"/>
      <sheetName val="OTP_GRC38"/>
      <sheetName val="CTTR_Transfer_Type340"/>
      <sheetName val="GFP_Type340"/>
      <sheetName val="GFP_Reasons340"/>
      <sheetName val="LAST_YEARS_CS339"/>
      <sheetName val="Fct_Sum_2_SeasonView336"/>
      <sheetName val="F1_Scenarios336"/>
      <sheetName val="Fct_Summary336"/>
      <sheetName val="Chris'_Tab336"/>
      <sheetName val="OTP_Summary_Result336"/>
      <sheetName val="OTP_Projection336"/>
      <sheetName val="Monthly_Loading336"/>
      <sheetName val="OTP_Source336"/>
      <sheetName val="FA14_Detail336"/>
      <sheetName val="Lynne's_Tab336"/>
      <sheetName val="SU14_Detail336"/>
      <sheetName val="Category_Callouts336"/>
      <sheetName val="Cap_Scenario336"/>
      <sheetName val="Subcapacity_outsoles_336"/>
      <sheetName val="PA_Scenarios336"/>
      <sheetName val="PA_Transfer_Summary336"/>
      <sheetName val="Monthly_Loading_-Summary336"/>
      <sheetName val="Monthly_Loading-PB_Data336"/>
      <sheetName val="Monthly_Loading-PrevOTP_Data336"/>
      <sheetName val="Data_Refresh336"/>
      <sheetName val="SUMM_LOADING_335"/>
      <sheetName val="Raw_Data_Sheet335"/>
      <sheetName val="IA_1335"/>
      <sheetName val="DATA_MOLD_NEW_BALANCE335"/>
      <sheetName val="SSAI_IP_ORDER335"/>
      <sheetName val="Cutting_Dies_335"/>
      <sheetName val="Indirect_List321"/>
      <sheetName val="BASIS_DATA321"/>
      <sheetName val="SUBCONT_STATUS321"/>
      <sheetName val="cumulus_16266"/>
      <sheetName val="EAM_INVENTORY231"/>
      <sheetName val="Maintenance_Work_Order231"/>
      <sheetName val="Vietnam_Report193"/>
      <sheetName val="5_수정데이터통합193"/>
      <sheetName val="CT__PL192"/>
      <sheetName val="CT_Thang_Mo192"/>
      <sheetName val="Chi_tiet192"/>
      <sheetName val="OTP_GRC42"/>
      <sheetName val="CTTR_Transfer_Type338"/>
      <sheetName val="GFP_Type338"/>
      <sheetName val="GFP_Reasons338"/>
      <sheetName val="LAST_YEARS_CS337"/>
      <sheetName val="Fct_Sum_2_SeasonView334"/>
      <sheetName val="F1_Scenarios334"/>
      <sheetName val="Fct_Summary334"/>
      <sheetName val="Chris'_Tab334"/>
      <sheetName val="OTP_Summary_Result334"/>
      <sheetName val="OTP_Projection334"/>
      <sheetName val="Monthly_Loading334"/>
      <sheetName val="OTP_Source334"/>
      <sheetName val="FA14_Detail334"/>
      <sheetName val="Lynne's_Tab334"/>
      <sheetName val="SU14_Detail334"/>
      <sheetName val="Category_Callouts334"/>
      <sheetName val="Cap_Scenario334"/>
      <sheetName val="Subcapacity_outsoles_334"/>
      <sheetName val="PA_Scenarios334"/>
      <sheetName val="PA_Transfer_Summary334"/>
      <sheetName val="Monthly_Loading_-Summary334"/>
      <sheetName val="Monthly_Loading-PB_Data334"/>
      <sheetName val="Monthly_Loading-PrevOTP_Data334"/>
      <sheetName val="Data_Refresh334"/>
      <sheetName val="SUMM_LOADING_333"/>
      <sheetName val="Raw_Data_Sheet333"/>
      <sheetName val="IA_1333"/>
      <sheetName val="DATA_MOLD_NEW_BALANCE333"/>
      <sheetName val="SSAI_IP_ORDER333"/>
      <sheetName val="Cutting_Dies_333"/>
      <sheetName val="Indirect_List319"/>
      <sheetName val="BASIS_DATA319"/>
      <sheetName val="SUBCONT_STATUS319"/>
      <sheetName val="cumulus_16264"/>
      <sheetName val="EAM_INVENTORY229"/>
      <sheetName val="Maintenance_Work_Order229"/>
      <sheetName val="Vietnam_Report191"/>
      <sheetName val="5_수정데이터통합191"/>
      <sheetName val="CT__PL190"/>
      <sheetName val="CT_Thang_Mo190"/>
      <sheetName val="Chi_tiet190"/>
      <sheetName val="OTP_GRC40"/>
      <sheetName val="CTTR_Transfer_Type339"/>
      <sheetName val="GFP_Type339"/>
      <sheetName val="GFP_Reasons339"/>
      <sheetName val="LAST_YEARS_CS338"/>
      <sheetName val="Fct_Sum_2_SeasonView335"/>
      <sheetName val="F1_Scenarios335"/>
      <sheetName val="Fct_Summary335"/>
      <sheetName val="Chris'_Tab335"/>
      <sheetName val="OTP_Summary_Result335"/>
      <sheetName val="OTP_Projection335"/>
      <sheetName val="Monthly_Loading335"/>
      <sheetName val="OTP_Source335"/>
      <sheetName val="FA14_Detail335"/>
      <sheetName val="Lynne's_Tab335"/>
      <sheetName val="SU14_Detail335"/>
      <sheetName val="Category_Callouts335"/>
      <sheetName val="Cap_Scenario335"/>
      <sheetName val="Subcapacity_outsoles_335"/>
      <sheetName val="PA_Scenarios335"/>
      <sheetName val="PA_Transfer_Summary335"/>
      <sheetName val="Monthly_Loading_-Summary335"/>
      <sheetName val="Monthly_Loading-PB_Data335"/>
      <sheetName val="Monthly_Loading-PrevOTP_Data335"/>
      <sheetName val="Data_Refresh335"/>
      <sheetName val="SUMM_LOADING_334"/>
      <sheetName val="Raw_Data_Sheet334"/>
      <sheetName val="IA_1334"/>
      <sheetName val="DATA_MOLD_NEW_BALANCE334"/>
      <sheetName val="SSAI_IP_ORDER334"/>
      <sheetName val="Cutting_Dies_334"/>
      <sheetName val="Indirect_List320"/>
      <sheetName val="BASIS_DATA320"/>
      <sheetName val="SUBCONT_STATUS320"/>
      <sheetName val="cumulus_16265"/>
      <sheetName val="EAM_INVENTORY230"/>
      <sheetName val="Maintenance_Work_Order230"/>
      <sheetName val="Vietnam_Report192"/>
      <sheetName val="5_수정데이터통합192"/>
      <sheetName val="CT__PL191"/>
      <sheetName val="CT_Thang_Mo191"/>
      <sheetName val="Chi_tiet191"/>
      <sheetName val="OTP_GRC41"/>
      <sheetName val="CTTR_Transfer_Type342"/>
      <sheetName val="GFP_Type342"/>
      <sheetName val="GFP_Reasons342"/>
      <sheetName val="LAST_YEARS_CS341"/>
      <sheetName val="Fct_Sum_2_SeasonView338"/>
      <sheetName val="F1_Scenarios338"/>
      <sheetName val="Fct_Summary338"/>
      <sheetName val="Chris'_Tab338"/>
      <sheetName val="OTP_Summary_Result338"/>
      <sheetName val="OTP_Projection338"/>
      <sheetName val="Monthly_Loading338"/>
      <sheetName val="OTP_Source338"/>
      <sheetName val="FA14_Detail338"/>
      <sheetName val="Lynne's_Tab338"/>
      <sheetName val="SU14_Detail338"/>
      <sheetName val="Category_Callouts338"/>
      <sheetName val="Cap_Scenario338"/>
      <sheetName val="Subcapacity_outsoles_338"/>
      <sheetName val="PA_Scenarios338"/>
      <sheetName val="PA_Transfer_Summary338"/>
      <sheetName val="Monthly_Loading_-Summary338"/>
      <sheetName val="Monthly_Loading-PB_Data338"/>
      <sheetName val="Monthly_Loading-PrevOTP_Data338"/>
      <sheetName val="Data_Refresh338"/>
      <sheetName val="SUMM_LOADING_337"/>
      <sheetName val="Raw_Data_Sheet337"/>
      <sheetName val="IA_1337"/>
      <sheetName val="DATA_MOLD_NEW_BALANCE337"/>
      <sheetName val="SSAI_IP_ORDER337"/>
      <sheetName val="Cutting_Dies_337"/>
      <sheetName val="Indirect_List323"/>
      <sheetName val="BASIS_DATA323"/>
      <sheetName val="SUBCONT_STATUS323"/>
      <sheetName val="cumulus_16268"/>
      <sheetName val="EAM_INVENTORY233"/>
      <sheetName val="Maintenance_Work_Order233"/>
      <sheetName val="Vietnam_Report195"/>
      <sheetName val="5_수정데이터통합195"/>
      <sheetName val="CT__PL194"/>
      <sheetName val="CT_Thang_Mo194"/>
      <sheetName val="Chi_tiet194"/>
      <sheetName val="OTP_GRC44"/>
      <sheetName val="CTTR_Transfer_Type341"/>
      <sheetName val="GFP_Type341"/>
      <sheetName val="GFP_Reasons341"/>
      <sheetName val="LAST_YEARS_CS340"/>
      <sheetName val="Fct_Sum_2_SeasonView337"/>
      <sheetName val="F1_Scenarios337"/>
      <sheetName val="Fct_Summary337"/>
      <sheetName val="Chris'_Tab337"/>
      <sheetName val="OTP_Summary_Result337"/>
      <sheetName val="OTP_Projection337"/>
      <sheetName val="Monthly_Loading337"/>
      <sheetName val="OTP_Source337"/>
      <sheetName val="FA14_Detail337"/>
      <sheetName val="Lynne's_Tab337"/>
      <sheetName val="SU14_Detail337"/>
      <sheetName val="Category_Callouts337"/>
      <sheetName val="Cap_Scenario337"/>
      <sheetName val="Subcapacity_outsoles_337"/>
      <sheetName val="PA_Scenarios337"/>
      <sheetName val="PA_Transfer_Summary337"/>
      <sheetName val="Monthly_Loading_-Summary337"/>
      <sheetName val="Monthly_Loading-PB_Data337"/>
      <sheetName val="Monthly_Loading-PrevOTP_Data337"/>
      <sheetName val="Data_Refresh337"/>
      <sheetName val="SUMM_LOADING_336"/>
      <sheetName val="Raw_Data_Sheet336"/>
      <sheetName val="IA_1336"/>
      <sheetName val="DATA_MOLD_NEW_BALANCE336"/>
      <sheetName val="SSAI_IP_ORDER336"/>
      <sheetName val="Cutting_Dies_336"/>
      <sheetName val="Indirect_List322"/>
      <sheetName val="BASIS_DATA322"/>
      <sheetName val="SUBCONT_STATUS322"/>
      <sheetName val="cumulus_16267"/>
      <sheetName val="EAM_INVENTORY232"/>
      <sheetName val="Maintenance_Work_Order232"/>
      <sheetName val="Vietnam_Report194"/>
      <sheetName val="5_수정데이터통합194"/>
      <sheetName val="CT__PL193"/>
      <sheetName val="CT_Thang_Mo193"/>
      <sheetName val="Chi_tiet193"/>
      <sheetName val="OTP_GRC43"/>
      <sheetName val="CTTR_Transfer_Type343"/>
      <sheetName val="GFP_Type343"/>
      <sheetName val="GFP_Reasons343"/>
      <sheetName val="LAST_YEARS_CS342"/>
      <sheetName val="Fct_Sum_2_SeasonView339"/>
      <sheetName val="F1_Scenarios339"/>
      <sheetName val="Fct_Summary339"/>
      <sheetName val="Chris'_Tab339"/>
      <sheetName val="OTP_Summary_Result339"/>
      <sheetName val="OTP_Projection339"/>
      <sheetName val="Monthly_Loading339"/>
      <sheetName val="OTP_Source339"/>
      <sheetName val="FA14_Detail339"/>
      <sheetName val="Lynne's_Tab339"/>
      <sheetName val="SU14_Detail339"/>
      <sheetName val="Category_Callouts339"/>
      <sheetName val="Cap_Scenario339"/>
      <sheetName val="Subcapacity_outsoles_339"/>
      <sheetName val="PA_Scenarios339"/>
      <sheetName val="PA_Transfer_Summary339"/>
      <sheetName val="Monthly_Loading_-Summary339"/>
      <sheetName val="Monthly_Loading-PB_Data339"/>
      <sheetName val="Monthly_Loading-PrevOTP_Data339"/>
      <sheetName val="Data_Refresh339"/>
      <sheetName val="SUMM_LOADING_338"/>
      <sheetName val="Raw_Data_Sheet338"/>
      <sheetName val="IA_1338"/>
      <sheetName val="DATA_MOLD_NEW_BALANCE338"/>
      <sheetName val="SSAI_IP_ORDER338"/>
      <sheetName val="Cutting_Dies_338"/>
      <sheetName val="Indirect_List324"/>
      <sheetName val="BASIS_DATA324"/>
      <sheetName val="SUBCONT_STATUS324"/>
      <sheetName val="cumulus_16269"/>
      <sheetName val="EAM_INVENTORY234"/>
      <sheetName val="Maintenance_Work_Order234"/>
      <sheetName val="Vietnam_Report196"/>
      <sheetName val="5_수정데이터통합196"/>
      <sheetName val="CT__PL195"/>
      <sheetName val="CT_Thang_Mo195"/>
      <sheetName val="Chi_tiet195"/>
      <sheetName val="OTP_GRC45"/>
      <sheetName val="CTTR_Transfer_Type344"/>
      <sheetName val="GFP_Type344"/>
      <sheetName val="GFP_Reasons344"/>
      <sheetName val="LAST_YEARS_CS343"/>
      <sheetName val="Fct_Sum_2_SeasonView340"/>
      <sheetName val="F1_Scenarios340"/>
      <sheetName val="Fct_Summary340"/>
      <sheetName val="Chris'_Tab340"/>
      <sheetName val="OTP_Summary_Result340"/>
      <sheetName val="OTP_Projection340"/>
      <sheetName val="Monthly_Loading340"/>
      <sheetName val="OTP_Source340"/>
      <sheetName val="FA14_Detail340"/>
      <sheetName val="Lynne's_Tab340"/>
      <sheetName val="SU14_Detail340"/>
      <sheetName val="Category_Callouts340"/>
      <sheetName val="Cap_Scenario340"/>
      <sheetName val="Subcapacity_outsoles_340"/>
      <sheetName val="PA_Scenarios340"/>
      <sheetName val="PA_Transfer_Summary340"/>
      <sheetName val="Monthly_Loading_-Summary340"/>
      <sheetName val="Monthly_Loading-PB_Data340"/>
      <sheetName val="Monthly_Loading-PrevOTP_Data340"/>
      <sheetName val="Data_Refresh340"/>
      <sheetName val="SUMM_LOADING_339"/>
      <sheetName val="Raw_Data_Sheet339"/>
      <sheetName val="IA_1339"/>
      <sheetName val="DATA_MOLD_NEW_BALANCE339"/>
      <sheetName val="SSAI_IP_ORDER339"/>
      <sheetName val="Cutting_Dies_339"/>
      <sheetName val="Indirect_List325"/>
      <sheetName val="BASIS_DATA325"/>
      <sheetName val="SUBCONT_STATUS325"/>
      <sheetName val="cumulus_16270"/>
      <sheetName val="EAM_INVENTORY235"/>
      <sheetName val="Maintenance_Work_Order235"/>
      <sheetName val="Vietnam_Report197"/>
      <sheetName val="5_수정데이터통합197"/>
      <sheetName val="CT__PL196"/>
      <sheetName val="CT_Thang_Mo196"/>
      <sheetName val="Chi_tiet196"/>
      <sheetName val="OTP_GRC46"/>
      <sheetName val="CTTR_Transfer_Type345"/>
      <sheetName val="GFP_Type345"/>
      <sheetName val="GFP_Reasons345"/>
      <sheetName val="LAST_YEARS_CS344"/>
      <sheetName val="Fct_Sum_2_SeasonView341"/>
      <sheetName val="F1_Scenarios341"/>
      <sheetName val="Fct_Summary341"/>
      <sheetName val="Chris'_Tab341"/>
      <sheetName val="OTP_Summary_Result341"/>
      <sheetName val="OTP_Projection341"/>
      <sheetName val="Monthly_Loading341"/>
      <sheetName val="OTP_Source341"/>
      <sheetName val="FA14_Detail341"/>
      <sheetName val="Lynne's_Tab341"/>
      <sheetName val="SU14_Detail341"/>
      <sheetName val="Category_Callouts341"/>
      <sheetName val="Cap_Scenario341"/>
      <sheetName val="Subcapacity_outsoles_341"/>
      <sheetName val="PA_Scenarios341"/>
      <sheetName val="PA_Transfer_Summary341"/>
      <sheetName val="Monthly_Loading_-Summary341"/>
      <sheetName val="Monthly_Loading-PB_Data341"/>
      <sheetName val="Monthly_Loading-PrevOTP_Data341"/>
      <sheetName val="Data_Refresh341"/>
      <sheetName val="SUMM_LOADING_340"/>
      <sheetName val="Raw_Data_Sheet340"/>
      <sheetName val="IA_1340"/>
      <sheetName val="DATA_MOLD_NEW_BALANCE340"/>
      <sheetName val="SSAI_IP_ORDER340"/>
      <sheetName val="Cutting_Dies_340"/>
      <sheetName val="Indirect_List326"/>
      <sheetName val="BASIS_DATA326"/>
      <sheetName val="SUBCONT_STATUS326"/>
      <sheetName val="cumulus_16271"/>
      <sheetName val="EAM_INVENTORY236"/>
      <sheetName val="Maintenance_Work_Order236"/>
      <sheetName val="Vietnam_Report198"/>
      <sheetName val="5_수정데이터통합198"/>
      <sheetName val="CT__PL197"/>
      <sheetName val="CT_Thang_Mo197"/>
      <sheetName val="Chi_tiet197"/>
      <sheetName val="OTP_GRC47"/>
      <sheetName val="CTTR_Transfer_Type356"/>
      <sheetName val="GFP_Type356"/>
      <sheetName val="GFP_Reasons356"/>
      <sheetName val="LAST_YEARS_CS355"/>
      <sheetName val="Fct_Sum_2_SeasonView352"/>
      <sheetName val="F1_Scenarios352"/>
      <sheetName val="Fct_Summary352"/>
      <sheetName val="Chris'_Tab352"/>
      <sheetName val="OTP_Summary_Result352"/>
      <sheetName val="OTP_Projection352"/>
      <sheetName val="Monthly_Loading352"/>
      <sheetName val="OTP_Source352"/>
      <sheetName val="FA14_Detail352"/>
      <sheetName val="Lynne's_Tab352"/>
      <sheetName val="SU14_Detail352"/>
      <sheetName val="Category_Callouts352"/>
      <sheetName val="Cap_Scenario352"/>
      <sheetName val="Subcapacity_outsoles_352"/>
      <sheetName val="PA_Scenarios352"/>
      <sheetName val="PA_Transfer_Summary352"/>
      <sheetName val="Monthly_Loading_-Summary352"/>
      <sheetName val="Monthly_Loading-PB_Data352"/>
      <sheetName val="Monthly_Loading-PrevOTP_Data352"/>
      <sheetName val="Data_Refresh352"/>
      <sheetName val="SUMM_LOADING_351"/>
      <sheetName val="Raw_Data_Sheet351"/>
      <sheetName val="IA_1351"/>
      <sheetName val="DATA_MOLD_NEW_BALANCE351"/>
      <sheetName val="SSAI_IP_ORDER351"/>
      <sheetName val="Cutting_Dies_351"/>
      <sheetName val="Indirect_List337"/>
      <sheetName val="BASIS_DATA337"/>
      <sheetName val="SUBCONT_STATUS337"/>
      <sheetName val="cumulus_16282"/>
      <sheetName val="EAM_INVENTORY247"/>
      <sheetName val="Maintenance_Work_Order247"/>
      <sheetName val="Vietnam_Report209"/>
      <sheetName val="5_수정데이터통합209"/>
      <sheetName val="CT__PL208"/>
      <sheetName val="CT_Thang_Mo208"/>
      <sheetName val="Chi_tiet208"/>
      <sheetName val="OTP_GRC58"/>
      <sheetName val="CTTR_Transfer_Type346"/>
      <sheetName val="GFP_Type346"/>
      <sheetName val="GFP_Reasons346"/>
      <sheetName val="LAST_YEARS_CS345"/>
      <sheetName val="Fct_Sum_2_SeasonView342"/>
      <sheetName val="F1_Scenarios342"/>
      <sheetName val="Fct_Summary342"/>
      <sheetName val="Chris'_Tab342"/>
      <sheetName val="OTP_Summary_Result342"/>
      <sheetName val="OTP_Projection342"/>
      <sheetName val="Monthly_Loading342"/>
      <sheetName val="OTP_Source342"/>
      <sheetName val="FA14_Detail342"/>
      <sheetName val="Lynne's_Tab342"/>
      <sheetName val="SU14_Detail342"/>
      <sheetName val="Category_Callouts342"/>
      <sheetName val="Cap_Scenario342"/>
      <sheetName val="Subcapacity_outsoles_342"/>
      <sheetName val="PA_Scenarios342"/>
      <sheetName val="PA_Transfer_Summary342"/>
      <sheetName val="Monthly_Loading_-Summary342"/>
      <sheetName val="Monthly_Loading-PB_Data342"/>
      <sheetName val="Monthly_Loading-PrevOTP_Data342"/>
      <sheetName val="Data_Refresh342"/>
      <sheetName val="SUMM_LOADING_341"/>
      <sheetName val="Raw_Data_Sheet341"/>
      <sheetName val="IA_1341"/>
      <sheetName val="DATA_MOLD_NEW_BALANCE341"/>
      <sheetName val="SSAI_IP_ORDER341"/>
      <sheetName val="Cutting_Dies_341"/>
      <sheetName val="Indirect_List327"/>
      <sheetName val="BASIS_DATA327"/>
      <sheetName val="SUBCONT_STATUS327"/>
      <sheetName val="cumulus_16272"/>
      <sheetName val="EAM_INVENTORY237"/>
      <sheetName val="Maintenance_Work_Order237"/>
      <sheetName val="Vietnam_Report199"/>
      <sheetName val="5_수정데이터통합199"/>
      <sheetName val="CT__PL198"/>
      <sheetName val="CT_Thang_Mo198"/>
      <sheetName val="Chi_tiet198"/>
      <sheetName val="OTP_GRC48"/>
      <sheetName val="CTTR_Transfer_Type347"/>
      <sheetName val="GFP_Type347"/>
      <sheetName val="GFP_Reasons347"/>
      <sheetName val="LAST_YEARS_CS346"/>
      <sheetName val="Fct_Sum_2_SeasonView343"/>
      <sheetName val="F1_Scenarios343"/>
      <sheetName val="Fct_Summary343"/>
      <sheetName val="Chris'_Tab343"/>
      <sheetName val="OTP_Summary_Result343"/>
      <sheetName val="OTP_Projection343"/>
      <sheetName val="Monthly_Loading343"/>
      <sheetName val="OTP_Source343"/>
      <sheetName val="FA14_Detail343"/>
      <sheetName val="Lynne's_Tab343"/>
      <sheetName val="SU14_Detail343"/>
      <sheetName val="Category_Callouts343"/>
      <sheetName val="Cap_Scenario343"/>
      <sheetName val="Subcapacity_outsoles_343"/>
      <sheetName val="PA_Scenarios343"/>
      <sheetName val="PA_Transfer_Summary343"/>
      <sheetName val="Monthly_Loading_-Summary343"/>
      <sheetName val="Monthly_Loading-PB_Data343"/>
      <sheetName val="Monthly_Loading-PrevOTP_Data343"/>
      <sheetName val="Data_Refresh343"/>
      <sheetName val="SUMM_LOADING_342"/>
      <sheetName val="Raw_Data_Sheet342"/>
      <sheetName val="IA_1342"/>
      <sheetName val="DATA_MOLD_NEW_BALANCE342"/>
      <sheetName val="SSAI_IP_ORDER342"/>
      <sheetName val="Cutting_Dies_342"/>
      <sheetName val="Indirect_List328"/>
      <sheetName val="BASIS_DATA328"/>
      <sheetName val="SUBCONT_STATUS328"/>
      <sheetName val="cumulus_16273"/>
      <sheetName val="EAM_INVENTORY238"/>
      <sheetName val="Maintenance_Work_Order238"/>
      <sheetName val="Vietnam_Report200"/>
      <sheetName val="5_수정데이터통합200"/>
      <sheetName val="CT__PL199"/>
      <sheetName val="CT_Thang_Mo199"/>
      <sheetName val="Chi_tiet199"/>
      <sheetName val="OTP_GRC49"/>
      <sheetName val="CTTR_Transfer_Type348"/>
      <sheetName val="GFP_Type348"/>
      <sheetName val="GFP_Reasons348"/>
      <sheetName val="LAST_YEARS_CS347"/>
      <sheetName val="Fct_Sum_2_SeasonView344"/>
      <sheetName val="F1_Scenarios344"/>
      <sheetName val="Fct_Summary344"/>
      <sheetName val="Chris'_Tab344"/>
      <sheetName val="OTP_Summary_Result344"/>
      <sheetName val="OTP_Projection344"/>
      <sheetName val="Monthly_Loading344"/>
      <sheetName val="OTP_Source344"/>
      <sheetName val="FA14_Detail344"/>
      <sheetName val="Lynne's_Tab344"/>
      <sheetName val="SU14_Detail344"/>
      <sheetName val="Category_Callouts344"/>
      <sheetName val="Cap_Scenario344"/>
      <sheetName val="Subcapacity_outsoles_344"/>
      <sheetName val="PA_Scenarios344"/>
      <sheetName val="PA_Transfer_Summary344"/>
      <sheetName val="Monthly_Loading_-Summary344"/>
      <sheetName val="Monthly_Loading-PB_Data344"/>
      <sheetName val="Monthly_Loading-PrevOTP_Data344"/>
      <sheetName val="Data_Refresh344"/>
      <sheetName val="SUMM_LOADING_343"/>
      <sheetName val="Raw_Data_Sheet343"/>
      <sheetName val="IA_1343"/>
      <sheetName val="DATA_MOLD_NEW_BALANCE343"/>
      <sheetName val="SSAI_IP_ORDER343"/>
      <sheetName val="Cutting_Dies_343"/>
      <sheetName val="Indirect_List329"/>
      <sheetName val="BASIS_DATA329"/>
      <sheetName val="SUBCONT_STATUS329"/>
      <sheetName val="cumulus_16274"/>
      <sheetName val="EAM_INVENTORY239"/>
      <sheetName val="Maintenance_Work_Order239"/>
      <sheetName val="Vietnam_Report201"/>
      <sheetName val="5_수정데이터통합201"/>
      <sheetName val="CT__PL200"/>
      <sheetName val="CT_Thang_Mo200"/>
      <sheetName val="Chi_tiet200"/>
      <sheetName val="OTP_GRC50"/>
      <sheetName val="CTTR_Transfer_Type349"/>
      <sheetName val="GFP_Type349"/>
      <sheetName val="GFP_Reasons349"/>
      <sheetName val="LAST_YEARS_CS348"/>
      <sheetName val="Fct_Sum_2_SeasonView345"/>
      <sheetName val="F1_Scenarios345"/>
      <sheetName val="Fct_Summary345"/>
      <sheetName val="Chris'_Tab345"/>
      <sheetName val="OTP_Summary_Result345"/>
      <sheetName val="OTP_Projection345"/>
      <sheetName val="Monthly_Loading345"/>
      <sheetName val="OTP_Source345"/>
      <sheetName val="FA14_Detail345"/>
      <sheetName val="Lynne's_Tab345"/>
      <sheetName val="SU14_Detail345"/>
      <sheetName val="Category_Callouts345"/>
      <sheetName val="Cap_Scenario345"/>
      <sheetName val="Subcapacity_outsoles_345"/>
      <sheetName val="PA_Scenarios345"/>
      <sheetName val="PA_Transfer_Summary345"/>
      <sheetName val="Monthly_Loading_-Summary345"/>
      <sheetName val="Monthly_Loading-PB_Data345"/>
      <sheetName val="Monthly_Loading-PrevOTP_Data345"/>
      <sheetName val="Data_Refresh345"/>
      <sheetName val="SUMM_LOADING_344"/>
      <sheetName val="Raw_Data_Sheet344"/>
      <sheetName val="IA_1344"/>
      <sheetName val="DATA_MOLD_NEW_BALANCE344"/>
      <sheetName val="SSAI_IP_ORDER344"/>
      <sheetName val="Cutting_Dies_344"/>
      <sheetName val="Indirect_List330"/>
      <sheetName val="BASIS_DATA330"/>
      <sheetName val="SUBCONT_STATUS330"/>
      <sheetName val="cumulus_16275"/>
      <sheetName val="EAM_INVENTORY240"/>
      <sheetName val="Maintenance_Work_Order240"/>
      <sheetName val="Vietnam_Report202"/>
      <sheetName val="5_수정데이터통합202"/>
      <sheetName val="CT__PL201"/>
      <sheetName val="CT_Thang_Mo201"/>
      <sheetName val="Chi_tiet201"/>
      <sheetName val="OTP_GRC51"/>
      <sheetName val="CTTR_Transfer_Type350"/>
      <sheetName val="GFP_Type350"/>
      <sheetName val="GFP_Reasons350"/>
      <sheetName val="LAST_YEARS_CS349"/>
      <sheetName val="Fct_Sum_2_SeasonView346"/>
      <sheetName val="F1_Scenarios346"/>
      <sheetName val="Fct_Summary346"/>
      <sheetName val="Chris'_Tab346"/>
      <sheetName val="OTP_Summary_Result346"/>
      <sheetName val="OTP_Projection346"/>
      <sheetName val="Monthly_Loading346"/>
      <sheetName val="OTP_Source346"/>
      <sheetName val="FA14_Detail346"/>
      <sheetName val="Lynne's_Tab346"/>
      <sheetName val="SU14_Detail346"/>
      <sheetName val="Category_Callouts346"/>
      <sheetName val="Cap_Scenario346"/>
      <sheetName val="Subcapacity_outsoles_346"/>
      <sheetName val="PA_Scenarios346"/>
      <sheetName val="PA_Transfer_Summary346"/>
      <sheetName val="Monthly_Loading_-Summary346"/>
      <sheetName val="Monthly_Loading-PB_Data346"/>
      <sheetName val="Monthly_Loading-PrevOTP_Data346"/>
      <sheetName val="Data_Refresh346"/>
      <sheetName val="SUMM_LOADING_345"/>
      <sheetName val="Raw_Data_Sheet345"/>
      <sheetName val="IA_1345"/>
      <sheetName val="DATA_MOLD_NEW_BALANCE345"/>
      <sheetName val="SSAI_IP_ORDER345"/>
      <sheetName val="Cutting_Dies_345"/>
      <sheetName val="Indirect_List331"/>
      <sheetName val="BASIS_DATA331"/>
      <sheetName val="SUBCONT_STATUS331"/>
      <sheetName val="cumulus_16276"/>
      <sheetName val="EAM_INVENTORY241"/>
      <sheetName val="Maintenance_Work_Order241"/>
      <sheetName val="Vietnam_Report203"/>
      <sheetName val="5_수정데이터통합203"/>
      <sheetName val="CT__PL202"/>
      <sheetName val="CT_Thang_Mo202"/>
      <sheetName val="Chi_tiet202"/>
      <sheetName val="OTP_GRC52"/>
      <sheetName val="CTTR_Transfer_Type351"/>
      <sheetName val="GFP_Type351"/>
      <sheetName val="GFP_Reasons351"/>
      <sheetName val="LAST_YEARS_CS350"/>
      <sheetName val="Fct_Sum_2_SeasonView347"/>
      <sheetName val="F1_Scenarios347"/>
      <sheetName val="Fct_Summary347"/>
      <sheetName val="Chris'_Tab347"/>
      <sheetName val="OTP_Summary_Result347"/>
      <sheetName val="OTP_Projection347"/>
      <sheetName val="Monthly_Loading347"/>
      <sheetName val="OTP_Source347"/>
      <sheetName val="FA14_Detail347"/>
      <sheetName val="Lynne's_Tab347"/>
      <sheetName val="SU14_Detail347"/>
      <sheetName val="Category_Callouts347"/>
      <sheetName val="Cap_Scenario347"/>
      <sheetName val="Subcapacity_outsoles_347"/>
      <sheetName val="PA_Scenarios347"/>
      <sheetName val="PA_Transfer_Summary347"/>
      <sheetName val="Monthly_Loading_-Summary347"/>
      <sheetName val="Monthly_Loading-PB_Data347"/>
      <sheetName val="Monthly_Loading-PrevOTP_Data347"/>
      <sheetName val="Data_Refresh347"/>
      <sheetName val="SUMM_LOADING_346"/>
      <sheetName val="Raw_Data_Sheet346"/>
      <sheetName val="IA_1346"/>
      <sheetName val="DATA_MOLD_NEW_BALANCE346"/>
      <sheetName val="SSAI_IP_ORDER346"/>
      <sheetName val="Cutting_Dies_346"/>
      <sheetName val="Indirect_List332"/>
      <sheetName val="BASIS_DATA332"/>
      <sheetName val="SUBCONT_STATUS332"/>
      <sheetName val="cumulus_16277"/>
      <sheetName val="EAM_INVENTORY242"/>
      <sheetName val="Maintenance_Work_Order242"/>
      <sheetName val="Vietnam_Report204"/>
      <sheetName val="5_수정데이터통합204"/>
      <sheetName val="CT__PL203"/>
      <sheetName val="CT_Thang_Mo203"/>
      <sheetName val="Chi_tiet203"/>
      <sheetName val="OTP_GRC53"/>
      <sheetName val="CTTR_Transfer_Type352"/>
      <sheetName val="GFP_Type352"/>
      <sheetName val="GFP_Reasons352"/>
      <sheetName val="LAST_YEARS_CS351"/>
      <sheetName val="Fct_Sum_2_SeasonView348"/>
      <sheetName val="F1_Scenarios348"/>
      <sheetName val="Fct_Summary348"/>
      <sheetName val="Chris'_Tab348"/>
      <sheetName val="OTP_Summary_Result348"/>
      <sheetName val="OTP_Projection348"/>
      <sheetName val="Monthly_Loading348"/>
      <sheetName val="OTP_Source348"/>
      <sheetName val="FA14_Detail348"/>
      <sheetName val="Lynne's_Tab348"/>
      <sheetName val="SU14_Detail348"/>
      <sheetName val="Category_Callouts348"/>
      <sheetName val="Cap_Scenario348"/>
      <sheetName val="Subcapacity_outsoles_348"/>
      <sheetName val="PA_Scenarios348"/>
      <sheetName val="PA_Transfer_Summary348"/>
      <sheetName val="Monthly_Loading_-Summary348"/>
      <sheetName val="Monthly_Loading-PB_Data348"/>
      <sheetName val="Monthly_Loading-PrevOTP_Data348"/>
      <sheetName val="Data_Refresh348"/>
      <sheetName val="SUMM_LOADING_347"/>
      <sheetName val="Raw_Data_Sheet347"/>
      <sheetName val="IA_1347"/>
      <sheetName val="DATA_MOLD_NEW_BALANCE347"/>
      <sheetName val="SSAI_IP_ORDER347"/>
      <sheetName val="Cutting_Dies_347"/>
      <sheetName val="Indirect_List333"/>
      <sheetName val="BASIS_DATA333"/>
      <sheetName val="SUBCONT_STATUS333"/>
      <sheetName val="cumulus_16278"/>
      <sheetName val="EAM_INVENTORY243"/>
      <sheetName val="Maintenance_Work_Order243"/>
      <sheetName val="Vietnam_Report205"/>
      <sheetName val="5_수정데이터통합205"/>
      <sheetName val="CT__PL204"/>
      <sheetName val="CT_Thang_Mo204"/>
      <sheetName val="Chi_tiet204"/>
      <sheetName val="OTP_GRC54"/>
      <sheetName val="CTTR_Transfer_Type353"/>
      <sheetName val="GFP_Type353"/>
      <sheetName val="GFP_Reasons353"/>
      <sheetName val="LAST_YEARS_CS352"/>
      <sheetName val="Fct_Sum_2_SeasonView349"/>
      <sheetName val="F1_Scenarios349"/>
      <sheetName val="Fct_Summary349"/>
      <sheetName val="Chris'_Tab349"/>
      <sheetName val="OTP_Summary_Result349"/>
      <sheetName val="OTP_Projection349"/>
      <sheetName val="Monthly_Loading349"/>
      <sheetName val="OTP_Source349"/>
      <sheetName val="FA14_Detail349"/>
      <sheetName val="Lynne's_Tab349"/>
      <sheetName val="SU14_Detail349"/>
      <sheetName val="Category_Callouts349"/>
      <sheetName val="Cap_Scenario349"/>
      <sheetName val="Subcapacity_outsoles_349"/>
      <sheetName val="PA_Scenarios349"/>
      <sheetName val="PA_Transfer_Summary349"/>
      <sheetName val="Monthly_Loading_-Summary349"/>
      <sheetName val="Monthly_Loading-PB_Data349"/>
      <sheetName val="Monthly_Loading-PrevOTP_Data349"/>
      <sheetName val="Data_Refresh349"/>
      <sheetName val="SUMM_LOADING_348"/>
      <sheetName val="Raw_Data_Sheet348"/>
      <sheetName val="IA_1348"/>
      <sheetName val="DATA_MOLD_NEW_BALANCE348"/>
      <sheetName val="SSAI_IP_ORDER348"/>
      <sheetName val="Cutting_Dies_348"/>
      <sheetName val="Indirect_List334"/>
      <sheetName val="BASIS_DATA334"/>
      <sheetName val="SUBCONT_STATUS334"/>
      <sheetName val="cumulus_16279"/>
      <sheetName val="EAM_INVENTORY244"/>
      <sheetName val="Maintenance_Work_Order244"/>
      <sheetName val="Vietnam_Report206"/>
      <sheetName val="5_수정데이터통합206"/>
      <sheetName val="CT__PL205"/>
      <sheetName val="CT_Thang_Mo205"/>
      <sheetName val="Chi_tiet205"/>
      <sheetName val="OTP_GRC55"/>
      <sheetName val="CTTR_Transfer_Type354"/>
      <sheetName val="GFP_Type354"/>
      <sheetName val="GFP_Reasons354"/>
      <sheetName val="LAST_YEARS_CS353"/>
      <sheetName val="Fct_Sum_2_SeasonView350"/>
      <sheetName val="F1_Scenarios350"/>
      <sheetName val="Fct_Summary350"/>
      <sheetName val="Chris'_Tab350"/>
      <sheetName val="OTP_Summary_Result350"/>
      <sheetName val="OTP_Projection350"/>
      <sheetName val="Monthly_Loading350"/>
      <sheetName val="OTP_Source350"/>
      <sheetName val="FA14_Detail350"/>
      <sheetName val="Lynne's_Tab350"/>
      <sheetName val="SU14_Detail350"/>
      <sheetName val="Category_Callouts350"/>
      <sheetName val="Cap_Scenario350"/>
      <sheetName val="Subcapacity_outsoles_350"/>
      <sheetName val="PA_Scenarios350"/>
      <sheetName val="PA_Transfer_Summary350"/>
      <sheetName val="Monthly_Loading_-Summary350"/>
      <sheetName val="Monthly_Loading-PB_Data350"/>
      <sheetName val="Monthly_Loading-PrevOTP_Data350"/>
      <sheetName val="Data_Refresh350"/>
      <sheetName val="SUMM_LOADING_349"/>
      <sheetName val="Raw_Data_Sheet349"/>
      <sheetName val="IA_1349"/>
      <sheetName val="DATA_MOLD_NEW_BALANCE349"/>
      <sheetName val="SSAI_IP_ORDER349"/>
      <sheetName val="Cutting_Dies_349"/>
      <sheetName val="Indirect_List335"/>
      <sheetName val="BASIS_DATA335"/>
      <sheetName val="SUBCONT_STATUS335"/>
      <sheetName val="cumulus_16280"/>
      <sheetName val="EAM_INVENTORY245"/>
      <sheetName val="Maintenance_Work_Order245"/>
      <sheetName val="Vietnam_Report207"/>
      <sheetName val="5_수정데이터통합207"/>
      <sheetName val="CT__PL206"/>
      <sheetName val="CT_Thang_Mo206"/>
      <sheetName val="Chi_tiet206"/>
      <sheetName val="OTP_GRC56"/>
      <sheetName val="CTTR_Transfer_Type355"/>
      <sheetName val="GFP_Type355"/>
      <sheetName val="GFP_Reasons355"/>
      <sheetName val="LAST_YEARS_CS354"/>
      <sheetName val="Fct_Sum_2_SeasonView351"/>
      <sheetName val="F1_Scenarios351"/>
      <sheetName val="Fct_Summary351"/>
      <sheetName val="Chris'_Tab351"/>
      <sheetName val="OTP_Summary_Result351"/>
      <sheetName val="OTP_Projection351"/>
      <sheetName val="Monthly_Loading351"/>
      <sheetName val="OTP_Source351"/>
      <sheetName val="FA14_Detail351"/>
      <sheetName val="Lynne's_Tab351"/>
      <sheetName val="SU14_Detail351"/>
      <sheetName val="Category_Callouts351"/>
      <sheetName val="Cap_Scenario351"/>
      <sheetName val="Subcapacity_outsoles_351"/>
      <sheetName val="PA_Scenarios351"/>
      <sheetName val="PA_Transfer_Summary351"/>
      <sheetName val="Monthly_Loading_-Summary351"/>
      <sheetName val="Monthly_Loading-PB_Data351"/>
      <sheetName val="Monthly_Loading-PrevOTP_Data351"/>
      <sheetName val="Data_Refresh351"/>
      <sheetName val="SUMM_LOADING_350"/>
      <sheetName val="Raw_Data_Sheet350"/>
      <sheetName val="IA_1350"/>
      <sheetName val="DATA_MOLD_NEW_BALANCE350"/>
      <sheetName val="SSAI_IP_ORDER350"/>
      <sheetName val="Cutting_Dies_350"/>
      <sheetName val="Indirect_List336"/>
      <sheetName val="BASIS_DATA336"/>
      <sheetName val="SUBCONT_STATUS336"/>
      <sheetName val="cumulus_16281"/>
      <sheetName val="EAM_INVENTORY246"/>
      <sheetName val="Maintenance_Work_Order246"/>
      <sheetName val="Vietnam_Report208"/>
      <sheetName val="5_수정데이터통합208"/>
      <sheetName val="CT__PL207"/>
      <sheetName val="CT_Thang_Mo207"/>
      <sheetName val="Chi_tiet207"/>
      <sheetName val="OTP_GRC57"/>
      <sheetName val="CTTR_Transfer_Type357"/>
      <sheetName val="GFP_Type357"/>
      <sheetName val="GFP_Reasons357"/>
      <sheetName val="LAST_YEARS_CS356"/>
      <sheetName val="Fct_Sum_2_SeasonView353"/>
      <sheetName val="F1_Scenarios353"/>
      <sheetName val="Fct_Summary353"/>
      <sheetName val="Chris'_Tab353"/>
      <sheetName val="OTP_Summary_Result353"/>
      <sheetName val="OTP_Projection353"/>
      <sheetName val="Monthly_Loading353"/>
      <sheetName val="OTP_Source353"/>
      <sheetName val="FA14_Detail353"/>
      <sheetName val="Lynne's_Tab353"/>
      <sheetName val="SU14_Detail353"/>
      <sheetName val="Category_Callouts353"/>
      <sheetName val="Cap_Scenario353"/>
      <sheetName val="Subcapacity_outsoles_353"/>
      <sheetName val="PA_Scenarios353"/>
      <sheetName val="PA_Transfer_Summary353"/>
      <sheetName val="Monthly_Loading_-Summary353"/>
      <sheetName val="Monthly_Loading-PB_Data353"/>
      <sheetName val="Monthly_Loading-PrevOTP_Data353"/>
      <sheetName val="Data_Refresh353"/>
      <sheetName val="SUMM_LOADING_352"/>
      <sheetName val="Raw_Data_Sheet352"/>
      <sheetName val="IA_1352"/>
      <sheetName val="DATA_MOLD_NEW_BALANCE352"/>
      <sheetName val="SSAI_IP_ORDER352"/>
      <sheetName val="Cutting_Dies_352"/>
      <sheetName val="Indirect_List338"/>
      <sheetName val="BASIS_DATA338"/>
      <sheetName val="SUBCONT_STATUS338"/>
      <sheetName val="cumulus_16283"/>
      <sheetName val="EAM_INVENTORY248"/>
      <sheetName val="Maintenance_Work_Order248"/>
      <sheetName val="Vietnam_Report210"/>
      <sheetName val="5_수정데이터통합210"/>
      <sheetName val="CT__PL209"/>
      <sheetName val="CT_Thang_Mo209"/>
      <sheetName val="Chi_tiet209"/>
      <sheetName val="OTP_GRC59"/>
      <sheetName val="CTTR_Transfer_Type360"/>
      <sheetName val="GFP_Type360"/>
      <sheetName val="GFP_Reasons360"/>
      <sheetName val="LAST_YEARS_CS359"/>
      <sheetName val="Fct_Sum_2_SeasonView356"/>
      <sheetName val="F1_Scenarios356"/>
      <sheetName val="Fct_Summary356"/>
      <sheetName val="Chris'_Tab356"/>
      <sheetName val="OTP_Summary_Result356"/>
      <sheetName val="OTP_Projection356"/>
      <sheetName val="Monthly_Loading356"/>
      <sheetName val="OTP_Source356"/>
      <sheetName val="FA14_Detail356"/>
      <sheetName val="Lynne's_Tab356"/>
      <sheetName val="SU14_Detail356"/>
      <sheetName val="Category_Callouts356"/>
      <sheetName val="Cap_Scenario356"/>
      <sheetName val="Subcapacity_outsoles_356"/>
      <sheetName val="PA_Scenarios356"/>
      <sheetName val="PA_Transfer_Summary356"/>
      <sheetName val="Monthly_Loading_-Summary356"/>
      <sheetName val="Monthly_Loading-PB_Data356"/>
      <sheetName val="Monthly_Loading-PrevOTP_Data356"/>
      <sheetName val="Data_Refresh356"/>
      <sheetName val="SUMM_LOADING_355"/>
      <sheetName val="Raw_Data_Sheet355"/>
      <sheetName val="IA_1355"/>
      <sheetName val="DATA_MOLD_NEW_BALANCE355"/>
      <sheetName val="SSAI_IP_ORDER355"/>
      <sheetName val="Cutting_Dies_355"/>
      <sheetName val="Indirect_List341"/>
      <sheetName val="BASIS_DATA341"/>
      <sheetName val="SUBCONT_STATUS341"/>
      <sheetName val="cumulus_16286"/>
      <sheetName val="EAM_INVENTORY251"/>
      <sheetName val="Maintenance_Work_Order251"/>
      <sheetName val="Vietnam_Report213"/>
      <sheetName val="5_수정데이터통합213"/>
      <sheetName val="CT__PL212"/>
      <sheetName val="CT_Thang_Mo212"/>
      <sheetName val="Chi_tiet212"/>
      <sheetName val="OTP_GRC62"/>
      <sheetName val="CTTR_Transfer_Type358"/>
      <sheetName val="GFP_Type358"/>
      <sheetName val="GFP_Reasons358"/>
      <sheetName val="LAST_YEARS_CS357"/>
      <sheetName val="Fct_Sum_2_SeasonView354"/>
      <sheetName val="F1_Scenarios354"/>
      <sheetName val="Fct_Summary354"/>
      <sheetName val="Chris'_Tab354"/>
      <sheetName val="OTP_Summary_Result354"/>
      <sheetName val="OTP_Projection354"/>
      <sheetName val="Monthly_Loading354"/>
      <sheetName val="OTP_Source354"/>
      <sheetName val="FA14_Detail354"/>
      <sheetName val="Lynne's_Tab354"/>
      <sheetName val="SU14_Detail354"/>
      <sheetName val="Category_Callouts354"/>
      <sheetName val="Cap_Scenario354"/>
      <sheetName val="Subcapacity_outsoles_354"/>
      <sheetName val="PA_Scenarios354"/>
      <sheetName val="PA_Transfer_Summary354"/>
      <sheetName val="Monthly_Loading_-Summary354"/>
      <sheetName val="Monthly_Loading-PB_Data354"/>
      <sheetName val="Monthly_Loading-PrevOTP_Data354"/>
      <sheetName val="Data_Refresh354"/>
      <sheetName val="SUMM_LOADING_353"/>
      <sheetName val="Raw_Data_Sheet353"/>
      <sheetName val="IA_1353"/>
      <sheetName val="DATA_MOLD_NEW_BALANCE353"/>
      <sheetName val="SSAI_IP_ORDER353"/>
      <sheetName val="Cutting_Dies_353"/>
      <sheetName val="Indirect_List339"/>
      <sheetName val="BASIS_DATA339"/>
      <sheetName val="SUBCONT_STATUS339"/>
      <sheetName val="cumulus_16284"/>
      <sheetName val="EAM_INVENTORY249"/>
      <sheetName val="Maintenance_Work_Order249"/>
      <sheetName val="Vietnam_Report211"/>
      <sheetName val="5_수정데이터통합211"/>
      <sheetName val="CT__PL210"/>
      <sheetName val="CT_Thang_Mo210"/>
      <sheetName val="Chi_tiet210"/>
      <sheetName val="OTP_GRC60"/>
      <sheetName val="CTTR_Transfer_Type359"/>
      <sheetName val="GFP_Type359"/>
      <sheetName val="GFP_Reasons359"/>
      <sheetName val="LAST_YEARS_CS358"/>
      <sheetName val="Fct_Sum_2_SeasonView355"/>
      <sheetName val="F1_Scenarios355"/>
      <sheetName val="Fct_Summary355"/>
      <sheetName val="Chris'_Tab355"/>
      <sheetName val="OTP_Summary_Result355"/>
      <sheetName val="OTP_Projection355"/>
      <sheetName val="Monthly_Loading355"/>
      <sheetName val="OTP_Source355"/>
      <sheetName val="FA14_Detail355"/>
      <sheetName val="Lynne's_Tab355"/>
      <sheetName val="SU14_Detail355"/>
      <sheetName val="Category_Callouts355"/>
      <sheetName val="Cap_Scenario355"/>
      <sheetName val="Subcapacity_outsoles_355"/>
      <sheetName val="PA_Scenarios355"/>
      <sheetName val="PA_Transfer_Summary355"/>
      <sheetName val="Monthly_Loading_-Summary355"/>
      <sheetName val="Monthly_Loading-PB_Data355"/>
      <sheetName val="Monthly_Loading-PrevOTP_Data355"/>
      <sheetName val="Data_Refresh355"/>
      <sheetName val="SUMM_LOADING_354"/>
      <sheetName val="Raw_Data_Sheet354"/>
      <sheetName val="IA_1354"/>
      <sheetName val="DATA_MOLD_NEW_BALANCE354"/>
      <sheetName val="SSAI_IP_ORDER354"/>
      <sheetName val="Cutting_Dies_354"/>
      <sheetName val="Indirect_List340"/>
      <sheetName val="BASIS_DATA340"/>
      <sheetName val="SUBCONT_STATUS340"/>
      <sheetName val="cumulus_16285"/>
      <sheetName val="EAM_INVENTORY250"/>
      <sheetName val="Maintenance_Work_Order250"/>
      <sheetName val="Vietnam_Report212"/>
      <sheetName val="5_수정데이터통합212"/>
      <sheetName val="CT__PL211"/>
      <sheetName val="CT_Thang_Mo211"/>
      <sheetName val="Chi_tiet211"/>
      <sheetName val="OTP_GRC61"/>
      <sheetName val="CTTR_Transfer_Type361"/>
      <sheetName val="GFP_Type361"/>
      <sheetName val="GFP_Reasons361"/>
      <sheetName val="LAST_YEARS_CS360"/>
      <sheetName val="Fct_Sum_2_SeasonView357"/>
      <sheetName val="F1_Scenarios357"/>
      <sheetName val="Fct_Summary357"/>
      <sheetName val="Chris'_Tab357"/>
      <sheetName val="OTP_Summary_Result357"/>
      <sheetName val="OTP_Projection357"/>
      <sheetName val="Monthly_Loading357"/>
      <sheetName val="OTP_Source357"/>
      <sheetName val="FA14_Detail357"/>
      <sheetName val="Lynne's_Tab357"/>
      <sheetName val="SU14_Detail357"/>
      <sheetName val="Category_Callouts357"/>
      <sheetName val="Cap_Scenario357"/>
      <sheetName val="Subcapacity_outsoles_357"/>
      <sheetName val="PA_Scenarios357"/>
      <sheetName val="PA_Transfer_Summary357"/>
      <sheetName val="Monthly_Loading_-Summary357"/>
      <sheetName val="Monthly_Loading-PB_Data357"/>
      <sheetName val="Monthly_Loading-PrevOTP_Data357"/>
      <sheetName val="Data_Refresh357"/>
      <sheetName val="SUMM_LOADING_356"/>
      <sheetName val="Raw_Data_Sheet356"/>
      <sheetName val="IA_1356"/>
      <sheetName val="DATA_MOLD_NEW_BALANCE356"/>
      <sheetName val="SSAI_IP_ORDER356"/>
      <sheetName val="Cutting_Dies_356"/>
      <sheetName val="Indirect_List342"/>
      <sheetName val="BASIS_DATA342"/>
      <sheetName val="SUBCONT_STATUS342"/>
      <sheetName val="cumulus_16287"/>
      <sheetName val="EAM_INVENTORY252"/>
      <sheetName val="Maintenance_Work_Order252"/>
      <sheetName val="Vietnam_Report214"/>
      <sheetName val="5_수정데이터통합214"/>
      <sheetName val="CT__PL213"/>
      <sheetName val="CT_Thang_Mo213"/>
      <sheetName val="Chi_tiet213"/>
      <sheetName val="OTP_GRC63"/>
      <sheetName val="KODE INSOLE"/>
      <sheetName val="INDEX"/>
      <sheetName val="dropdowns"/>
      <sheetName val="LOP Tool"/>
      <sheetName val="gud.chem,lem"/>
      <sheetName val="ITEM&amp;STYLE"/>
      <sheetName val="NCF"/>
      <sheetName val="Def"/>
      <sheetName val="F1_Scťnarios82"/>
      <sheetName val="SSAI_IP_OŒDER86"/>
      <sheetName val="BTRSS"/>
      <sheetName val="Materials"/>
      <sheetName val="Supplier List"/>
      <sheetName val="Info"/>
      <sheetName val="CTTR_Transfer_Type362"/>
      <sheetName val="GFP_Type362"/>
      <sheetName val="GFP_Reasons362"/>
      <sheetName val="LAST_YEARS_CS361"/>
      <sheetName val="Fct_Sum_2_SeasonView358"/>
      <sheetName val="F1_Scenarios358"/>
      <sheetName val="Fct_Summary358"/>
      <sheetName val="Chris'_Tab358"/>
      <sheetName val="OTP_Summary_Result358"/>
      <sheetName val="OTP_Projection358"/>
      <sheetName val="Monthly_Loading358"/>
      <sheetName val="OTP_Source358"/>
      <sheetName val="FA14_Detail358"/>
      <sheetName val="Lynne's_Tab358"/>
      <sheetName val="SU14_Detail358"/>
      <sheetName val="Category_Callouts358"/>
      <sheetName val="Cap_Scenario358"/>
      <sheetName val="Subcapacity_outsoles_358"/>
      <sheetName val="PA_Scenarios358"/>
      <sheetName val="PA_Transfer_Summary358"/>
      <sheetName val="Monthly_Loading_-Summary358"/>
      <sheetName val="Monthly_Loading-PB_Data358"/>
      <sheetName val="Monthly_Loading-PrevOTP_Data358"/>
      <sheetName val="Data_Refresh358"/>
      <sheetName val="SUMM_LOADING_357"/>
      <sheetName val="Raw_Data_Sheet357"/>
      <sheetName val="IA_1357"/>
      <sheetName val="DATA_MOLD_NEW_BALANCE357"/>
      <sheetName val="SSAI_IP_ORDER357"/>
      <sheetName val="Cutting_Dies_357"/>
      <sheetName val="Indirect_List343"/>
      <sheetName val="BASIS_DATA343"/>
      <sheetName val="SUBCONT_STATUS343"/>
      <sheetName val="cumulus_16288"/>
      <sheetName val="EAM_INVENTORY253"/>
      <sheetName val="Maintenance_Work_Order253"/>
      <sheetName val="Vietnam_Report215"/>
      <sheetName val="5_수정데이터통합215"/>
      <sheetName val="CT__PL214"/>
      <sheetName val="CT_Thang_Mo214"/>
      <sheetName val="Chi_tiet214"/>
      <sheetName val="OTP_GRC64"/>
      <sheetName val="KODE_INSOLE"/>
      <sheetName val="LOP_Tool"/>
      <sheetName val="gud_chem,lem"/>
      <sheetName val="Supplier_List"/>
      <sheetName val="CTTR_Transfer_Type363"/>
      <sheetName val="GFP_Type363"/>
      <sheetName val="GFP_Reasons363"/>
      <sheetName val="LAST_YEARS_CS362"/>
      <sheetName val="Fct_Sum_2_SeasonView359"/>
      <sheetName val="F1_Scenarios359"/>
      <sheetName val="Fct_Summary359"/>
      <sheetName val="Chris'_Tab359"/>
      <sheetName val="OTP_Summary_Result359"/>
      <sheetName val="OTP_Projection359"/>
      <sheetName val="Monthly_Loading359"/>
      <sheetName val="OTP_Source359"/>
      <sheetName val="FA14_Detail359"/>
      <sheetName val="Lynne's_Tab359"/>
      <sheetName val="SU14_Detail359"/>
      <sheetName val="Category_Callouts359"/>
      <sheetName val="Cap_Scenario359"/>
      <sheetName val="Subcapacity_outsoles_359"/>
      <sheetName val="PA_Scenarios359"/>
      <sheetName val="PA_Transfer_Summary359"/>
      <sheetName val="Monthly_Loading_-Summary359"/>
      <sheetName val="Monthly_Loading-PB_Data359"/>
      <sheetName val="Monthly_Loading-PrevOTP_Data359"/>
      <sheetName val="Data_Refresh359"/>
      <sheetName val="SUMM_LOADING_358"/>
      <sheetName val="Raw_Data_Sheet358"/>
      <sheetName val="IA_1358"/>
      <sheetName val="DATA_MOLD_NEW_BALANCE358"/>
      <sheetName val="SSAI_IP_ORDER358"/>
      <sheetName val="Cutting_Dies_358"/>
      <sheetName val="Indirect_List344"/>
      <sheetName val="BASIS_DATA344"/>
      <sheetName val="SUBCONT_STATUS344"/>
      <sheetName val="cumulus_16289"/>
      <sheetName val="EAM_INVENTORY254"/>
      <sheetName val="Maintenance_Work_Order254"/>
      <sheetName val="Vietnam_Report216"/>
      <sheetName val="5_수정데이터통합216"/>
      <sheetName val="CT__PL215"/>
      <sheetName val="CT_Thang_Mo215"/>
      <sheetName val="Chi_tiet215"/>
      <sheetName val="OTP_GRC65"/>
      <sheetName val="KODE_INSOLE1"/>
      <sheetName val="LOP_Tool1"/>
      <sheetName val="gud_chem,lem1"/>
      <sheetName val="Supplier_List1"/>
      <sheetName val="Look_up"/>
      <sheetName val="2003_pjt list"/>
    </sheetNames>
    <sheetDataSet>
      <sheetData sheetId="0">
        <row r="2">
          <cell r="A2" t="str">
            <v>% of Capacity utilized</v>
          </cell>
        </row>
      </sheetData>
      <sheetData sheetId="1">
        <row r="2">
          <cell r="A2" t="str">
            <v>Complete</v>
          </cell>
        </row>
      </sheetData>
      <sheetData sheetId="2">
        <row r="2">
          <cell r="A2" t="str">
            <v>Complete</v>
          </cell>
        </row>
      </sheetData>
      <sheetData sheetId="3">
        <row r="2">
          <cell r="A2" t="str">
            <v>Complete</v>
          </cell>
        </row>
      </sheetData>
      <sheetData sheetId="4">
        <row r="2">
          <cell r="A2" t="str">
            <v>Complete</v>
          </cell>
        </row>
      </sheetData>
      <sheetData sheetId="5">
        <row r="2">
          <cell r="A2" t="str">
            <v>Complete</v>
          </cell>
        </row>
      </sheetData>
      <sheetData sheetId="6">
        <row r="2">
          <cell r="A2" t="str">
            <v>Complete</v>
          </cell>
        </row>
      </sheetData>
      <sheetData sheetId="7">
        <row r="2">
          <cell r="A2" t="str">
            <v>Complete</v>
          </cell>
        </row>
      </sheetData>
      <sheetData sheetId="8">
        <row r="2">
          <cell r="A2" t="str">
            <v>Complete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Complete</v>
          </cell>
        </row>
      </sheetData>
      <sheetData sheetId="18">
        <row r="2">
          <cell r="A2" t="str">
            <v>Complete</v>
          </cell>
        </row>
        <row r="3">
          <cell r="A3" t="str">
            <v>New D/M/C</v>
          </cell>
        </row>
        <row r="4">
          <cell r="A4" t="str">
            <v>Extg D/M/C</v>
          </cell>
        </row>
        <row r="5">
          <cell r="A5" t="str">
            <v>Tooling</v>
          </cell>
        </row>
        <row r="6">
          <cell r="A6" t="str">
            <v>Tech Pack</v>
          </cell>
        </row>
      </sheetData>
      <sheetData sheetId="19">
        <row r="2">
          <cell r="A2" t="str">
            <v>Complete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% of Capacity utilized</v>
          </cell>
        </row>
      </sheetData>
      <sheetData sheetId="47">
        <row r="2">
          <cell r="A2" t="str">
            <v>% of Capacity utilized</v>
          </cell>
        </row>
      </sheetData>
      <sheetData sheetId="48">
        <row r="2">
          <cell r="A2" t="str">
            <v>% of Capacity utilized</v>
          </cell>
        </row>
      </sheetData>
      <sheetData sheetId="49">
        <row r="2">
          <cell r="A2" t="str">
            <v>% of Capacity utilized</v>
          </cell>
        </row>
      </sheetData>
      <sheetData sheetId="50">
        <row r="2">
          <cell r="A2" t="str">
            <v>% of Capacity utilized</v>
          </cell>
        </row>
      </sheetData>
      <sheetData sheetId="51">
        <row r="2">
          <cell r="A2" t="str">
            <v>Complete</v>
          </cell>
        </row>
      </sheetData>
      <sheetData sheetId="52">
        <row r="2">
          <cell r="A2" t="str">
            <v>Complete</v>
          </cell>
        </row>
      </sheetData>
      <sheetData sheetId="53">
        <row r="2">
          <cell r="A2" t="str">
            <v>Complete</v>
          </cell>
        </row>
      </sheetData>
      <sheetData sheetId="54">
        <row r="2">
          <cell r="A2" t="str">
            <v>Complete</v>
          </cell>
        </row>
      </sheetData>
      <sheetData sheetId="55">
        <row r="2">
          <cell r="A2" t="str">
            <v>Complete</v>
          </cell>
        </row>
      </sheetData>
      <sheetData sheetId="56">
        <row r="2">
          <cell r="A2" t="str">
            <v>Complete</v>
          </cell>
        </row>
      </sheetData>
      <sheetData sheetId="57">
        <row r="2">
          <cell r="A2" t="str">
            <v>Complete</v>
          </cell>
        </row>
      </sheetData>
      <sheetData sheetId="58">
        <row r="2">
          <cell r="A2" t="str">
            <v>Complete</v>
          </cell>
        </row>
      </sheetData>
      <sheetData sheetId="59">
        <row r="2">
          <cell r="A2" t="str">
            <v>Complete</v>
          </cell>
        </row>
      </sheetData>
      <sheetData sheetId="60">
        <row r="2">
          <cell r="A2" t="str">
            <v>Complete</v>
          </cell>
        </row>
      </sheetData>
      <sheetData sheetId="61">
        <row r="2">
          <cell r="A2" t="str">
            <v>Complete</v>
          </cell>
        </row>
      </sheetData>
      <sheetData sheetId="62">
        <row r="2">
          <cell r="A2" t="str">
            <v>Complete</v>
          </cell>
        </row>
      </sheetData>
      <sheetData sheetId="63">
        <row r="2">
          <cell r="A2" t="str">
            <v>Complete</v>
          </cell>
        </row>
      </sheetData>
      <sheetData sheetId="64">
        <row r="2">
          <cell r="A2" t="str">
            <v>Complete</v>
          </cell>
        </row>
      </sheetData>
      <sheetData sheetId="65">
        <row r="2">
          <cell r="A2" t="str">
            <v>Complete</v>
          </cell>
        </row>
      </sheetData>
      <sheetData sheetId="66">
        <row r="2">
          <cell r="A2" t="str">
            <v>Complete</v>
          </cell>
        </row>
      </sheetData>
      <sheetData sheetId="67">
        <row r="2">
          <cell r="A2" t="str">
            <v>% of Capacity utilized</v>
          </cell>
        </row>
      </sheetData>
      <sheetData sheetId="68">
        <row r="2">
          <cell r="A2" t="str">
            <v>% of Capacity utilized</v>
          </cell>
        </row>
      </sheetData>
      <sheetData sheetId="69">
        <row r="2">
          <cell r="A2" t="str">
            <v>% of Capacity utilized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2">
          <cell r="A2">
            <v>43462</v>
          </cell>
        </row>
      </sheetData>
      <sheetData sheetId="268">
        <row r="2">
          <cell r="A2" t="str">
            <v>Complete</v>
          </cell>
        </row>
      </sheetData>
      <sheetData sheetId="269">
        <row r="2">
          <cell r="A2" t="str">
            <v>Complete</v>
          </cell>
        </row>
      </sheetData>
      <sheetData sheetId="270">
        <row r="2">
          <cell r="A2">
            <v>43462</v>
          </cell>
        </row>
      </sheetData>
      <sheetData sheetId="271">
        <row r="2">
          <cell r="A2" t="str">
            <v>Complete</v>
          </cell>
        </row>
      </sheetData>
      <sheetData sheetId="272">
        <row r="2">
          <cell r="A2" t="str">
            <v>Complete</v>
          </cell>
        </row>
      </sheetData>
      <sheetData sheetId="273">
        <row r="2">
          <cell r="A2">
            <v>43462</v>
          </cell>
        </row>
      </sheetData>
      <sheetData sheetId="274">
        <row r="2">
          <cell r="A2" t="str">
            <v>Complete</v>
          </cell>
        </row>
      </sheetData>
      <sheetData sheetId="275">
        <row r="2">
          <cell r="A2" t="str">
            <v>Complete</v>
          </cell>
        </row>
      </sheetData>
      <sheetData sheetId="276">
        <row r="2">
          <cell r="A2">
            <v>43462</v>
          </cell>
        </row>
      </sheetData>
      <sheetData sheetId="277">
        <row r="2">
          <cell r="A2" t="str">
            <v>Complete</v>
          </cell>
        </row>
      </sheetData>
      <sheetData sheetId="278">
        <row r="2">
          <cell r="A2" t="str">
            <v>Complete</v>
          </cell>
        </row>
      </sheetData>
      <sheetData sheetId="279">
        <row r="2">
          <cell r="A2">
            <v>43462</v>
          </cell>
        </row>
      </sheetData>
      <sheetData sheetId="280">
        <row r="2">
          <cell r="A2" t="str">
            <v>Complete</v>
          </cell>
        </row>
      </sheetData>
      <sheetData sheetId="281">
        <row r="2">
          <cell r="A2" t="str">
            <v>Complete</v>
          </cell>
        </row>
      </sheetData>
      <sheetData sheetId="282">
        <row r="2">
          <cell r="A2">
            <v>43462</v>
          </cell>
        </row>
      </sheetData>
      <sheetData sheetId="283">
        <row r="2">
          <cell r="A2">
            <v>43462</v>
          </cell>
        </row>
      </sheetData>
      <sheetData sheetId="284">
        <row r="2">
          <cell r="A2" t="str">
            <v>Complete</v>
          </cell>
        </row>
      </sheetData>
      <sheetData sheetId="285">
        <row r="2">
          <cell r="A2">
            <v>43462</v>
          </cell>
        </row>
      </sheetData>
      <sheetData sheetId="286">
        <row r="2">
          <cell r="A2" t="str">
            <v>Complete</v>
          </cell>
        </row>
      </sheetData>
      <sheetData sheetId="287">
        <row r="2">
          <cell r="A2" t="str">
            <v>Complete</v>
          </cell>
        </row>
      </sheetData>
      <sheetData sheetId="288">
        <row r="2">
          <cell r="A2">
            <v>43462</v>
          </cell>
        </row>
      </sheetData>
      <sheetData sheetId="289">
        <row r="2">
          <cell r="A2">
            <v>43462</v>
          </cell>
        </row>
      </sheetData>
      <sheetData sheetId="290">
        <row r="2">
          <cell r="A2" t="str">
            <v>Complete</v>
          </cell>
        </row>
      </sheetData>
      <sheetData sheetId="291">
        <row r="2">
          <cell r="A2">
            <v>43462</v>
          </cell>
        </row>
      </sheetData>
      <sheetData sheetId="292">
        <row r="2">
          <cell r="A2">
            <v>43462</v>
          </cell>
        </row>
      </sheetData>
      <sheetData sheetId="293">
        <row r="2">
          <cell r="A2" t="str">
            <v>Complete</v>
          </cell>
        </row>
      </sheetData>
      <sheetData sheetId="294">
        <row r="2">
          <cell r="A2">
            <v>43462</v>
          </cell>
        </row>
      </sheetData>
      <sheetData sheetId="295">
        <row r="2">
          <cell r="A2">
            <v>43462</v>
          </cell>
        </row>
      </sheetData>
      <sheetData sheetId="296">
        <row r="2">
          <cell r="A2" t="str">
            <v>Complete</v>
          </cell>
        </row>
      </sheetData>
      <sheetData sheetId="297">
        <row r="2">
          <cell r="A2">
            <v>43462</v>
          </cell>
        </row>
      </sheetData>
      <sheetData sheetId="298">
        <row r="2">
          <cell r="A2" t="str">
            <v>Complete</v>
          </cell>
        </row>
      </sheetData>
      <sheetData sheetId="299">
        <row r="2">
          <cell r="A2" t="str">
            <v>Complete</v>
          </cell>
        </row>
      </sheetData>
      <sheetData sheetId="300">
        <row r="2">
          <cell r="A2">
            <v>43462</v>
          </cell>
        </row>
      </sheetData>
      <sheetData sheetId="301">
        <row r="2">
          <cell r="A2" t="str">
            <v>Complete</v>
          </cell>
        </row>
      </sheetData>
      <sheetData sheetId="302">
        <row r="2">
          <cell r="A2" t="str">
            <v>Complete</v>
          </cell>
        </row>
      </sheetData>
      <sheetData sheetId="303">
        <row r="2">
          <cell r="A2">
            <v>43462</v>
          </cell>
        </row>
      </sheetData>
      <sheetData sheetId="304">
        <row r="2">
          <cell r="A2" t="str">
            <v>Complete</v>
          </cell>
        </row>
      </sheetData>
      <sheetData sheetId="305">
        <row r="2">
          <cell r="A2" t="str">
            <v>Complete</v>
          </cell>
        </row>
      </sheetData>
      <sheetData sheetId="306">
        <row r="2">
          <cell r="A2">
            <v>43462</v>
          </cell>
        </row>
      </sheetData>
      <sheetData sheetId="307">
        <row r="2">
          <cell r="A2" t="str">
            <v>Complete</v>
          </cell>
        </row>
      </sheetData>
      <sheetData sheetId="308">
        <row r="2">
          <cell r="A2" t="str">
            <v>Complete</v>
          </cell>
        </row>
      </sheetData>
      <sheetData sheetId="309">
        <row r="2">
          <cell r="A2">
            <v>43462</v>
          </cell>
        </row>
      </sheetData>
      <sheetData sheetId="310">
        <row r="2">
          <cell r="A2" t="str">
            <v>Complete</v>
          </cell>
        </row>
      </sheetData>
      <sheetData sheetId="311">
        <row r="2">
          <cell r="A2" t="str">
            <v>Complete</v>
          </cell>
        </row>
      </sheetData>
      <sheetData sheetId="312">
        <row r="2">
          <cell r="A2">
            <v>43462</v>
          </cell>
        </row>
      </sheetData>
      <sheetData sheetId="313">
        <row r="2">
          <cell r="A2" t="str">
            <v>Complete</v>
          </cell>
        </row>
      </sheetData>
      <sheetData sheetId="314">
        <row r="2">
          <cell r="A2" t="str">
            <v>Complete</v>
          </cell>
        </row>
      </sheetData>
      <sheetData sheetId="315">
        <row r="2">
          <cell r="A2">
            <v>43462</v>
          </cell>
        </row>
      </sheetData>
      <sheetData sheetId="316">
        <row r="2">
          <cell r="A2">
            <v>43462</v>
          </cell>
        </row>
      </sheetData>
      <sheetData sheetId="317">
        <row r="2">
          <cell r="A2" t="str">
            <v>Complete</v>
          </cell>
        </row>
      </sheetData>
      <sheetData sheetId="318">
        <row r="2">
          <cell r="A2">
            <v>43462</v>
          </cell>
        </row>
      </sheetData>
      <sheetData sheetId="319">
        <row r="2">
          <cell r="A2">
            <v>43462</v>
          </cell>
        </row>
      </sheetData>
      <sheetData sheetId="320">
        <row r="2">
          <cell r="A2" t="str">
            <v>Complete</v>
          </cell>
        </row>
      </sheetData>
      <sheetData sheetId="321">
        <row r="2">
          <cell r="A2">
            <v>43462</v>
          </cell>
        </row>
      </sheetData>
      <sheetData sheetId="322">
        <row r="2">
          <cell r="A2">
            <v>43462</v>
          </cell>
        </row>
      </sheetData>
      <sheetData sheetId="323">
        <row r="2">
          <cell r="A2" t="str">
            <v>Complete</v>
          </cell>
        </row>
      </sheetData>
      <sheetData sheetId="324">
        <row r="2">
          <cell r="A2">
            <v>43462</v>
          </cell>
        </row>
      </sheetData>
      <sheetData sheetId="325">
        <row r="2">
          <cell r="A2">
            <v>43462</v>
          </cell>
        </row>
      </sheetData>
      <sheetData sheetId="326">
        <row r="2">
          <cell r="A2" t="str">
            <v>Complete</v>
          </cell>
        </row>
      </sheetData>
      <sheetData sheetId="327">
        <row r="2">
          <cell r="A2">
            <v>43462</v>
          </cell>
        </row>
      </sheetData>
      <sheetData sheetId="328">
        <row r="2">
          <cell r="A2">
            <v>43462</v>
          </cell>
        </row>
      </sheetData>
      <sheetData sheetId="329">
        <row r="2">
          <cell r="A2" t="str">
            <v>Complete</v>
          </cell>
        </row>
      </sheetData>
      <sheetData sheetId="330">
        <row r="2">
          <cell r="A2">
            <v>43462</v>
          </cell>
        </row>
      </sheetData>
      <sheetData sheetId="331">
        <row r="2">
          <cell r="A2" t="str">
            <v>Complete</v>
          </cell>
        </row>
      </sheetData>
      <sheetData sheetId="332">
        <row r="2">
          <cell r="A2" t="str">
            <v>Complete</v>
          </cell>
        </row>
      </sheetData>
      <sheetData sheetId="333">
        <row r="2">
          <cell r="A2">
            <v>43462</v>
          </cell>
        </row>
      </sheetData>
      <sheetData sheetId="334">
        <row r="2">
          <cell r="A2" t="str">
            <v>Complete</v>
          </cell>
        </row>
      </sheetData>
      <sheetData sheetId="335">
        <row r="2">
          <cell r="A2" t="str">
            <v>Complete</v>
          </cell>
        </row>
      </sheetData>
      <sheetData sheetId="336">
        <row r="2">
          <cell r="A2">
            <v>43462</v>
          </cell>
        </row>
      </sheetData>
      <sheetData sheetId="337">
        <row r="2">
          <cell r="A2" t="str">
            <v>Complete</v>
          </cell>
        </row>
      </sheetData>
      <sheetData sheetId="338">
        <row r="2">
          <cell r="A2" t="str">
            <v>Complete</v>
          </cell>
        </row>
      </sheetData>
      <sheetData sheetId="339">
        <row r="2">
          <cell r="A2">
            <v>43462</v>
          </cell>
        </row>
      </sheetData>
      <sheetData sheetId="340">
        <row r="2">
          <cell r="A2" t="str">
            <v>Complete</v>
          </cell>
        </row>
      </sheetData>
      <sheetData sheetId="341">
        <row r="2">
          <cell r="A2" t="str">
            <v>Complete</v>
          </cell>
        </row>
      </sheetData>
      <sheetData sheetId="342">
        <row r="2">
          <cell r="A2">
            <v>43462</v>
          </cell>
        </row>
      </sheetData>
      <sheetData sheetId="343">
        <row r="2">
          <cell r="A2" t="str">
            <v>Complete</v>
          </cell>
        </row>
      </sheetData>
      <sheetData sheetId="344">
        <row r="2">
          <cell r="A2" t="str">
            <v>Complete</v>
          </cell>
        </row>
      </sheetData>
      <sheetData sheetId="345">
        <row r="2">
          <cell r="A2">
            <v>43462</v>
          </cell>
        </row>
      </sheetData>
      <sheetData sheetId="346">
        <row r="2">
          <cell r="A2" t="str">
            <v>Complete</v>
          </cell>
        </row>
      </sheetData>
      <sheetData sheetId="347">
        <row r="2">
          <cell r="A2" t="str">
            <v>Complete</v>
          </cell>
        </row>
      </sheetData>
      <sheetData sheetId="348">
        <row r="2">
          <cell r="A2">
            <v>43462</v>
          </cell>
        </row>
      </sheetData>
      <sheetData sheetId="349">
        <row r="2">
          <cell r="A2">
            <v>43462</v>
          </cell>
        </row>
      </sheetData>
      <sheetData sheetId="350">
        <row r="2">
          <cell r="A2" t="str">
            <v>Complete</v>
          </cell>
        </row>
      </sheetData>
      <sheetData sheetId="351">
        <row r="2">
          <cell r="A2">
            <v>43462</v>
          </cell>
        </row>
      </sheetData>
      <sheetData sheetId="352">
        <row r="2">
          <cell r="A2">
            <v>43462</v>
          </cell>
        </row>
      </sheetData>
      <sheetData sheetId="353">
        <row r="2">
          <cell r="A2" t="str">
            <v>Complete</v>
          </cell>
        </row>
      </sheetData>
      <sheetData sheetId="354">
        <row r="2">
          <cell r="A2">
            <v>43462</v>
          </cell>
        </row>
      </sheetData>
      <sheetData sheetId="355">
        <row r="2">
          <cell r="A2">
            <v>43462</v>
          </cell>
        </row>
      </sheetData>
      <sheetData sheetId="356">
        <row r="2">
          <cell r="A2" t="str">
            <v>Complete</v>
          </cell>
        </row>
      </sheetData>
      <sheetData sheetId="357">
        <row r="2">
          <cell r="A2">
            <v>43462</v>
          </cell>
        </row>
      </sheetData>
      <sheetData sheetId="358">
        <row r="2">
          <cell r="A2">
            <v>43462</v>
          </cell>
        </row>
      </sheetData>
      <sheetData sheetId="359">
        <row r="2">
          <cell r="A2" t="str">
            <v>Complete</v>
          </cell>
        </row>
      </sheetData>
      <sheetData sheetId="360">
        <row r="2">
          <cell r="A2">
            <v>43462</v>
          </cell>
        </row>
      </sheetData>
      <sheetData sheetId="361">
        <row r="2">
          <cell r="A2">
            <v>43462</v>
          </cell>
        </row>
      </sheetData>
      <sheetData sheetId="362">
        <row r="2">
          <cell r="A2" t="str">
            <v>Complete</v>
          </cell>
        </row>
      </sheetData>
      <sheetData sheetId="363">
        <row r="2">
          <cell r="A2">
            <v>43462</v>
          </cell>
        </row>
      </sheetData>
      <sheetData sheetId="364">
        <row r="2">
          <cell r="A2" t="str">
            <v>Complete</v>
          </cell>
        </row>
      </sheetData>
      <sheetData sheetId="365">
        <row r="2">
          <cell r="A2" t="str">
            <v>Complete</v>
          </cell>
        </row>
      </sheetData>
      <sheetData sheetId="366">
        <row r="2">
          <cell r="A2">
            <v>43462</v>
          </cell>
        </row>
      </sheetData>
      <sheetData sheetId="367">
        <row r="2">
          <cell r="A2" t="str">
            <v>Complete</v>
          </cell>
        </row>
      </sheetData>
      <sheetData sheetId="368">
        <row r="2">
          <cell r="A2" t="str">
            <v>Complete</v>
          </cell>
        </row>
      </sheetData>
      <sheetData sheetId="369">
        <row r="2">
          <cell r="A2">
            <v>43462</v>
          </cell>
        </row>
      </sheetData>
      <sheetData sheetId="370">
        <row r="2">
          <cell r="A2" t="str">
            <v>Complete</v>
          </cell>
        </row>
      </sheetData>
      <sheetData sheetId="371">
        <row r="2">
          <cell r="A2" t="str">
            <v>Complete</v>
          </cell>
        </row>
      </sheetData>
      <sheetData sheetId="372">
        <row r="2">
          <cell r="A2">
            <v>43462</v>
          </cell>
        </row>
      </sheetData>
      <sheetData sheetId="373">
        <row r="2">
          <cell r="A2" t="str">
            <v>Complete</v>
          </cell>
        </row>
      </sheetData>
      <sheetData sheetId="374">
        <row r="2">
          <cell r="A2" t="str">
            <v>Complete</v>
          </cell>
        </row>
      </sheetData>
      <sheetData sheetId="375">
        <row r="2">
          <cell r="A2">
            <v>43462</v>
          </cell>
        </row>
      </sheetData>
      <sheetData sheetId="376">
        <row r="2">
          <cell r="A2">
            <v>43462</v>
          </cell>
        </row>
      </sheetData>
      <sheetData sheetId="377">
        <row r="2">
          <cell r="A2" t="str">
            <v>Complete</v>
          </cell>
        </row>
      </sheetData>
      <sheetData sheetId="378">
        <row r="2">
          <cell r="A2">
            <v>43462</v>
          </cell>
        </row>
      </sheetData>
      <sheetData sheetId="379">
        <row r="2">
          <cell r="A2">
            <v>43462</v>
          </cell>
        </row>
      </sheetData>
      <sheetData sheetId="380">
        <row r="2">
          <cell r="A2" t="str">
            <v>Complete</v>
          </cell>
        </row>
      </sheetData>
      <sheetData sheetId="381">
        <row r="2">
          <cell r="A2">
            <v>43462</v>
          </cell>
        </row>
      </sheetData>
      <sheetData sheetId="382">
        <row r="2">
          <cell r="A2">
            <v>43462</v>
          </cell>
        </row>
      </sheetData>
      <sheetData sheetId="383">
        <row r="2">
          <cell r="A2" t="str">
            <v>Complete</v>
          </cell>
        </row>
      </sheetData>
      <sheetData sheetId="384">
        <row r="2">
          <cell r="A2">
            <v>43462</v>
          </cell>
        </row>
      </sheetData>
      <sheetData sheetId="385">
        <row r="2">
          <cell r="A2">
            <v>43462</v>
          </cell>
        </row>
      </sheetData>
      <sheetData sheetId="386">
        <row r="2">
          <cell r="A2" t="str">
            <v>Complete</v>
          </cell>
        </row>
      </sheetData>
      <sheetData sheetId="387">
        <row r="2">
          <cell r="A2">
            <v>43462</v>
          </cell>
        </row>
      </sheetData>
      <sheetData sheetId="388">
        <row r="2">
          <cell r="A2">
            <v>43462</v>
          </cell>
        </row>
      </sheetData>
      <sheetData sheetId="389">
        <row r="2">
          <cell r="A2" t="str">
            <v>Complete</v>
          </cell>
        </row>
      </sheetData>
      <sheetData sheetId="390">
        <row r="2">
          <cell r="A2">
            <v>43462</v>
          </cell>
        </row>
      </sheetData>
      <sheetData sheetId="391">
        <row r="2">
          <cell r="A2">
            <v>43462</v>
          </cell>
        </row>
      </sheetData>
      <sheetData sheetId="392">
        <row r="2">
          <cell r="A2" t="str">
            <v>Complete</v>
          </cell>
        </row>
      </sheetData>
      <sheetData sheetId="393">
        <row r="2">
          <cell r="A2">
            <v>43462</v>
          </cell>
        </row>
      </sheetData>
      <sheetData sheetId="394">
        <row r="2">
          <cell r="A2">
            <v>43462</v>
          </cell>
        </row>
      </sheetData>
      <sheetData sheetId="395">
        <row r="2">
          <cell r="A2" t="str">
            <v>Complete</v>
          </cell>
        </row>
      </sheetData>
      <sheetData sheetId="396">
        <row r="2">
          <cell r="A2">
            <v>43462</v>
          </cell>
        </row>
      </sheetData>
      <sheetData sheetId="397">
        <row r="2">
          <cell r="A2" t="str">
            <v>Complete</v>
          </cell>
        </row>
      </sheetData>
      <sheetData sheetId="398">
        <row r="2">
          <cell r="A2" t="str">
            <v>Complete</v>
          </cell>
        </row>
      </sheetData>
      <sheetData sheetId="399">
        <row r="2">
          <cell r="A2">
            <v>43462</v>
          </cell>
        </row>
      </sheetData>
      <sheetData sheetId="400">
        <row r="2">
          <cell r="A2" t="str">
            <v>Complete</v>
          </cell>
        </row>
      </sheetData>
      <sheetData sheetId="401">
        <row r="2">
          <cell r="A2" t="str">
            <v>Complete</v>
          </cell>
        </row>
      </sheetData>
      <sheetData sheetId="402">
        <row r="2">
          <cell r="A2">
            <v>43462</v>
          </cell>
        </row>
      </sheetData>
      <sheetData sheetId="403">
        <row r="2">
          <cell r="A2" t="str">
            <v>Complete</v>
          </cell>
        </row>
      </sheetData>
      <sheetData sheetId="404">
        <row r="2">
          <cell r="A2" t="str">
            <v>Complete</v>
          </cell>
        </row>
      </sheetData>
      <sheetData sheetId="405">
        <row r="2">
          <cell r="A2">
            <v>43462</v>
          </cell>
        </row>
      </sheetData>
      <sheetData sheetId="406">
        <row r="2">
          <cell r="A2">
            <v>43462</v>
          </cell>
        </row>
      </sheetData>
      <sheetData sheetId="407">
        <row r="2">
          <cell r="A2" t="str">
            <v>Complete</v>
          </cell>
        </row>
      </sheetData>
      <sheetData sheetId="408">
        <row r="2">
          <cell r="A2">
            <v>43462</v>
          </cell>
        </row>
      </sheetData>
      <sheetData sheetId="409">
        <row r="2">
          <cell r="A2">
            <v>43462</v>
          </cell>
        </row>
      </sheetData>
      <sheetData sheetId="410">
        <row r="2">
          <cell r="A2" t="str">
            <v>Complete</v>
          </cell>
        </row>
      </sheetData>
      <sheetData sheetId="411">
        <row r="2">
          <cell r="A2">
            <v>43462</v>
          </cell>
        </row>
      </sheetData>
      <sheetData sheetId="412">
        <row r="2">
          <cell r="A2">
            <v>43462</v>
          </cell>
        </row>
      </sheetData>
      <sheetData sheetId="413">
        <row r="2">
          <cell r="A2" t="str">
            <v>Complete</v>
          </cell>
        </row>
      </sheetData>
      <sheetData sheetId="414">
        <row r="2">
          <cell r="A2">
            <v>43462</v>
          </cell>
        </row>
      </sheetData>
      <sheetData sheetId="415">
        <row r="2">
          <cell r="A2">
            <v>43462</v>
          </cell>
        </row>
      </sheetData>
      <sheetData sheetId="416">
        <row r="2">
          <cell r="A2" t="str">
            <v>Complete</v>
          </cell>
        </row>
      </sheetData>
      <sheetData sheetId="417">
        <row r="2">
          <cell r="A2">
            <v>43462</v>
          </cell>
        </row>
      </sheetData>
      <sheetData sheetId="418">
        <row r="2">
          <cell r="A2">
            <v>43462</v>
          </cell>
        </row>
      </sheetData>
      <sheetData sheetId="419">
        <row r="2">
          <cell r="A2" t="str">
            <v>Complete</v>
          </cell>
        </row>
      </sheetData>
      <sheetData sheetId="420">
        <row r="2">
          <cell r="A2">
            <v>43462</v>
          </cell>
        </row>
      </sheetData>
      <sheetData sheetId="421">
        <row r="2">
          <cell r="A2">
            <v>43462</v>
          </cell>
        </row>
      </sheetData>
      <sheetData sheetId="422">
        <row r="2">
          <cell r="A2" t="str">
            <v>Complete</v>
          </cell>
        </row>
      </sheetData>
      <sheetData sheetId="423">
        <row r="2">
          <cell r="A2">
            <v>43462</v>
          </cell>
        </row>
      </sheetData>
      <sheetData sheetId="424">
        <row r="2">
          <cell r="A2">
            <v>43462</v>
          </cell>
        </row>
      </sheetData>
      <sheetData sheetId="425">
        <row r="2">
          <cell r="A2" t="str">
            <v>Complete</v>
          </cell>
        </row>
      </sheetData>
      <sheetData sheetId="426">
        <row r="2">
          <cell r="A2">
            <v>43462</v>
          </cell>
        </row>
      </sheetData>
      <sheetData sheetId="427">
        <row r="2">
          <cell r="A2">
            <v>43462</v>
          </cell>
        </row>
      </sheetData>
      <sheetData sheetId="428">
        <row r="2">
          <cell r="A2" t="str">
            <v>Complete</v>
          </cell>
        </row>
      </sheetData>
      <sheetData sheetId="429">
        <row r="2">
          <cell r="A2">
            <v>43462</v>
          </cell>
        </row>
      </sheetData>
      <sheetData sheetId="430">
        <row r="2">
          <cell r="A2" t="str">
            <v>Complete</v>
          </cell>
        </row>
      </sheetData>
      <sheetData sheetId="431">
        <row r="2">
          <cell r="A2" t="str">
            <v>Complete</v>
          </cell>
        </row>
      </sheetData>
      <sheetData sheetId="432">
        <row r="2">
          <cell r="A2">
            <v>43462</v>
          </cell>
        </row>
      </sheetData>
      <sheetData sheetId="433">
        <row r="2">
          <cell r="A2" t="str">
            <v>Complete</v>
          </cell>
        </row>
      </sheetData>
      <sheetData sheetId="434">
        <row r="2">
          <cell r="A2" t="str">
            <v>Complete</v>
          </cell>
        </row>
      </sheetData>
      <sheetData sheetId="435">
        <row r="2">
          <cell r="A2">
            <v>43462</v>
          </cell>
        </row>
      </sheetData>
      <sheetData sheetId="436">
        <row r="2">
          <cell r="A2">
            <v>43462</v>
          </cell>
        </row>
      </sheetData>
      <sheetData sheetId="437">
        <row r="2">
          <cell r="A2" t="str">
            <v>Complete</v>
          </cell>
        </row>
      </sheetData>
      <sheetData sheetId="438">
        <row r="2">
          <cell r="A2">
            <v>43462</v>
          </cell>
        </row>
      </sheetData>
      <sheetData sheetId="439">
        <row r="2">
          <cell r="A2">
            <v>43462</v>
          </cell>
        </row>
      </sheetData>
      <sheetData sheetId="440">
        <row r="2">
          <cell r="A2" t="str">
            <v>Complete</v>
          </cell>
        </row>
      </sheetData>
      <sheetData sheetId="441">
        <row r="2">
          <cell r="A2">
            <v>43462</v>
          </cell>
        </row>
      </sheetData>
      <sheetData sheetId="442">
        <row r="2">
          <cell r="A2">
            <v>43462</v>
          </cell>
        </row>
      </sheetData>
      <sheetData sheetId="443">
        <row r="2">
          <cell r="A2" t="str">
            <v>Complete</v>
          </cell>
        </row>
      </sheetData>
      <sheetData sheetId="444">
        <row r="2">
          <cell r="A2">
            <v>43462</v>
          </cell>
        </row>
      </sheetData>
      <sheetData sheetId="445">
        <row r="2">
          <cell r="A2">
            <v>43462</v>
          </cell>
        </row>
      </sheetData>
      <sheetData sheetId="446">
        <row r="2">
          <cell r="A2" t="str">
            <v>Complete</v>
          </cell>
        </row>
      </sheetData>
      <sheetData sheetId="447">
        <row r="2">
          <cell r="A2">
            <v>43462</v>
          </cell>
        </row>
      </sheetData>
      <sheetData sheetId="448">
        <row r="2">
          <cell r="A2">
            <v>43462</v>
          </cell>
        </row>
      </sheetData>
      <sheetData sheetId="449">
        <row r="2">
          <cell r="A2" t="str">
            <v>Complete</v>
          </cell>
        </row>
      </sheetData>
      <sheetData sheetId="450">
        <row r="2">
          <cell r="A2">
            <v>43462</v>
          </cell>
        </row>
      </sheetData>
      <sheetData sheetId="451">
        <row r="2">
          <cell r="A2">
            <v>43462</v>
          </cell>
        </row>
      </sheetData>
      <sheetData sheetId="452">
        <row r="2">
          <cell r="A2" t="str">
            <v>Complete</v>
          </cell>
        </row>
      </sheetData>
      <sheetData sheetId="453">
        <row r="2">
          <cell r="A2">
            <v>43462</v>
          </cell>
        </row>
      </sheetData>
      <sheetData sheetId="454">
        <row r="2">
          <cell r="A2">
            <v>43462</v>
          </cell>
        </row>
      </sheetData>
      <sheetData sheetId="455">
        <row r="2">
          <cell r="A2" t="str">
            <v>Complete</v>
          </cell>
        </row>
      </sheetData>
      <sheetData sheetId="456">
        <row r="2">
          <cell r="A2">
            <v>43462</v>
          </cell>
        </row>
      </sheetData>
      <sheetData sheetId="457">
        <row r="2">
          <cell r="A2" t="str">
            <v>Complete</v>
          </cell>
        </row>
      </sheetData>
      <sheetData sheetId="458">
        <row r="2">
          <cell r="A2" t="str">
            <v>Complete</v>
          </cell>
        </row>
      </sheetData>
      <sheetData sheetId="459">
        <row r="2">
          <cell r="A2">
            <v>43462</v>
          </cell>
        </row>
      </sheetData>
      <sheetData sheetId="460">
        <row r="2">
          <cell r="A2" t="str">
            <v>Complete</v>
          </cell>
        </row>
      </sheetData>
      <sheetData sheetId="461">
        <row r="2">
          <cell r="A2" t="str">
            <v>Complete</v>
          </cell>
        </row>
      </sheetData>
      <sheetData sheetId="462">
        <row r="2">
          <cell r="A2">
            <v>43462</v>
          </cell>
        </row>
      </sheetData>
      <sheetData sheetId="463">
        <row r="2">
          <cell r="A2" t="str">
            <v>Complete</v>
          </cell>
        </row>
      </sheetData>
      <sheetData sheetId="464">
        <row r="2">
          <cell r="A2" t="str">
            <v>Complete</v>
          </cell>
        </row>
      </sheetData>
      <sheetData sheetId="465">
        <row r="2">
          <cell r="A2">
            <v>43462</v>
          </cell>
        </row>
      </sheetData>
      <sheetData sheetId="466">
        <row r="2">
          <cell r="A2">
            <v>43462</v>
          </cell>
        </row>
      </sheetData>
      <sheetData sheetId="467">
        <row r="2">
          <cell r="A2" t="str">
            <v>Complete</v>
          </cell>
        </row>
      </sheetData>
      <sheetData sheetId="468">
        <row r="2">
          <cell r="A2">
            <v>43462</v>
          </cell>
        </row>
      </sheetData>
      <sheetData sheetId="469">
        <row r="2">
          <cell r="A2">
            <v>43462</v>
          </cell>
        </row>
      </sheetData>
      <sheetData sheetId="470">
        <row r="2">
          <cell r="A2" t="str">
            <v>Complete</v>
          </cell>
        </row>
      </sheetData>
      <sheetData sheetId="471">
        <row r="2">
          <cell r="A2">
            <v>43462</v>
          </cell>
        </row>
      </sheetData>
      <sheetData sheetId="472">
        <row r="2">
          <cell r="A2">
            <v>43462</v>
          </cell>
        </row>
      </sheetData>
      <sheetData sheetId="473">
        <row r="2">
          <cell r="A2" t="str">
            <v>Complete</v>
          </cell>
        </row>
      </sheetData>
      <sheetData sheetId="474">
        <row r="2">
          <cell r="A2">
            <v>43462</v>
          </cell>
        </row>
      </sheetData>
      <sheetData sheetId="475">
        <row r="2">
          <cell r="A2">
            <v>43462</v>
          </cell>
        </row>
      </sheetData>
      <sheetData sheetId="476">
        <row r="2">
          <cell r="A2" t="str">
            <v>Complete</v>
          </cell>
        </row>
      </sheetData>
      <sheetData sheetId="477">
        <row r="2">
          <cell r="A2">
            <v>43462</v>
          </cell>
        </row>
      </sheetData>
      <sheetData sheetId="478">
        <row r="2">
          <cell r="A2">
            <v>43462</v>
          </cell>
        </row>
      </sheetData>
      <sheetData sheetId="479">
        <row r="2">
          <cell r="A2" t="str">
            <v>Complete</v>
          </cell>
        </row>
      </sheetData>
      <sheetData sheetId="480">
        <row r="2">
          <cell r="A2">
            <v>43462</v>
          </cell>
        </row>
      </sheetData>
      <sheetData sheetId="481">
        <row r="2">
          <cell r="A2">
            <v>43462</v>
          </cell>
        </row>
      </sheetData>
      <sheetData sheetId="482">
        <row r="2">
          <cell r="A2" t="str">
            <v>Complete</v>
          </cell>
        </row>
      </sheetData>
      <sheetData sheetId="483">
        <row r="2">
          <cell r="A2">
            <v>43462</v>
          </cell>
        </row>
      </sheetData>
      <sheetData sheetId="484">
        <row r="2">
          <cell r="A2" t="str">
            <v>Complete</v>
          </cell>
        </row>
      </sheetData>
      <sheetData sheetId="485">
        <row r="2">
          <cell r="A2" t="str">
            <v>Complete</v>
          </cell>
        </row>
      </sheetData>
      <sheetData sheetId="486">
        <row r="2">
          <cell r="A2">
            <v>43462</v>
          </cell>
        </row>
      </sheetData>
      <sheetData sheetId="487">
        <row r="2">
          <cell r="A2" t="str">
            <v>Complete</v>
          </cell>
        </row>
      </sheetData>
      <sheetData sheetId="488">
        <row r="2">
          <cell r="A2" t="str">
            <v>Complete</v>
          </cell>
        </row>
      </sheetData>
      <sheetData sheetId="489">
        <row r="2">
          <cell r="A2">
            <v>43462</v>
          </cell>
        </row>
      </sheetData>
      <sheetData sheetId="490">
        <row r="2">
          <cell r="A2" t="str">
            <v>Complete</v>
          </cell>
        </row>
      </sheetData>
      <sheetData sheetId="491">
        <row r="2">
          <cell r="A2" t="str">
            <v>Complete</v>
          </cell>
        </row>
      </sheetData>
      <sheetData sheetId="492">
        <row r="2">
          <cell r="A2">
            <v>43462</v>
          </cell>
        </row>
      </sheetData>
      <sheetData sheetId="493">
        <row r="2">
          <cell r="A2" t="str">
            <v>Complete</v>
          </cell>
        </row>
      </sheetData>
      <sheetData sheetId="494">
        <row r="2">
          <cell r="A2" t="str">
            <v>Complete</v>
          </cell>
        </row>
      </sheetData>
      <sheetData sheetId="495">
        <row r="2">
          <cell r="A2">
            <v>43462</v>
          </cell>
        </row>
      </sheetData>
      <sheetData sheetId="496">
        <row r="2">
          <cell r="A2" t="str">
            <v>Complete</v>
          </cell>
        </row>
      </sheetData>
      <sheetData sheetId="497">
        <row r="2">
          <cell r="A2" t="str">
            <v>Complete</v>
          </cell>
        </row>
      </sheetData>
      <sheetData sheetId="498">
        <row r="2">
          <cell r="A2">
            <v>43462</v>
          </cell>
        </row>
      </sheetData>
      <sheetData sheetId="499">
        <row r="2">
          <cell r="A2">
            <v>43462</v>
          </cell>
        </row>
      </sheetData>
      <sheetData sheetId="500">
        <row r="2">
          <cell r="A2" t="str">
            <v>Complete</v>
          </cell>
        </row>
      </sheetData>
      <sheetData sheetId="501">
        <row r="2">
          <cell r="A2">
            <v>43462</v>
          </cell>
        </row>
      </sheetData>
      <sheetData sheetId="502">
        <row r="2">
          <cell r="A2">
            <v>43462</v>
          </cell>
        </row>
      </sheetData>
      <sheetData sheetId="503">
        <row r="2">
          <cell r="A2" t="str">
            <v>Complete</v>
          </cell>
        </row>
      </sheetData>
      <sheetData sheetId="504">
        <row r="2">
          <cell r="A2">
            <v>43462</v>
          </cell>
        </row>
      </sheetData>
      <sheetData sheetId="505">
        <row r="2">
          <cell r="A2">
            <v>43462</v>
          </cell>
        </row>
      </sheetData>
      <sheetData sheetId="506">
        <row r="2">
          <cell r="A2" t="str">
            <v>Complete</v>
          </cell>
        </row>
      </sheetData>
      <sheetData sheetId="507">
        <row r="2">
          <cell r="A2">
            <v>43462</v>
          </cell>
        </row>
      </sheetData>
      <sheetData sheetId="508">
        <row r="2">
          <cell r="A2">
            <v>43462</v>
          </cell>
        </row>
      </sheetData>
      <sheetData sheetId="509">
        <row r="2">
          <cell r="A2" t="str">
            <v>Complete</v>
          </cell>
        </row>
      </sheetData>
      <sheetData sheetId="510">
        <row r="2">
          <cell r="A2">
            <v>43462</v>
          </cell>
        </row>
      </sheetData>
      <sheetData sheetId="511">
        <row r="2">
          <cell r="A2">
            <v>43462</v>
          </cell>
        </row>
      </sheetData>
      <sheetData sheetId="512">
        <row r="2">
          <cell r="A2" t="str">
            <v>Complete</v>
          </cell>
        </row>
      </sheetData>
      <sheetData sheetId="513">
        <row r="2">
          <cell r="A2">
            <v>43462</v>
          </cell>
        </row>
      </sheetData>
      <sheetData sheetId="514">
        <row r="2">
          <cell r="A2">
            <v>43462</v>
          </cell>
        </row>
      </sheetData>
      <sheetData sheetId="515">
        <row r="2">
          <cell r="A2" t="str">
            <v>Complete</v>
          </cell>
        </row>
      </sheetData>
      <sheetData sheetId="516">
        <row r="2">
          <cell r="A2">
            <v>43462</v>
          </cell>
        </row>
      </sheetData>
      <sheetData sheetId="517">
        <row r="2">
          <cell r="A2">
            <v>43462</v>
          </cell>
        </row>
      </sheetData>
      <sheetData sheetId="518">
        <row r="2">
          <cell r="A2" t="str">
            <v>Complete</v>
          </cell>
        </row>
      </sheetData>
      <sheetData sheetId="519">
        <row r="2">
          <cell r="A2">
            <v>43462</v>
          </cell>
        </row>
      </sheetData>
      <sheetData sheetId="520">
        <row r="2">
          <cell r="A2">
            <v>43462</v>
          </cell>
        </row>
      </sheetData>
      <sheetData sheetId="521">
        <row r="2">
          <cell r="A2" t="str">
            <v>Complete</v>
          </cell>
        </row>
      </sheetData>
      <sheetData sheetId="522">
        <row r="2">
          <cell r="A2">
            <v>43462</v>
          </cell>
        </row>
      </sheetData>
      <sheetData sheetId="523">
        <row r="2">
          <cell r="A2" t="str">
            <v>Complete</v>
          </cell>
        </row>
      </sheetData>
      <sheetData sheetId="524">
        <row r="2">
          <cell r="A2" t="str">
            <v>Complete</v>
          </cell>
        </row>
      </sheetData>
      <sheetData sheetId="525">
        <row r="2">
          <cell r="A2">
            <v>43462</v>
          </cell>
        </row>
      </sheetData>
      <sheetData sheetId="526">
        <row r="2">
          <cell r="A2" t="str">
            <v>Complete</v>
          </cell>
        </row>
      </sheetData>
      <sheetData sheetId="527">
        <row r="2">
          <cell r="A2" t="str">
            <v>Complete</v>
          </cell>
        </row>
      </sheetData>
      <sheetData sheetId="528">
        <row r="2">
          <cell r="A2">
            <v>43462</v>
          </cell>
        </row>
      </sheetData>
      <sheetData sheetId="529">
        <row r="2">
          <cell r="A2" t="str">
            <v>Complete</v>
          </cell>
        </row>
      </sheetData>
      <sheetData sheetId="530">
        <row r="2">
          <cell r="A2" t="str">
            <v>Complete</v>
          </cell>
        </row>
      </sheetData>
      <sheetData sheetId="531">
        <row r="2">
          <cell r="A2">
            <v>43462</v>
          </cell>
        </row>
      </sheetData>
      <sheetData sheetId="532">
        <row r="2">
          <cell r="A2" t="str">
            <v>Complete</v>
          </cell>
        </row>
      </sheetData>
      <sheetData sheetId="533">
        <row r="2">
          <cell r="A2" t="str">
            <v>Complete</v>
          </cell>
        </row>
      </sheetData>
      <sheetData sheetId="534">
        <row r="2">
          <cell r="A2">
            <v>43462</v>
          </cell>
        </row>
      </sheetData>
      <sheetData sheetId="535">
        <row r="2">
          <cell r="A2" t="str">
            <v>Complete</v>
          </cell>
        </row>
      </sheetData>
      <sheetData sheetId="536">
        <row r="2">
          <cell r="A2" t="str">
            <v>Complete</v>
          </cell>
        </row>
      </sheetData>
      <sheetData sheetId="537" refreshError="1"/>
      <sheetData sheetId="538" refreshError="1"/>
      <sheetData sheetId="539" refreshError="1"/>
      <sheetData sheetId="540">
        <row r="2">
          <cell r="A2">
            <v>43462</v>
          </cell>
        </row>
      </sheetData>
      <sheetData sheetId="541">
        <row r="2">
          <cell r="A2" t="str">
            <v>Complete</v>
          </cell>
        </row>
      </sheetData>
      <sheetData sheetId="542">
        <row r="2">
          <cell r="A2">
            <v>43462</v>
          </cell>
        </row>
      </sheetData>
      <sheetData sheetId="543">
        <row r="2">
          <cell r="A2" t="str">
            <v>Complete</v>
          </cell>
        </row>
      </sheetData>
      <sheetData sheetId="544">
        <row r="2">
          <cell r="A2">
            <v>43462</v>
          </cell>
        </row>
      </sheetData>
      <sheetData sheetId="545">
        <row r="2">
          <cell r="A2">
            <v>43462</v>
          </cell>
        </row>
      </sheetData>
      <sheetData sheetId="546">
        <row r="2">
          <cell r="A2">
            <v>43462</v>
          </cell>
        </row>
      </sheetData>
      <sheetData sheetId="547">
        <row r="2">
          <cell r="A2" t="str">
            <v>Complete</v>
          </cell>
        </row>
      </sheetData>
      <sheetData sheetId="548">
        <row r="2">
          <cell r="A2" t="str">
            <v>Complete</v>
          </cell>
        </row>
      </sheetData>
      <sheetData sheetId="549">
        <row r="2">
          <cell r="A2" t="str">
            <v>Complete</v>
          </cell>
        </row>
      </sheetData>
      <sheetData sheetId="550">
        <row r="2">
          <cell r="A2">
            <v>43462</v>
          </cell>
        </row>
      </sheetData>
      <sheetData sheetId="551">
        <row r="2">
          <cell r="A2" t="str">
            <v>Complete</v>
          </cell>
        </row>
      </sheetData>
      <sheetData sheetId="552">
        <row r="2">
          <cell r="A2">
            <v>43462</v>
          </cell>
        </row>
      </sheetData>
      <sheetData sheetId="553">
        <row r="2">
          <cell r="A2" t="str">
            <v>Complete</v>
          </cell>
        </row>
      </sheetData>
      <sheetData sheetId="554">
        <row r="2">
          <cell r="A2">
            <v>43462</v>
          </cell>
        </row>
      </sheetData>
      <sheetData sheetId="555">
        <row r="2">
          <cell r="A2" t="str">
            <v>Complete</v>
          </cell>
        </row>
      </sheetData>
      <sheetData sheetId="556">
        <row r="2">
          <cell r="A2">
            <v>43462</v>
          </cell>
        </row>
      </sheetData>
      <sheetData sheetId="557">
        <row r="2">
          <cell r="A2">
            <v>43462</v>
          </cell>
        </row>
      </sheetData>
      <sheetData sheetId="558">
        <row r="2">
          <cell r="A2">
            <v>43462</v>
          </cell>
        </row>
      </sheetData>
      <sheetData sheetId="559">
        <row r="2">
          <cell r="A2" t="str">
            <v>Complete</v>
          </cell>
        </row>
      </sheetData>
      <sheetData sheetId="560">
        <row r="2">
          <cell r="A2" t="str">
            <v>Complete</v>
          </cell>
        </row>
      </sheetData>
      <sheetData sheetId="561">
        <row r="2">
          <cell r="A2" t="str">
            <v>Complete</v>
          </cell>
        </row>
      </sheetData>
      <sheetData sheetId="562">
        <row r="2">
          <cell r="A2">
            <v>43462</v>
          </cell>
        </row>
      </sheetData>
      <sheetData sheetId="563">
        <row r="2">
          <cell r="A2" t="str">
            <v>Complete</v>
          </cell>
        </row>
      </sheetData>
      <sheetData sheetId="564">
        <row r="2">
          <cell r="A2">
            <v>43462</v>
          </cell>
        </row>
      </sheetData>
      <sheetData sheetId="565">
        <row r="2">
          <cell r="A2" t="str">
            <v>Complete</v>
          </cell>
        </row>
      </sheetData>
      <sheetData sheetId="566">
        <row r="2">
          <cell r="A2">
            <v>43462</v>
          </cell>
        </row>
      </sheetData>
      <sheetData sheetId="567">
        <row r="2">
          <cell r="A2" t="str">
            <v>Complete</v>
          </cell>
        </row>
      </sheetData>
      <sheetData sheetId="568">
        <row r="2">
          <cell r="A2">
            <v>43462</v>
          </cell>
        </row>
      </sheetData>
      <sheetData sheetId="569">
        <row r="2">
          <cell r="A2" t="str">
            <v>Complete</v>
          </cell>
        </row>
      </sheetData>
      <sheetData sheetId="570">
        <row r="2">
          <cell r="A2">
            <v>43462</v>
          </cell>
        </row>
      </sheetData>
      <sheetData sheetId="571">
        <row r="2">
          <cell r="A2" t="str">
            <v>Complete</v>
          </cell>
        </row>
      </sheetData>
      <sheetData sheetId="572">
        <row r="2">
          <cell r="A2" t="str">
            <v>Complete</v>
          </cell>
        </row>
      </sheetData>
      <sheetData sheetId="573">
        <row r="2">
          <cell r="A2" t="str">
            <v>Complete</v>
          </cell>
        </row>
      </sheetData>
      <sheetData sheetId="574">
        <row r="2">
          <cell r="A2">
            <v>43462</v>
          </cell>
        </row>
      </sheetData>
      <sheetData sheetId="575">
        <row r="2">
          <cell r="A2" t="str">
            <v>Complete</v>
          </cell>
        </row>
      </sheetData>
      <sheetData sheetId="576">
        <row r="2">
          <cell r="A2">
            <v>43462</v>
          </cell>
        </row>
      </sheetData>
      <sheetData sheetId="577">
        <row r="2">
          <cell r="A2" t="str">
            <v>Complete</v>
          </cell>
        </row>
      </sheetData>
      <sheetData sheetId="578">
        <row r="2">
          <cell r="A2">
            <v>43462</v>
          </cell>
        </row>
      </sheetData>
      <sheetData sheetId="579">
        <row r="2">
          <cell r="A2" t="str">
            <v>Complete</v>
          </cell>
        </row>
      </sheetData>
      <sheetData sheetId="580">
        <row r="2">
          <cell r="A2">
            <v>43462</v>
          </cell>
        </row>
      </sheetData>
      <sheetData sheetId="581">
        <row r="2">
          <cell r="A2" t="str">
            <v>Complete</v>
          </cell>
        </row>
      </sheetData>
      <sheetData sheetId="582">
        <row r="2">
          <cell r="A2">
            <v>43462</v>
          </cell>
        </row>
      </sheetData>
      <sheetData sheetId="583">
        <row r="2">
          <cell r="A2" t="str">
            <v>Complete</v>
          </cell>
        </row>
      </sheetData>
      <sheetData sheetId="584">
        <row r="2">
          <cell r="A2" t="str">
            <v>Complete</v>
          </cell>
        </row>
      </sheetData>
      <sheetData sheetId="585">
        <row r="2">
          <cell r="A2" t="str">
            <v>Complete</v>
          </cell>
        </row>
      </sheetData>
      <sheetData sheetId="586">
        <row r="2">
          <cell r="A2">
            <v>43462</v>
          </cell>
        </row>
      </sheetData>
      <sheetData sheetId="587">
        <row r="2">
          <cell r="A2" t="str">
            <v>Complete</v>
          </cell>
        </row>
      </sheetData>
      <sheetData sheetId="588">
        <row r="2">
          <cell r="A2">
            <v>43462</v>
          </cell>
        </row>
      </sheetData>
      <sheetData sheetId="589">
        <row r="2">
          <cell r="A2" t="str">
            <v>Complete</v>
          </cell>
        </row>
      </sheetData>
      <sheetData sheetId="590">
        <row r="2">
          <cell r="A2" t="str">
            <v>Complete</v>
          </cell>
        </row>
      </sheetData>
      <sheetData sheetId="591">
        <row r="2">
          <cell r="A2" t="str">
            <v>Complete</v>
          </cell>
        </row>
      </sheetData>
      <sheetData sheetId="592">
        <row r="2">
          <cell r="A2">
            <v>43462</v>
          </cell>
        </row>
      </sheetData>
      <sheetData sheetId="593">
        <row r="2">
          <cell r="A2" t="str">
            <v>Complete</v>
          </cell>
        </row>
      </sheetData>
      <sheetData sheetId="594">
        <row r="2">
          <cell r="A2">
            <v>43462</v>
          </cell>
        </row>
      </sheetData>
      <sheetData sheetId="595">
        <row r="2">
          <cell r="A2" t="str">
            <v>Complete</v>
          </cell>
        </row>
      </sheetData>
      <sheetData sheetId="596">
        <row r="2">
          <cell r="A2" t="str">
            <v>Complete</v>
          </cell>
        </row>
      </sheetData>
      <sheetData sheetId="597">
        <row r="2">
          <cell r="A2" t="str">
            <v>Complete</v>
          </cell>
        </row>
      </sheetData>
      <sheetData sheetId="598">
        <row r="2">
          <cell r="A2">
            <v>43462</v>
          </cell>
        </row>
      </sheetData>
      <sheetData sheetId="599">
        <row r="2">
          <cell r="A2" t="str">
            <v>Complete</v>
          </cell>
        </row>
      </sheetData>
      <sheetData sheetId="600">
        <row r="2">
          <cell r="A2">
            <v>43462</v>
          </cell>
        </row>
      </sheetData>
      <sheetData sheetId="601">
        <row r="2">
          <cell r="A2" t="str">
            <v>Complete</v>
          </cell>
        </row>
      </sheetData>
      <sheetData sheetId="602">
        <row r="2">
          <cell r="A2" t="str">
            <v>Complete</v>
          </cell>
        </row>
      </sheetData>
      <sheetData sheetId="603">
        <row r="2">
          <cell r="A2" t="str">
            <v>Complete</v>
          </cell>
        </row>
      </sheetData>
      <sheetData sheetId="604">
        <row r="2">
          <cell r="A2">
            <v>43462</v>
          </cell>
        </row>
      </sheetData>
      <sheetData sheetId="605">
        <row r="2">
          <cell r="A2" t="str">
            <v>Complete</v>
          </cell>
        </row>
      </sheetData>
      <sheetData sheetId="606">
        <row r="2">
          <cell r="A2">
            <v>43462</v>
          </cell>
        </row>
      </sheetData>
      <sheetData sheetId="607">
        <row r="2">
          <cell r="A2" t="str">
            <v>Complete</v>
          </cell>
        </row>
      </sheetData>
      <sheetData sheetId="608">
        <row r="2">
          <cell r="A2" t="str">
            <v>Complete</v>
          </cell>
        </row>
      </sheetData>
      <sheetData sheetId="609">
        <row r="2">
          <cell r="A2" t="str">
            <v>Complete</v>
          </cell>
        </row>
      </sheetData>
      <sheetData sheetId="610">
        <row r="2">
          <cell r="A2">
            <v>43462</v>
          </cell>
        </row>
      </sheetData>
      <sheetData sheetId="611">
        <row r="2">
          <cell r="A2" t="str">
            <v>Complete</v>
          </cell>
        </row>
      </sheetData>
      <sheetData sheetId="612">
        <row r="2">
          <cell r="A2">
            <v>43462</v>
          </cell>
        </row>
      </sheetData>
      <sheetData sheetId="613">
        <row r="2">
          <cell r="A2" t="str">
            <v>Complete</v>
          </cell>
        </row>
      </sheetData>
      <sheetData sheetId="614">
        <row r="2">
          <cell r="A2" t="str">
            <v>Complete</v>
          </cell>
        </row>
      </sheetData>
      <sheetData sheetId="615">
        <row r="2">
          <cell r="A2">
            <v>43462</v>
          </cell>
        </row>
      </sheetData>
      <sheetData sheetId="616">
        <row r="2">
          <cell r="A2">
            <v>43462</v>
          </cell>
        </row>
      </sheetData>
      <sheetData sheetId="617">
        <row r="2">
          <cell r="A2" t="str">
            <v>Complete</v>
          </cell>
        </row>
      </sheetData>
      <sheetData sheetId="618">
        <row r="2">
          <cell r="A2">
            <v>43462</v>
          </cell>
        </row>
      </sheetData>
      <sheetData sheetId="619">
        <row r="2">
          <cell r="A2">
            <v>43462</v>
          </cell>
        </row>
      </sheetData>
      <sheetData sheetId="620">
        <row r="2">
          <cell r="A2" t="str">
            <v>Complete</v>
          </cell>
        </row>
      </sheetData>
      <sheetData sheetId="621">
        <row r="2">
          <cell r="A2" t="str">
            <v>Complete</v>
          </cell>
        </row>
      </sheetData>
      <sheetData sheetId="622">
        <row r="2">
          <cell r="A2">
            <v>43462</v>
          </cell>
        </row>
      </sheetData>
      <sheetData sheetId="623">
        <row r="2">
          <cell r="A2" t="str">
            <v>Complete</v>
          </cell>
        </row>
      </sheetData>
      <sheetData sheetId="624">
        <row r="2">
          <cell r="A2">
            <v>43462</v>
          </cell>
        </row>
      </sheetData>
      <sheetData sheetId="625">
        <row r="2">
          <cell r="A2" t="str">
            <v>Complete</v>
          </cell>
        </row>
      </sheetData>
      <sheetData sheetId="626">
        <row r="2">
          <cell r="A2" t="str">
            <v>Complete</v>
          </cell>
        </row>
      </sheetData>
      <sheetData sheetId="627">
        <row r="2">
          <cell r="A2">
            <v>43462</v>
          </cell>
        </row>
      </sheetData>
      <sheetData sheetId="628">
        <row r="2">
          <cell r="A2">
            <v>43462</v>
          </cell>
        </row>
      </sheetData>
      <sheetData sheetId="629">
        <row r="2">
          <cell r="A2" t="str">
            <v>Complete</v>
          </cell>
        </row>
      </sheetData>
      <sheetData sheetId="630">
        <row r="2">
          <cell r="A2">
            <v>43462</v>
          </cell>
        </row>
      </sheetData>
      <sheetData sheetId="631">
        <row r="2">
          <cell r="A2">
            <v>43462</v>
          </cell>
        </row>
      </sheetData>
      <sheetData sheetId="632">
        <row r="2">
          <cell r="A2" t="str">
            <v>Complete</v>
          </cell>
        </row>
      </sheetData>
      <sheetData sheetId="633">
        <row r="2">
          <cell r="A2" t="str">
            <v>Complete</v>
          </cell>
        </row>
      </sheetData>
      <sheetData sheetId="634">
        <row r="2">
          <cell r="A2">
            <v>43462</v>
          </cell>
        </row>
      </sheetData>
      <sheetData sheetId="635">
        <row r="2">
          <cell r="A2" t="str">
            <v>Complete</v>
          </cell>
        </row>
      </sheetData>
      <sheetData sheetId="636">
        <row r="2">
          <cell r="A2">
            <v>43462</v>
          </cell>
        </row>
      </sheetData>
      <sheetData sheetId="637">
        <row r="2">
          <cell r="A2" t="str">
            <v>Complete</v>
          </cell>
        </row>
      </sheetData>
      <sheetData sheetId="638">
        <row r="2">
          <cell r="A2" t="str">
            <v>Complete</v>
          </cell>
        </row>
      </sheetData>
      <sheetData sheetId="639">
        <row r="2">
          <cell r="A2">
            <v>43462</v>
          </cell>
        </row>
      </sheetData>
      <sheetData sheetId="640">
        <row r="2">
          <cell r="A2">
            <v>43462</v>
          </cell>
        </row>
      </sheetData>
      <sheetData sheetId="641">
        <row r="2">
          <cell r="A2" t="str">
            <v>Complete</v>
          </cell>
        </row>
      </sheetData>
      <sheetData sheetId="642">
        <row r="2">
          <cell r="A2">
            <v>43462</v>
          </cell>
        </row>
      </sheetData>
      <sheetData sheetId="643">
        <row r="2">
          <cell r="A2">
            <v>43462</v>
          </cell>
        </row>
      </sheetData>
      <sheetData sheetId="644">
        <row r="2">
          <cell r="A2" t="str">
            <v>Complete</v>
          </cell>
        </row>
      </sheetData>
      <sheetData sheetId="645">
        <row r="2">
          <cell r="A2" t="str">
            <v>Complete</v>
          </cell>
        </row>
      </sheetData>
      <sheetData sheetId="646">
        <row r="2">
          <cell r="A2" t="str">
            <v>Complete</v>
          </cell>
        </row>
      </sheetData>
      <sheetData sheetId="647">
        <row r="2">
          <cell r="A2" t="str">
            <v>Complete</v>
          </cell>
        </row>
      </sheetData>
      <sheetData sheetId="648">
        <row r="2">
          <cell r="A2">
            <v>43462</v>
          </cell>
        </row>
      </sheetData>
      <sheetData sheetId="649">
        <row r="2">
          <cell r="A2" t="str">
            <v>Complete</v>
          </cell>
        </row>
      </sheetData>
      <sheetData sheetId="650">
        <row r="2">
          <cell r="A2" t="str">
            <v>Complete</v>
          </cell>
        </row>
      </sheetData>
      <sheetData sheetId="651">
        <row r="2">
          <cell r="A2">
            <v>43462</v>
          </cell>
        </row>
      </sheetData>
      <sheetData sheetId="652">
        <row r="2">
          <cell r="A2">
            <v>43462</v>
          </cell>
        </row>
      </sheetData>
      <sheetData sheetId="653">
        <row r="2">
          <cell r="A2" t="str">
            <v>Complete</v>
          </cell>
        </row>
      </sheetData>
      <sheetData sheetId="654">
        <row r="2">
          <cell r="A2">
            <v>43462</v>
          </cell>
        </row>
      </sheetData>
      <sheetData sheetId="655">
        <row r="2">
          <cell r="A2">
            <v>43462</v>
          </cell>
        </row>
      </sheetData>
      <sheetData sheetId="656">
        <row r="2">
          <cell r="A2" t="str">
            <v>Complete</v>
          </cell>
        </row>
      </sheetData>
      <sheetData sheetId="657">
        <row r="2">
          <cell r="A2" t="str">
            <v>Complete</v>
          </cell>
        </row>
      </sheetData>
      <sheetData sheetId="658">
        <row r="2">
          <cell r="A2" t="str">
            <v>Complete</v>
          </cell>
        </row>
      </sheetData>
      <sheetData sheetId="659">
        <row r="2">
          <cell r="A2" t="str">
            <v>Complete</v>
          </cell>
        </row>
      </sheetData>
      <sheetData sheetId="660">
        <row r="2">
          <cell r="A2">
            <v>43462</v>
          </cell>
        </row>
      </sheetData>
      <sheetData sheetId="661">
        <row r="2">
          <cell r="A2" t="str">
            <v>Complete</v>
          </cell>
        </row>
      </sheetData>
      <sheetData sheetId="662">
        <row r="2">
          <cell r="A2" t="str">
            <v>Complete</v>
          </cell>
        </row>
      </sheetData>
      <sheetData sheetId="663">
        <row r="2">
          <cell r="A2">
            <v>43462</v>
          </cell>
        </row>
      </sheetData>
      <sheetData sheetId="664">
        <row r="2">
          <cell r="A2">
            <v>43462</v>
          </cell>
        </row>
      </sheetData>
      <sheetData sheetId="665">
        <row r="2">
          <cell r="A2" t="str">
            <v>Complete</v>
          </cell>
        </row>
      </sheetData>
      <sheetData sheetId="666">
        <row r="2">
          <cell r="A2">
            <v>43462</v>
          </cell>
        </row>
      </sheetData>
      <sheetData sheetId="667">
        <row r="2">
          <cell r="A2">
            <v>43462</v>
          </cell>
        </row>
      </sheetData>
      <sheetData sheetId="668">
        <row r="2">
          <cell r="A2" t="str">
            <v>Complete</v>
          </cell>
        </row>
      </sheetData>
      <sheetData sheetId="669">
        <row r="2">
          <cell r="A2" t="str">
            <v>Complete</v>
          </cell>
        </row>
      </sheetData>
      <sheetData sheetId="670">
        <row r="2">
          <cell r="A2" t="str">
            <v>Complete</v>
          </cell>
        </row>
      </sheetData>
      <sheetData sheetId="671">
        <row r="2">
          <cell r="A2" t="str">
            <v>Complete</v>
          </cell>
        </row>
      </sheetData>
      <sheetData sheetId="672">
        <row r="2">
          <cell r="A2">
            <v>43462</v>
          </cell>
        </row>
      </sheetData>
      <sheetData sheetId="673">
        <row r="2">
          <cell r="A2" t="str">
            <v>Complete</v>
          </cell>
        </row>
      </sheetData>
      <sheetData sheetId="674">
        <row r="2">
          <cell r="A2" t="str">
            <v>Complete</v>
          </cell>
        </row>
      </sheetData>
      <sheetData sheetId="675">
        <row r="2">
          <cell r="A2">
            <v>43462</v>
          </cell>
        </row>
      </sheetData>
      <sheetData sheetId="676">
        <row r="2">
          <cell r="A2">
            <v>43462</v>
          </cell>
        </row>
      </sheetData>
      <sheetData sheetId="677">
        <row r="2">
          <cell r="A2" t="str">
            <v>Complete</v>
          </cell>
        </row>
      </sheetData>
      <sheetData sheetId="678">
        <row r="2">
          <cell r="A2">
            <v>43462</v>
          </cell>
        </row>
      </sheetData>
      <sheetData sheetId="679">
        <row r="2">
          <cell r="A2">
            <v>43462</v>
          </cell>
        </row>
      </sheetData>
      <sheetData sheetId="680">
        <row r="2">
          <cell r="A2" t="str">
            <v>Complete</v>
          </cell>
        </row>
      </sheetData>
      <sheetData sheetId="681">
        <row r="2">
          <cell r="A2" t="str">
            <v>Complete</v>
          </cell>
        </row>
      </sheetData>
      <sheetData sheetId="682">
        <row r="2">
          <cell r="A2" t="str">
            <v>Complete</v>
          </cell>
        </row>
      </sheetData>
      <sheetData sheetId="683">
        <row r="2">
          <cell r="A2" t="str">
            <v>Complete</v>
          </cell>
        </row>
      </sheetData>
      <sheetData sheetId="684">
        <row r="2">
          <cell r="A2">
            <v>43462</v>
          </cell>
        </row>
      </sheetData>
      <sheetData sheetId="685">
        <row r="2">
          <cell r="A2">
            <v>43462</v>
          </cell>
        </row>
      </sheetData>
      <sheetData sheetId="686">
        <row r="2">
          <cell r="A2" t="str">
            <v>Complete</v>
          </cell>
        </row>
      </sheetData>
      <sheetData sheetId="687">
        <row r="2">
          <cell r="A2">
            <v>43462</v>
          </cell>
        </row>
      </sheetData>
      <sheetData sheetId="688">
        <row r="2">
          <cell r="A2">
            <v>43462</v>
          </cell>
        </row>
      </sheetData>
      <sheetData sheetId="689">
        <row r="2">
          <cell r="A2" t="str">
            <v>Complete</v>
          </cell>
        </row>
      </sheetData>
      <sheetData sheetId="690">
        <row r="2">
          <cell r="A2">
            <v>43462</v>
          </cell>
        </row>
      </sheetData>
      <sheetData sheetId="691">
        <row r="2">
          <cell r="A2">
            <v>43462</v>
          </cell>
        </row>
      </sheetData>
      <sheetData sheetId="692">
        <row r="2">
          <cell r="A2" t="str">
            <v>Complete</v>
          </cell>
        </row>
      </sheetData>
      <sheetData sheetId="693">
        <row r="2">
          <cell r="A2" t="str">
            <v>Complete</v>
          </cell>
        </row>
      </sheetData>
      <sheetData sheetId="694">
        <row r="2">
          <cell r="A2" t="str">
            <v>Complete</v>
          </cell>
        </row>
      </sheetData>
      <sheetData sheetId="695">
        <row r="2">
          <cell r="A2" t="str">
            <v>Complete</v>
          </cell>
        </row>
      </sheetData>
      <sheetData sheetId="696">
        <row r="2">
          <cell r="A2">
            <v>43462</v>
          </cell>
        </row>
      </sheetData>
      <sheetData sheetId="697">
        <row r="2">
          <cell r="A2">
            <v>43462</v>
          </cell>
        </row>
      </sheetData>
      <sheetData sheetId="698">
        <row r="2">
          <cell r="A2" t="str">
            <v>Complete</v>
          </cell>
        </row>
      </sheetData>
      <sheetData sheetId="699">
        <row r="2">
          <cell r="A2">
            <v>43462</v>
          </cell>
        </row>
      </sheetData>
      <sheetData sheetId="700">
        <row r="2">
          <cell r="A2">
            <v>43462</v>
          </cell>
        </row>
      </sheetData>
      <sheetData sheetId="701">
        <row r="2">
          <cell r="A2" t="str">
            <v>Complete</v>
          </cell>
        </row>
      </sheetData>
      <sheetData sheetId="702">
        <row r="2">
          <cell r="A2">
            <v>43462</v>
          </cell>
        </row>
      </sheetData>
      <sheetData sheetId="703">
        <row r="2">
          <cell r="A2">
            <v>43462</v>
          </cell>
        </row>
      </sheetData>
      <sheetData sheetId="704">
        <row r="2">
          <cell r="A2" t="str">
            <v>Complete</v>
          </cell>
        </row>
      </sheetData>
      <sheetData sheetId="705">
        <row r="2">
          <cell r="A2" t="str">
            <v>Complete</v>
          </cell>
        </row>
      </sheetData>
      <sheetData sheetId="706">
        <row r="2">
          <cell r="A2" t="str">
            <v>Complete</v>
          </cell>
        </row>
      </sheetData>
      <sheetData sheetId="707">
        <row r="2">
          <cell r="A2" t="str">
            <v>Complete</v>
          </cell>
        </row>
      </sheetData>
      <sheetData sheetId="708">
        <row r="2">
          <cell r="A2">
            <v>43462</v>
          </cell>
        </row>
      </sheetData>
      <sheetData sheetId="709">
        <row r="2">
          <cell r="A2">
            <v>43462</v>
          </cell>
        </row>
      </sheetData>
      <sheetData sheetId="710">
        <row r="2">
          <cell r="A2" t="str">
            <v>Complete</v>
          </cell>
        </row>
      </sheetData>
      <sheetData sheetId="711">
        <row r="2">
          <cell r="A2">
            <v>43462</v>
          </cell>
        </row>
      </sheetData>
      <sheetData sheetId="712">
        <row r="2">
          <cell r="A2">
            <v>43462</v>
          </cell>
        </row>
      </sheetData>
      <sheetData sheetId="713">
        <row r="2">
          <cell r="A2" t="str">
            <v>Complete</v>
          </cell>
        </row>
      </sheetData>
      <sheetData sheetId="714">
        <row r="2">
          <cell r="A2">
            <v>43462</v>
          </cell>
        </row>
      </sheetData>
      <sheetData sheetId="715">
        <row r="2">
          <cell r="A2">
            <v>43462</v>
          </cell>
        </row>
      </sheetData>
      <sheetData sheetId="716">
        <row r="2">
          <cell r="A2" t="str">
            <v>Complete</v>
          </cell>
        </row>
      </sheetData>
      <sheetData sheetId="717">
        <row r="2">
          <cell r="A2" t="str">
            <v>Complete</v>
          </cell>
        </row>
      </sheetData>
      <sheetData sheetId="718">
        <row r="2">
          <cell r="A2" t="str">
            <v>Complete</v>
          </cell>
        </row>
      </sheetData>
      <sheetData sheetId="719">
        <row r="2">
          <cell r="A2" t="str">
            <v>Complete</v>
          </cell>
        </row>
      </sheetData>
      <sheetData sheetId="720">
        <row r="2">
          <cell r="A2">
            <v>43462</v>
          </cell>
        </row>
      </sheetData>
      <sheetData sheetId="721">
        <row r="2">
          <cell r="A2">
            <v>43462</v>
          </cell>
        </row>
      </sheetData>
      <sheetData sheetId="722">
        <row r="2">
          <cell r="A2" t="str">
            <v>Complete</v>
          </cell>
        </row>
      </sheetData>
      <sheetData sheetId="723">
        <row r="2">
          <cell r="A2">
            <v>43462</v>
          </cell>
        </row>
      </sheetData>
      <sheetData sheetId="724">
        <row r="2">
          <cell r="A2">
            <v>43462</v>
          </cell>
        </row>
      </sheetData>
      <sheetData sheetId="725">
        <row r="2">
          <cell r="A2" t="str">
            <v>Complete</v>
          </cell>
        </row>
      </sheetData>
      <sheetData sheetId="726">
        <row r="2">
          <cell r="A2">
            <v>43462</v>
          </cell>
        </row>
      </sheetData>
      <sheetData sheetId="727">
        <row r="2">
          <cell r="A2">
            <v>43462</v>
          </cell>
        </row>
      </sheetData>
      <sheetData sheetId="728">
        <row r="2">
          <cell r="A2" t="str">
            <v>Complete</v>
          </cell>
        </row>
      </sheetData>
      <sheetData sheetId="729">
        <row r="2">
          <cell r="A2" t="str">
            <v>Complete</v>
          </cell>
        </row>
      </sheetData>
      <sheetData sheetId="730">
        <row r="2">
          <cell r="A2" t="str">
            <v>Complete</v>
          </cell>
        </row>
      </sheetData>
      <sheetData sheetId="731">
        <row r="2">
          <cell r="A2" t="str">
            <v>Complete</v>
          </cell>
        </row>
      </sheetData>
      <sheetData sheetId="732">
        <row r="2">
          <cell r="A2">
            <v>43462</v>
          </cell>
        </row>
      </sheetData>
      <sheetData sheetId="733">
        <row r="2">
          <cell r="A2">
            <v>43462</v>
          </cell>
        </row>
      </sheetData>
      <sheetData sheetId="734">
        <row r="2">
          <cell r="A2" t="str">
            <v>Complete</v>
          </cell>
        </row>
      </sheetData>
      <sheetData sheetId="735">
        <row r="2">
          <cell r="A2">
            <v>43462</v>
          </cell>
        </row>
      </sheetData>
      <sheetData sheetId="736">
        <row r="2">
          <cell r="A2">
            <v>43462</v>
          </cell>
        </row>
      </sheetData>
      <sheetData sheetId="737">
        <row r="2">
          <cell r="A2" t="str">
            <v>Complete</v>
          </cell>
        </row>
      </sheetData>
      <sheetData sheetId="738">
        <row r="2">
          <cell r="A2">
            <v>43462</v>
          </cell>
        </row>
      </sheetData>
      <sheetData sheetId="739">
        <row r="2">
          <cell r="A2">
            <v>43462</v>
          </cell>
        </row>
      </sheetData>
      <sheetData sheetId="740">
        <row r="2">
          <cell r="A2" t="str">
            <v>Complete</v>
          </cell>
        </row>
      </sheetData>
      <sheetData sheetId="741">
        <row r="2">
          <cell r="A2" t="str">
            <v>Complete</v>
          </cell>
        </row>
      </sheetData>
      <sheetData sheetId="742">
        <row r="2">
          <cell r="A2">
            <v>43462</v>
          </cell>
        </row>
      </sheetData>
      <sheetData sheetId="743">
        <row r="2">
          <cell r="A2" t="str">
            <v>Complete</v>
          </cell>
        </row>
      </sheetData>
      <sheetData sheetId="744">
        <row r="2">
          <cell r="A2">
            <v>43462</v>
          </cell>
        </row>
      </sheetData>
      <sheetData sheetId="745">
        <row r="2">
          <cell r="A2">
            <v>43462</v>
          </cell>
        </row>
      </sheetData>
      <sheetData sheetId="746">
        <row r="2">
          <cell r="A2" t="str">
            <v>Complete</v>
          </cell>
        </row>
      </sheetData>
      <sheetData sheetId="747">
        <row r="2">
          <cell r="A2">
            <v>43462</v>
          </cell>
        </row>
      </sheetData>
      <sheetData sheetId="748">
        <row r="2">
          <cell r="A2">
            <v>43462</v>
          </cell>
        </row>
      </sheetData>
      <sheetData sheetId="749">
        <row r="2">
          <cell r="A2" t="str">
            <v>Complete</v>
          </cell>
        </row>
      </sheetData>
      <sheetData sheetId="750">
        <row r="2">
          <cell r="A2">
            <v>43462</v>
          </cell>
        </row>
      </sheetData>
      <sheetData sheetId="751">
        <row r="2">
          <cell r="A2">
            <v>43462</v>
          </cell>
        </row>
      </sheetData>
      <sheetData sheetId="752">
        <row r="2">
          <cell r="A2" t="str">
            <v>Complete</v>
          </cell>
        </row>
      </sheetData>
      <sheetData sheetId="753">
        <row r="2">
          <cell r="A2" t="str">
            <v>Complete</v>
          </cell>
        </row>
      </sheetData>
      <sheetData sheetId="754">
        <row r="2">
          <cell r="A2">
            <v>43462</v>
          </cell>
        </row>
      </sheetData>
      <sheetData sheetId="755">
        <row r="2">
          <cell r="A2" t="str">
            <v>Complete</v>
          </cell>
        </row>
      </sheetData>
      <sheetData sheetId="756">
        <row r="2">
          <cell r="A2">
            <v>43462</v>
          </cell>
        </row>
      </sheetData>
      <sheetData sheetId="757">
        <row r="2">
          <cell r="A2">
            <v>43462</v>
          </cell>
        </row>
      </sheetData>
      <sheetData sheetId="758">
        <row r="2">
          <cell r="A2" t="str">
            <v>Complete</v>
          </cell>
        </row>
      </sheetData>
      <sheetData sheetId="759">
        <row r="2">
          <cell r="A2">
            <v>43462</v>
          </cell>
        </row>
      </sheetData>
      <sheetData sheetId="760">
        <row r="2">
          <cell r="A2">
            <v>43462</v>
          </cell>
        </row>
      </sheetData>
      <sheetData sheetId="761">
        <row r="2">
          <cell r="A2" t="str">
            <v>Complete</v>
          </cell>
        </row>
      </sheetData>
      <sheetData sheetId="762">
        <row r="2">
          <cell r="A2">
            <v>43462</v>
          </cell>
        </row>
      </sheetData>
      <sheetData sheetId="763">
        <row r="2">
          <cell r="A2">
            <v>43462</v>
          </cell>
        </row>
      </sheetData>
      <sheetData sheetId="764">
        <row r="2">
          <cell r="A2" t="str">
            <v>Complete</v>
          </cell>
        </row>
      </sheetData>
      <sheetData sheetId="765">
        <row r="2">
          <cell r="A2" t="str">
            <v>Complete</v>
          </cell>
        </row>
      </sheetData>
      <sheetData sheetId="766">
        <row r="2">
          <cell r="A2">
            <v>43462</v>
          </cell>
        </row>
      </sheetData>
      <sheetData sheetId="767">
        <row r="2">
          <cell r="A2" t="str">
            <v>Complete</v>
          </cell>
        </row>
      </sheetData>
      <sheetData sheetId="768">
        <row r="2">
          <cell r="A2">
            <v>43462</v>
          </cell>
        </row>
      </sheetData>
      <sheetData sheetId="769">
        <row r="2">
          <cell r="A2">
            <v>43462</v>
          </cell>
        </row>
      </sheetData>
      <sheetData sheetId="770">
        <row r="2">
          <cell r="A2" t="str">
            <v>Complete</v>
          </cell>
        </row>
      </sheetData>
      <sheetData sheetId="771">
        <row r="2">
          <cell r="A2">
            <v>43462</v>
          </cell>
        </row>
      </sheetData>
      <sheetData sheetId="772">
        <row r="2">
          <cell r="A2">
            <v>43462</v>
          </cell>
        </row>
      </sheetData>
      <sheetData sheetId="773">
        <row r="2">
          <cell r="A2" t="str">
            <v>Complete</v>
          </cell>
        </row>
      </sheetData>
      <sheetData sheetId="774">
        <row r="2">
          <cell r="A2">
            <v>43462</v>
          </cell>
        </row>
      </sheetData>
      <sheetData sheetId="775">
        <row r="2">
          <cell r="A2">
            <v>43462</v>
          </cell>
        </row>
      </sheetData>
      <sheetData sheetId="776">
        <row r="2">
          <cell r="A2" t="str">
            <v>Complete</v>
          </cell>
        </row>
      </sheetData>
      <sheetData sheetId="777">
        <row r="2">
          <cell r="A2">
            <v>43462</v>
          </cell>
        </row>
      </sheetData>
      <sheetData sheetId="778">
        <row r="2">
          <cell r="A2">
            <v>43462</v>
          </cell>
        </row>
      </sheetData>
      <sheetData sheetId="779">
        <row r="2">
          <cell r="A2" t="str">
            <v>Complete</v>
          </cell>
        </row>
      </sheetData>
      <sheetData sheetId="780">
        <row r="2">
          <cell r="A2">
            <v>43462</v>
          </cell>
        </row>
      </sheetData>
      <sheetData sheetId="781">
        <row r="2">
          <cell r="A2">
            <v>43462</v>
          </cell>
        </row>
      </sheetData>
      <sheetData sheetId="782">
        <row r="2">
          <cell r="A2" t="str">
            <v>Complete</v>
          </cell>
        </row>
      </sheetData>
      <sheetData sheetId="783">
        <row r="2">
          <cell r="A2">
            <v>43462</v>
          </cell>
        </row>
      </sheetData>
      <sheetData sheetId="784">
        <row r="2">
          <cell r="A2">
            <v>43462</v>
          </cell>
        </row>
      </sheetData>
      <sheetData sheetId="785">
        <row r="2">
          <cell r="A2" t="str">
            <v>Complete</v>
          </cell>
        </row>
      </sheetData>
      <sheetData sheetId="786">
        <row r="2">
          <cell r="A2">
            <v>43462</v>
          </cell>
        </row>
      </sheetData>
      <sheetData sheetId="787">
        <row r="2">
          <cell r="A2">
            <v>43462</v>
          </cell>
        </row>
      </sheetData>
      <sheetData sheetId="788">
        <row r="2">
          <cell r="A2" t="str">
            <v>Complete</v>
          </cell>
        </row>
      </sheetData>
      <sheetData sheetId="789">
        <row r="2">
          <cell r="A2">
            <v>43462</v>
          </cell>
        </row>
      </sheetData>
      <sheetData sheetId="790">
        <row r="2">
          <cell r="A2">
            <v>43462</v>
          </cell>
        </row>
      </sheetData>
      <sheetData sheetId="791">
        <row r="2">
          <cell r="A2" t="str">
            <v>Complete</v>
          </cell>
        </row>
      </sheetData>
      <sheetData sheetId="792">
        <row r="2">
          <cell r="A2">
            <v>43462</v>
          </cell>
        </row>
      </sheetData>
      <sheetData sheetId="793">
        <row r="2">
          <cell r="A2">
            <v>43462</v>
          </cell>
        </row>
      </sheetData>
      <sheetData sheetId="794">
        <row r="2">
          <cell r="A2" t="str">
            <v>Complete</v>
          </cell>
        </row>
      </sheetData>
      <sheetData sheetId="795">
        <row r="2">
          <cell r="A2">
            <v>43462</v>
          </cell>
        </row>
      </sheetData>
      <sheetData sheetId="796">
        <row r="2">
          <cell r="A2">
            <v>43462</v>
          </cell>
        </row>
      </sheetData>
      <sheetData sheetId="797">
        <row r="2">
          <cell r="A2" t="str">
            <v>Complete</v>
          </cell>
        </row>
      </sheetData>
      <sheetData sheetId="798">
        <row r="2">
          <cell r="A2">
            <v>43462</v>
          </cell>
        </row>
      </sheetData>
      <sheetData sheetId="799">
        <row r="2">
          <cell r="A2">
            <v>43462</v>
          </cell>
        </row>
      </sheetData>
      <sheetData sheetId="800">
        <row r="2">
          <cell r="A2" t="str">
            <v>Complete</v>
          </cell>
        </row>
      </sheetData>
      <sheetData sheetId="801">
        <row r="2">
          <cell r="A2">
            <v>43462</v>
          </cell>
        </row>
      </sheetData>
      <sheetData sheetId="802">
        <row r="2">
          <cell r="A2">
            <v>43462</v>
          </cell>
        </row>
      </sheetData>
      <sheetData sheetId="803">
        <row r="2">
          <cell r="A2" t="str">
            <v>Complete</v>
          </cell>
        </row>
      </sheetData>
      <sheetData sheetId="804">
        <row r="2">
          <cell r="A2">
            <v>43462</v>
          </cell>
        </row>
      </sheetData>
      <sheetData sheetId="805">
        <row r="2">
          <cell r="A2">
            <v>43462</v>
          </cell>
        </row>
      </sheetData>
      <sheetData sheetId="806">
        <row r="2">
          <cell r="A2" t="str">
            <v>Complete</v>
          </cell>
        </row>
      </sheetData>
      <sheetData sheetId="807">
        <row r="2">
          <cell r="A2">
            <v>43462</v>
          </cell>
        </row>
      </sheetData>
      <sheetData sheetId="808">
        <row r="2">
          <cell r="A2">
            <v>43462</v>
          </cell>
        </row>
      </sheetData>
      <sheetData sheetId="809">
        <row r="2">
          <cell r="A2" t="str">
            <v>Complete</v>
          </cell>
        </row>
      </sheetData>
      <sheetData sheetId="810">
        <row r="2">
          <cell r="A2">
            <v>43462</v>
          </cell>
        </row>
      </sheetData>
      <sheetData sheetId="811">
        <row r="2">
          <cell r="A2">
            <v>43462</v>
          </cell>
        </row>
      </sheetData>
      <sheetData sheetId="812">
        <row r="2">
          <cell r="A2" t="str">
            <v>Complete</v>
          </cell>
        </row>
      </sheetData>
      <sheetData sheetId="813">
        <row r="2">
          <cell r="A2">
            <v>43462</v>
          </cell>
        </row>
      </sheetData>
      <sheetData sheetId="814">
        <row r="2">
          <cell r="A2" t="str">
            <v>Complete</v>
          </cell>
        </row>
      </sheetData>
      <sheetData sheetId="815">
        <row r="2">
          <cell r="A2" t="str">
            <v>Complete</v>
          </cell>
        </row>
      </sheetData>
      <sheetData sheetId="816">
        <row r="2">
          <cell r="A2">
            <v>43462</v>
          </cell>
        </row>
      </sheetData>
      <sheetData sheetId="817">
        <row r="2">
          <cell r="A2">
            <v>43462</v>
          </cell>
        </row>
      </sheetData>
      <sheetData sheetId="818">
        <row r="2">
          <cell r="A2" t="str">
            <v>Complete</v>
          </cell>
        </row>
      </sheetData>
      <sheetData sheetId="819">
        <row r="2">
          <cell r="A2">
            <v>43462</v>
          </cell>
        </row>
      </sheetData>
      <sheetData sheetId="820">
        <row r="2">
          <cell r="A2">
            <v>43462</v>
          </cell>
        </row>
      </sheetData>
      <sheetData sheetId="821">
        <row r="2">
          <cell r="A2" t="str">
            <v>Complete</v>
          </cell>
        </row>
      </sheetData>
      <sheetData sheetId="822">
        <row r="2">
          <cell r="A2">
            <v>43462</v>
          </cell>
        </row>
      </sheetData>
      <sheetData sheetId="823">
        <row r="2">
          <cell r="A2">
            <v>43462</v>
          </cell>
        </row>
      </sheetData>
      <sheetData sheetId="824">
        <row r="2">
          <cell r="A2" t="str">
            <v>Complete</v>
          </cell>
        </row>
      </sheetData>
      <sheetData sheetId="825">
        <row r="2">
          <cell r="A2">
            <v>43462</v>
          </cell>
        </row>
      </sheetData>
      <sheetData sheetId="826">
        <row r="2">
          <cell r="A2" t="str">
            <v>Complete</v>
          </cell>
        </row>
      </sheetData>
      <sheetData sheetId="827">
        <row r="2">
          <cell r="A2" t="str">
            <v>Complete</v>
          </cell>
        </row>
      </sheetData>
      <sheetData sheetId="828">
        <row r="2">
          <cell r="A2">
            <v>43462</v>
          </cell>
        </row>
      </sheetData>
      <sheetData sheetId="829">
        <row r="2">
          <cell r="A2">
            <v>43462</v>
          </cell>
        </row>
      </sheetData>
      <sheetData sheetId="830">
        <row r="2">
          <cell r="A2" t="str">
            <v>Complete</v>
          </cell>
        </row>
      </sheetData>
      <sheetData sheetId="831">
        <row r="2">
          <cell r="A2">
            <v>43462</v>
          </cell>
        </row>
      </sheetData>
      <sheetData sheetId="832">
        <row r="2">
          <cell r="A2">
            <v>43462</v>
          </cell>
        </row>
      </sheetData>
      <sheetData sheetId="833">
        <row r="2">
          <cell r="A2" t="str">
            <v>Complete</v>
          </cell>
        </row>
      </sheetData>
      <sheetData sheetId="834">
        <row r="2">
          <cell r="A2">
            <v>43462</v>
          </cell>
        </row>
      </sheetData>
      <sheetData sheetId="835">
        <row r="2">
          <cell r="A2">
            <v>43462</v>
          </cell>
        </row>
      </sheetData>
      <sheetData sheetId="836">
        <row r="2">
          <cell r="A2" t="str">
            <v>Complete</v>
          </cell>
        </row>
      </sheetData>
      <sheetData sheetId="837">
        <row r="2">
          <cell r="A2">
            <v>43462</v>
          </cell>
        </row>
      </sheetData>
      <sheetData sheetId="838">
        <row r="2">
          <cell r="A2" t="str">
            <v>Complete</v>
          </cell>
        </row>
      </sheetData>
      <sheetData sheetId="839">
        <row r="2">
          <cell r="A2" t="str">
            <v>Complete</v>
          </cell>
        </row>
      </sheetData>
      <sheetData sheetId="840">
        <row r="2">
          <cell r="A2">
            <v>43462</v>
          </cell>
        </row>
      </sheetData>
      <sheetData sheetId="841">
        <row r="2">
          <cell r="A2">
            <v>43462</v>
          </cell>
        </row>
      </sheetData>
      <sheetData sheetId="842">
        <row r="2">
          <cell r="A2" t="str">
            <v>Complete</v>
          </cell>
        </row>
      </sheetData>
      <sheetData sheetId="843">
        <row r="2">
          <cell r="A2">
            <v>43462</v>
          </cell>
        </row>
      </sheetData>
      <sheetData sheetId="844">
        <row r="2">
          <cell r="A2">
            <v>43462</v>
          </cell>
        </row>
      </sheetData>
      <sheetData sheetId="845">
        <row r="2">
          <cell r="A2" t="str">
            <v>Complete</v>
          </cell>
        </row>
      </sheetData>
      <sheetData sheetId="846">
        <row r="2">
          <cell r="A2">
            <v>43462</v>
          </cell>
        </row>
      </sheetData>
      <sheetData sheetId="847">
        <row r="2">
          <cell r="A2">
            <v>43462</v>
          </cell>
        </row>
      </sheetData>
      <sheetData sheetId="848">
        <row r="2">
          <cell r="A2" t="str">
            <v>Complete</v>
          </cell>
        </row>
      </sheetData>
      <sheetData sheetId="849">
        <row r="2">
          <cell r="A2">
            <v>43462</v>
          </cell>
        </row>
      </sheetData>
      <sheetData sheetId="850">
        <row r="2">
          <cell r="A2" t="str">
            <v>Complete</v>
          </cell>
        </row>
      </sheetData>
      <sheetData sheetId="851">
        <row r="2">
          <cell r="A2" t="str">
            <v>Complete</v>
          </cell>
        </row>
      </sheetData>
      <sheetData sheetId="852">
        <row r="2">
          <cell r="A2">
            <v>43462</v>
          </cell>
        </row>
      </sheetData>
      <sheetData sheetId="853">
        <row r="2">
          <cell r="A2">
            <v>43462</v>
          </cell>
        </row>
      </sheetData>
      <sheetData sheetId="854">
        <row r="2">
          <cell r="A2" t="str">
            <v>Complete</v>
          </cell>
        </row>
      </sheetData>
      <sheetData sheetId="855">
        <row r="2">
          <cell r="A2">
            <v>43462</v>
          </cell>
        </row>
      </sheetData>
      <sheetData sheetId="856">
        <row r="2">
          <cell r="A2">
            <v>43462</v>
          </cell>
        </row>
      </sheetData>
      <sheetData sheetId="857">
        <row r="2">
          <cell r="A2" t="str">
            <v>Complete</v>
          </cell>
        </row>
      </sheetData>
      <sheetData sheetId="858">
        <row r="2">
          <cell r="A2">
            <v>43462</v>
          </cell>
        </row>
      </sheetData>
      <sheetData sheetId="859">
        <row r="2">
          <cell r="A2">
            <v>43462</v>
          </cell>
        </row>
      </sheetData>
      <sheetData sheetId="860">
        <row r="2">
          <cell r="A2" t="str">
            <v>Complete</v>
          </cell>
        </row>
      </sheetData>
      <sheetData sheetId="861">
        <row r="2">
          <cell r="A2">
            <v>43462</v>
          </cell>
        </row>
      </sheetData>
      <sheetData sheetId="862">
        <row r="2">
          <cell r="A2" t="str">
            <v>Complete</v>
          </cell>
        </row>
      </sheetData>
      <sheetData sheetId="863">
        <row r="2">
          <cell r="A2" t="str">
            <v>Complete</v>
          </cell>
        </row>
      </sheetData>
      <sheetData sheetId="864">
        <row r="2">
          <cell r="A2">
            <v>43462</v>
          </cell>
        </row>
      </sheetData>
      <sheetData sheetId="865">
        <row r="2">
          <cell r="A2">
            <v>43462</v>
          </cell>
        </row>
      </sheetData>
      <sheetData sheetId="866">
        <row r="2">
          <cell r="A2" t="str">
            <v>Complete</v>
          </cell>
        </row>
      </sheetData>
      <sheetData sheetId="867">
        <row r="2">
          <cell r="A2">
            <v>43462</v>
          </cell>
        </row>
      </sheetData>
      <sheetData sheetId="868">
        <row r="2">
          <cell r="A2">
            <v>43462</v>
          </cell>
        </row>
      </sheetData>
      <sheetData sheetId="869">
        <row r="2">
          <cell r="A2" t="str">
            <v>Complete</v>
          </cell>
        </row>
      </sheetData>
      <sheetData sheetId="870">
        <row r="2">
          <cell r="A2">
            <v>43462</v>
          </cell>
        </row>
      </sheetData>
      <sheetData sheetId="871">
        <row r="2">
          <cell r="A2">
            <v>43462</v>
          </cell>
        </row>
      </sheetData>
      <sheetData sheetId="872">
        <row r="2">
          <cell r="A2" t="str">
            <v>Complete</v>
          </cell>
        </row>
      </sheetData>
      <sheetData sheetId="873">
        <row r="2">
          <cell r="A2">
            <v>43462</v>
          </cell>
        </row>
      </sheetData>
      <sheetData sheetId="874">
        <row r="2">
          <cell r="A2" t="str">
            <v>Complete</v>
          </cell>
        </row>
      </sheetData>
      <sheetData sheetId="875">
        <row r="2">
          <cell r="A2" t="str">
            <v>Complete</v>
          </cell>
        </row>
      </sheetData>
      <sheetData sheetId="876">
        <row r="2">
          <cell r="A2">
            <v>43462</v>
          </cell>
        </row>
      </sheetData>
      <sheetData sheetId="877">
        <row r="2">
          <cell r="A2">
            <v>43462</v>
          </cell>
        </row>
      </sheetData>
      <sheetData sheetId="878">
        <row r="2">
          <cell r="A2" t="str">
            <v>Complete</v>
          </cell>
        </row>
      </sheetData>
      <sheetData sheetId="879">
        <row r="2">
          <cell r="A2">
            <v>43462</v>
          </cell>
        </row>
      </sheetData>
      <sheetData sheetId="880">
        <row r="2">
          <cell r="A2">
            <v>43462</v>
          </cell>
        </row>
      </sheetData>
      <sheetData sheetId="881">
        <row r="2">
          <cell r="A2" t="str">
            <v>Complete</v>
          </cell>
        </row>
      </sheetData>
      <sheetData sheetId="882">
        <row r="2">
          <cell r="A2">
            <v>43462</v>
          </cell>
        </row>
      </sheetData>
      <sheetData sheetId="883">
        <row r="2">
          <cell r="A2">
            <v>43462</v>
          </cell>
        </row>
      </sheetData>
      <sheetData sheetId="884">
        <row r="2">
          <cell r="A2" t="str">
            <v>Complete</v>
          </cell>
        </row>
      </sheetData>
      <sheetData sheetId="885">
        <row r="2">
          <cell r="A2">
            <v>43462</v>
          </cell>
        </row>
      </sheetData>
      <sheetData sheetId="886">
        <row r="2">
          <cell r="A2" t="str">
            <v>Complete</v>
          </cell>
        </row>
      </sheetData>
      <sheetData sheetId="887">
        <row r="2">
          <cell r="A2" t="str">
            <v>Complete</v>
          </cell>
        </row>
      </sheetData>
      <sheetData sheetId="888">
        <row r="2">
          <cell r="A2">
            <v>43462</v>
          </cell>
        </row>
      </sheetData>
      <sheetData sheetId="889">
        <row r="2">
          <cell r="A2">
            <v>43462</v>
          </cell>
        </row>
      </sheetData>
      <sheetData sheetId="890">
        <row r="2">
          <cell r="A2" t="str">
            <v>Complete</v>
          </cell>
        </row>
      </sheetData>
      <sheetData sheetId="891">
        <row r="2">
          <cell r="A2">
            <v>43462</v>
          </cell>
        </row>
      </sheetData>
      <sheetData sheetId="892">
        <row r="2">
          <cell r="A2">
            <v>43462</v>
          </cell>
        </row>
      </sheetData>
      <sheetData sheetId="893">
        <row r="2">
          <cell r="A2" t="str">
            <v>Complete</v>
          </cell>
        </row>
      </sheetData>
      <sheetData sheetId="894">
        <row r="2">
          <cell r="A2">
            <v>43462</v>
          </cell>
        </row>
      </sheetData>
      <sheetData sheetId="895">
        <row r="2">
          <cell r="A2">
            <v>43462</v>
          </cell>
        </row>
      </sheetData>
      <sheetData sheetId="896">
        <row r="2">
          <cell r="A2" t="str">
            <v>Complete</v>
          </cell>
        </row>
      </sheetData>
      <sheetData sheetId="897">
        <row r="2">
          <cell r="A2">
            <v>43462</v>
          </cell>
        </row>
      </sheetData>
      <sheetData sheetId="898">
        <row r="2">
          <cell r="A2" t="str">
            <v>Complete</v>
          </cell>
        </row>
      </sheetData>
      <sheetData sheetId="899">
        <row r="2">
          <cell r="A2" t="str">
            <v>Complete</v>
          </cell>
        </row>
      </sheetData>
      <sheetData sheetId="900">
        <row r="2">
          <cell r="A2">
            <v>43462</v>
          </cell>
        </row>
      </sheetData>
      <sheetData sheetId="901">
        <row r="2">
          <cell r="A2">
            <v>43462</v>
          </cell>
        </row>
      </sheetData>
      <sheetData sheetId="902">
        <row r="2">
          <cell r="A2" t="str">
            <v>Complete</v>
          </cell>
        </row>
      </sheetData>
      <sheetData sheetId="903">
        <row r="2">
          <cell r="A2">
            <v>43462</v>
          </cell>
        </row>
      </sheetData>
      <sheetData sheetId="904">
        <row r="2">
          <cell r="A2">
            <v>43462</v>
          </cell>
        </row>
      </sheetData>
      <sheetData sheetId="905">
        <row r="2">
          <cell r="A2" t="str">
            <v>Complete</v>
          </cell>
        </row>
      </sheetData>
      <sheetData sheetId="906">
        <row r="2">
          <cell r="A2">
            <v>43462</v>
          </cell>
        </row>
      </sheetData>
      <sheetData sheetId="907">
        <row r="2">
          <cell r="A2">
            <v>43462</v>
          </cell>
        </row>
      </sheetData>
      <sheetData sheetId="908">
        <row r="2">
          <cell r="A2" t="str">
            <v>Complete</v>
          </cell>
        </row>
      </sheetData>
      <sheetData sheetId="909">
        <row r="2">
          <cell r="A2">
            <v>43462</v>
          </cell>
        </row>
      </sheetData>
      <sheetData sheetId="910">
        <row r="2">
          <cell r="A2" t="str">
            <v>Complete</v>
          </cell>
        </row>
      </sheetData>
      <sheetData sheetId="911">
        <row r="2">
          <cell r="A2" t="str">
            <v>Complete</v>
          </cell>
        </row>
      </sheetData>
      <sheetData sheetId="912">
        <row r="2">
          <cell r="A2">
            <v>43462</v>
          </cell>
        </row>
      </sheetData>
      <sheetData sheetId="913">
        <row r="2">
          <cell r="A2">
            <v>43462</v>
          </cell>
        </row>
      </sheetData>
      <sheetData sheetId="914">
        <row r="2">
          <cell r="A2" t="str">
            <v>Complete</v>
          </cell>
        </row>
      </sheetData>
      <sheetData sheetId="915">
        <row r="2">
          <cell r="A2">
            <v>43462</v>
          </cell>
        </row>
      </sheetData>
      <sheetData sheetId="916">
        <row r="2">
          <cell r="A2">
            <v>43462</v>
          </cell>
        </row>
      </sheetData>
      <sheetData sheetId="917">
        <row r="2">
          <cell r="A2" t="str">
            <v>Complete</v>
          </cell>
        </row>
      </sheetData>
      <sheetData sheetId="918">
        <row r="2">
          <cell r="A2">
            <v>43462</v>
          </cell>
        </row>
      </sheetData>
      <sheetData sheetId="919">
        <row r="2">
          <cell r="A2">
            <v>43462</v>
          </cell>
        </row>
      </sheetData>
      <sheetData sheetId="920">
        <row r="2">
          <cell r="A2" t="str">
            <v>Complete</v>
          </cell>
        </row>
      </sheetData>
      <sheetData sheetId="921">
        <row r="2">
          <cell r="A2">
            <v>43462</v>
          </cell>
        </row>
      </sheetData>
      <sheetData sheetId="922">
        <row r="2">
          <cell r="A2" t="str">
            <v>Complete</v>
          </cell>
        </row>
      </sheetData>
      <sheetData sheetId="923">
        <row r="2">
          <cell r="A2" t="str">
            <v>Complete</v>
          </cell>
        </row>
      </sheetData>
      <sheetData sheetId="924">
        <row r="2">
          <cell r="A2">
            <v>43462</v>
          </cell>
        </row>
      </sheetData>
      <sheetData sheetId="925">
        <row r="2">
          <cell r="A2">
            <v>43462</v>
          </cell>
        </row>
      </sheetData>
      <sheetData sheetId="926">
        <row r="2">
          <cell r="A2" t="str">
            <v>Complete</v>
          </cell>
        </row>
      </sheetData>
      <sheetData sheetId="927">
        <row r="2">
          <cell r="A2">
            <v>43462</v>
          </cell>
        </row>
      </sheetData>
      <sheetData sheetId="928">
        <row r="2">
          <cell r="A2">
            <v>43462</v>
          </cell>
        </row>
      </sheetData>
      <sheetData sheetId="929">
        <row r="2">
          <cell r="A2" t="str">
            <v>Complete</v>
          </cell>
        </row>
      </sheetData>
      <sheetData sheetId="930">
        <row r="2">
          <cell r="A2">
            <v>43462</v>
          </cell>
        </row>
      </sheetData>
      <sheetData sheetId="931">
        <row r="2">
          <cell r="A2">
            <v>43462</v>
          </cell>
        </row>
      </sheetData>
      <sheetData sheetId="932">
        <row r="2">
          <cell r="A2" t="str">
            <v>Complete</v>
          </cell>
        </row>
      </sheetData>
      <sheetData sheetId="933">
        <row r="2">
          <cell r="A2">
            <v>43462</v>
          </cell>
        </row>
      </sheetData>
      <sheetData sheetId="934">
        <row r="2">
          <cell r="A2" t="str">
            <v>Complete</v>
          </cell>
        </row>
      </sheetData>
      <sheetData sheetId="935">
        <row r="2">
          <cell r="A2" t="str">
            <v>Complete</v>
          </cell>
        </row>
      </sheetData>
      <sheetData sheetId="936">
        <row r="2">
          <cell r="A2">
            <v>43462</v>
          </cell>
        </row>
      </sheetData>
      <sheetData sheetId="937">
        <row r="2">
          <cell r="A2">
            <v>43462</v>
          </cell>
        </row>
      </sheetData>
      <sheetData sheetId="938">
        <row r="2">
          <cell r="A2" t="str">
            <v>Complete</v>
          </cell>
        </row>
      </sheetData>
      <sheetData sheetId="939">
        <row r="2">
          <cell r="A2">
            <v>43462</v>
          </cell>
        </row>
      </sheetData>
      <sheetData sheetId="940">
        <row r="2">
          <cell r="A2">
            <v>43462</v>
          </cell>
        </row>
      </sheetData>
      <sheetData sheetId="941">
        <row r="2">
          <cell r="A2" t="str">
            <v>Complete</v>
          </cell>
        </row>
      </sheetData>
      <sheetData sheetId="942">
        <row r="2">
          <cell r="A2">
            <v>43462</v>
          </cell>
        </row>
      </sheetData>
      <sheetData sheetId="943">
        <row r="2">
          <cell r="A2">
            <v>43462</v>
          </cell>
        </row>
      </sheetData>
      <sheetData sheetId="944">
        <row r="2">
          <cell r="A2" t="str">
            <v>Complete</v>
          </cell>
        </row>
      </sheetData>
      <sheetData sheetId="945">
        <row r="2">
          <cell r="A2">
            <v>43462</v>
          </cell>
        </row>
      </sheetData>
      <sheetData sheetId="946">
        <row r="2">
          <cell r="A2">
            <v>43462</v>
          </cell>
        </row>
      </sheetData>
      <sheetData sheetId="947">
        <row r="2">
          <cell r="A2" t="str">
            <v>Complete</v>
          </cell>
        </row>
      </sheetData>
      <sheetData sheetId="948">
        <row r="2">
          <cell r="A2">
            <v>43462</v>
          </cell>
        </row>
      </sheetData>
      <sheetData sheetId="949">
        <row r="2">
          <cell r="A2">
            <v>43462</v>
          </cell>
        </row>
      </sheetData>
      <sheetData sheetId="950">
        <row r="2">
          <cell r="A2" t="str">
            <v>Complete</v>
          </cell>
        </row>
      </sheetData>
      <sheetData sheetId="951">
        <row r="2">
          <cell r="A2">
            <v>43462</v>
          </cell>
        </row>
      </sheetData>
      <sheetData sheetId="952">
        <row r="2">
          <cell r="A2">
            <v>43462</v>
          </cell>
        </row>
      </sheetData>
      <sheetData sheetId="953">
        <row r="2">
          <cell r="A2" t="str">
            <v>Complete</v>
          </cell>
        </row>
      </sheetData>
      <sheetData sheetId="954">
        <row r="2">
          <cell r="A2">
            <v>43462</v>
          </cell>
        </row>
      </sheetData>
      <sheetData sheetId="955">
        <row r="2">
          <cell r="A2">
            <v>43462</v>
          </cell>
        </row>
      </sheetData>
      <sheetData sheetId="956">
        <row r="2">
          <cell r="A2" t="str">
            <v>Complete</v>
          </cell>
        </row>
      </sheetData>
      <sheetData sheetId="957">
        <row r="2">
          <cell r="A2">
            <v>43462</v>
          </cell>
        </row>
      </sheetData>
      <sheetData sheetId="958">
        <row r="2">
          <cell r="A2">
            <v>43462</v>
          </cell>
        </row>
      </sheetData>
      <sheetData sheetId="959">
        <row r="2">
          <cell r="A2" t="str">
            <v>Complete</v>
          </cell>
        </row>
      </sheetData>
      <sheetData sheetId="960">
        <row r="2">
          <cell r="A2">
            <v>43462</v>
          </cell>
        </row>
      </sheetData>
      <sheetData sheetId="961">
        <row r="2">
          <cell r="A2">
            <v>43462</v>
          </cell>
        </row>
      </sheetData>
      <sheetData sheetId="962">
        <row r="2">
          <cell r="A2">
            <v>43462</v>
          </cell>
        </row>
      </sheetData>
      <sheetData sheetId="963">
        <row r="2">
          <cell r="A2">
            <v>43462</v>
          </cell>
        </row>
      </sheetData>
      <sheetData sheetId="964">
        <row r="2">
          <cell r="A2">
            <v>43462</v>
          </cell>
        </row>
      </sheetData>
      <sheetData sheetId="965">
        <row r="2">
          <cell r="A2" t="str">
            <v>Complete</v>
          </cell>
        </row>
      </sheetData>
      <sheetData sheetId="966">
        <row r="2">
          <cell r="A2">
            <v>43462</v>
          </cell>
        </row>
      </sheetData>
      <sheetData sheetId="967">
        <row r="2">
          <cell r="A2">
            <v>43462</v>
          </cell>
        </row>
      </sheetData>
      <sheetData sheetId="968">
        <row r="2">
          <cell r="A2" t="str">
            <v>Complete</v>
          </cell>
        </row>
      </sheetData>
      <sheetData sheetId="969">
        <row r="2">
          <cell r="A2">
            <v>43462</v>
          </cell>
        </row>
      </sheetData>
      <sheetData sheetId="970">
        <row r="2">
          <cell r="A2">
            <v>43462</v>
          </cell>
        </row>
      </sheetData>
      <sheetData sheetId="971">
        <row r="2">
          <cell r="A2" t="str">
            <v>Complete</v>
          </cell>
        </row>
      </sheetData>
      <sheetData sheetId="972">
        <row r="2">
          <cell r="A2">
            <v>43462</v>
          </cell>
        </row>
      </sheetData>
      <sheetData sheetId="973">
        <row r="2">
          <cell r="A2">
            <v>43462</v>
          </cell>
        </row>
      </sheetData>
      <sheetData sheetId="974">
        <row r="2">
          <cell r="A2">
            <v>43462</v>
          </cell>
        </row>
      </sheetData>
      <sheetData sheetId="975">
        <row r="2">
          <cell r="A2">
            <v>43462</v>
          </cell>
        </row>
      </sheetData>
      <sheetData sheetId="976">
        <row r="2">
          <cell r="A2">
            <v>43462</v>
          </cell>
        </row>
      </sheetData>
      <sheetData sheetId="977">
        <row r="2">
          <cell r="A2" t="str">
            <v>Complete</v>
          </cell>
        </row>
      </sheetData>
      <sheetData sheetId="978">
        <row r="2">
          <cell r="A2">
            <v>43462</v>
          </cell>
        </row>
      </sheetData>
      <sheetData sheetId="979">
        <row r="2">
          <cell r="A2">
            <v>43462</v>
          </cell>
        </row>
      </sheetData>
      <sheetData sheetId="980">
        <row r="2">
          <cell r="A2" t="str">
            <v>Complete</v>
          </cell>
        </row>
      </sheetData>
      <sheetData sheetId="981">
        <row r="2">
          <cell r="A2">
            <v>43462</v>
          </cell>
        </row>
      </sheetData>
      <sheetData sheetId="982">
        <row r="2">
          <cell r="A2">
            <v>43462</v>
          </cell>
        </row>
      </sheetData>
      <sheetData sheetId="983">
        <row r="2">
          <cell r="A2" t="str">
            <v>Complete</v>
          </cell>
        </row>
      </sheetData>
      <sheetData sheetId="984">
        <row r="2">
          <cell r="A2">
            <v>43462</v>
          </cell>
        </row>
      </sheetData>
      <sheetData sheetId="985">
        <row r="2">
          <cell r="A2">
            <v>43462</v>
          </cell>
        </row>
      </sheetData>
      <sheetData sheetId="986">
        <row r="2">
          <cell r="A2">
            <v>43462</v>
          </cell>
        </row>
      </sheetData>
      <sheetData sheetId="987">
        <row r="2">
          <cell r="A2">
            <v>43462</v>
          </cell>
        </row>
      </sheetData>
      <sheetData sheetId="988">
        <row r="2">
          <cell r="A2">
            <v>43462</v>
          </cell>
        </row>
      </sheetData>
      <sheetData sheetId="989">
        <row r="2">
          <cell r="A2" t="str">
            <v>Complete</v>
          </cell>
        </row>
      </sheetData>
      <sheetData sheetId="990">
        <row r="2">
          <cell r="A2">
            <v>43462</v>
          </cell>
        </row>
      </sheetData>
      <sheetData sheetId="991">
        <row r="2">
          <cell r="A2">
            <v>43462</v>
          </cell>
        </row>
      </sheetData>
      <sheetData sheetId="992">
        <row r="2">
          <cell r="A2" t="str">
            <v>Complete</v>
          </cell>
        </row>
      </sheetData>
      <sheetData sheetId="993">
        <row r="2">
          <cell r="A2">
            <v>43462</v>
          </cell>
        </row>
      </sheetData>
      <sheetData sheetId="994">
        <row r="2">
          <cell r="A2">
            <v>43462</v>
          </cell>
        </row>
      </sheetData>
      <sheetData sheetId="995">
        <row r="2">
          <cell r="A2" t="str">
            <v>Complete</v>
          </cell>
        </row>
      </sheetData>
      <sheetData sheetId="996">
        <row r="2">
          <cell r="A2">
            <v>43462</v>
          </cell>
        </row>
      </sheetData>
      <sheetData sheetId="997">
        <row r="2">
          <cell r="A2">
            <v>43462</v>
          </cell>
        </row>
      </sheetData>
      <sheetData sheetId="998">
        <row r="2">
          <cell r="A2">
            <v>43462</v>
          </cell>
        </row>
      </sheetData>
      <sheetData sheetId="999">
        <row r="2">
          <cell r="A2">
            <v>43462</v>
          </cell>
        </row>
      </sheetData>
      <sheetData sheetId="1000">
        <row r="2">
          <cell r="A2">
            <v>43462</v>
          </cell>
        </row>
      </sheetData>
      <sheetData sheetId="1001">
        <row r="2">
          <cell r="A2" t="str">
            <v>Complete</v>
          </cell>
        </row>
      </sheetData>
      <sheetData sheetId="1002">
        <row r="2">
          <cell r="A2">
            <v>43462</v>
          </cell>
        </row>
      </sheetData>
      <sheetData sheetId="1003">
        <row r="2">
          <cell r="A2">
            <v>43462</v>
          </cell>
        </row>
      </sheetData>
      <sheetData sheetId="1004">
        <row r="2">
          <cell r="A2" t="str">
            <v>Complete</v>
          </cell>
        </row>
      </sheetData>
      <sheetData sheetId="1005">
        <row r="2">
          <cell r="A2">
            <v>43462</v>
          </cell>
        </row>
      </sheetData>
      <sheetData sheetId="1006">
        <row r="2">
          <cell r="A2">
            <v>43462</v>
          </cell>
        </row>
      </sheetData>
      <sheetData sheetId="1007">
        <row r="2">
          <cell r="A2" t="str">
            <v>Complete</v>
          </cell>
        </row>
      </sheetData>
      <sheetData sheetId="1008">
        <row r="2">
          <cell r="A2">
            <v>43462</v>
          </cell>
        </row>
      </sheetData>
      <sheetData sheetId="1009">
        <row r="2">
          <cell r="A2">
            <v>43462</v>
          </cell>
        </row>
      </sheetData>
      <sheetData sheetId="1010">
        <row r="2">
          <cell r="A2">
            <v>43462</v>
          </cell>
        </row>
      </sheetData>
      <sheetData sheetId="1011">
        <row r="2">
          <cell r="A2">
            <v>43462</v>
          </cell>
        </row>
      </sheetData>
      <sheetData sheetId="1012">
        <row r="2">
          <cell r="A2">
            <v>43462</v>
          </cell>
        </row>
      </sheetData>
      <sheetData sheetId="1013">
        <row r="2">
          <cell r="A2" t="str">
            <v>Complete</v>
          </cell>
        </row>
      </sheetData>
      <sheetData sheetId="1014">
        <row r="2">
          <cell r="A2">
            <v>43462</v>
          </cell>
        </row>
      </sheetData>
      <sheetData sheetId="1015">
        <row r="2">
          <cell r="A2">
            <v>43462</v>
          </cell>
        </row>
      </sheetData>
      <sheetData sheetId="1016">
        <row r="2">
          <cell r="A2" t="str">
            <v>Complete</v>
          </cell>
        </row>
      </sheetData>
      <sheetData sheetId="1017">
        <row r="2">
          <cell r="A2">
            <v>43462</v>
          </cell>
        </row>
      </sheetData>
      <sheetData sheetId="1018">
        <row r="2">
          <cell r="A2">
            <v>43462</v>
          </cell>
        </row>
      </sheetData>
      <sheetData sheetId="1019">
        <row r="2">
          <cell r="A2" t="str">
            <v>Complete</v>
          </cell>
        </row>
      </sheetData>
      <sheetData sheetId="1020">
        <row r="2">
          <cell r="A2">
            <v>43462</v>
          </cell>
        </row>
      </sheetData>
      <sheetData sheetId="1021">
        <row r="2">
          <cell r="A2">
            <v>43462</v>
          </cell>
        </row>
      </sheetData>
      <sheetData sheetId="1022">
        <row r="2">
          <cell r="A2">
            <v>43462</v>
          </cell>
        </row>
      </sheetData>
      <sheetData sheetId="1023">
        <row r="2">
          <cell r="A2">
            <v>43462</v>
          </cell>
        </row>
      </sheetData>
      <sheetData sheetId="1024">
        <row r="2">
          <cell r="A2">
            <v>43462</v>
          </cell>
        </row>
      </sheetData>
      <sheetData sheetId="1025">
        <row r="2">
          <cell r="A2" t="str">
            <v>Complete</v>
          </cell>
        </row>
      </sheetData>
      <sheetData sheetId="1026">
        <row r="2">
          <cell r="A2">
            <v>43462</v>
          </cell>
        </row>
      </sheetData>
      <sheetData sheetId="1027">
        <row r="2">
          <cell r="A2">
            <v>43462</v>
          </cell>
        </row>
      </sheetData>
      <sheetData sheetId="1028">
        <row r="2">
          <cell r="A2" t="str">
            <v>Complete</v>
          </cell>
        </row>
      </sheetData>
      <sheetData sheetId="1029">
        <row r="2">
          <cell r="A2">
            <v>43462</v>
          </cell>
        </row>
      </sheetData>
      <sheetData sheetId="1030">
        <row r="2">
          <cell r="A2">
            <v>43462</v>
          </cell>
        </row>
      </sheetData>
      <sheetData sheetId="1031">
        <row r="2">
          <cell r="A2" t="str">
            <v>Complete</v>
          </cell>
        </row>
      </sheetData>
      <sheetData sheetId="1032">
        <row r="2">
          <cell r="A2">
            <v>43462</v>
          </cell>
        </row>
      </sheetData>
      <sheetData sheetId="1033">
        <row r="2">
          <cell r="A2">
            <v>43462</v>
          </cell>
        </row>
      </sheetData>
      <sheetData sheetId="1034">
        <row r="2">
          <cell r="A2">
            <v>43462</v>
          </cell>
        </row>
      </sheetData>
      <sheetData sheetId="1035">
        <row r="2">
          <cell r="A2">
            <v>43462</v>
          </cell>
        </row>
      </sheetData>
      <sheetData sheetId="1036">
        <row r="2">
          <cell r="A2">
            <v>43462</v>
          </cell>
        </row>
      </sheetData>
      <sheetData sheetId="1037">
        <row r="2">
          <cell r="A2" t="str">
            <v>Complete</v>
          </cell>
        </row>
      </sheetData>
      <sheetData sheetId="1038">
        <row r="2">
          <cell r="A2">
            <v>43462</v>
          </cell>
        </row>
      </sheetData>
      <sheetData sheetId="1039">
        <row r="2">
          <cell r="A2">
            <v>43462</v>
          </cell>
        </row>
      </sheetData>
      <sheetData sheetId="1040">
        <row r="2">
          <cell r="A2" t="str">
            <v>Complete</v>
          </cell>
        </row>
      </sheetData>
      <sheetData sheetId="1041">
        <row r="2">
          <cell r="A2">
            <v>43462</v>
          </cell>
        </row>
      </sheetData>
      <sheetData sheetId="1042">
        <row r="2">
          <cell r="A2">
            <v>43462</v>
          </cell>
        </row>
      </sheetData>
      <sheetData sheetId="1043">
        <row r="2">
          <cell r="A2" t="str">
            <v>Complete</v>
          </cell>
        </row>
      </sheetData>
      <sheetData sheetId="1044">
        <row r="2">
          <cell r="A2">
            <v>43462</v>
          </cell>
        </row>
      </sheetData>
      <sheetData sheetId="1045">
        <row r="2">
          <cell r="A2">
            <v>43462</v>
          </cell>
        </row>
      </sheetData>
      <sheetData sheetId="1046">
        <row r="2">
          <cell r="A2">
            <v>43462</v>
          </cell>
        </row>
      </sheetData>
      <sheetData sheetId="1047">
        <row r="2">
          <cell r="A2">
            <v>43462</v>
          </cell>
        </row>
      </sheetData>
      <sheetData sheetId="1048">
        <row r="2">
          <cell r="A2">
            <v>43462</v>
          </cell>
        </row>
      </sheetData>
      <sheetData sheetId="1049">
        <row r="2">
          <cell r="A2" t="str">
            <v>Complete</v>
          </cell>
        </row>
      </sheetData>
      <sheetData sheetId="1050">
        <row r="2">
          <cell r="A2">
            <v>43462</v>
          </cell>
        </row>
      </sheetData>
      <sheetData sheetId="1051">
        <row r="2">
          <cell r="A2">
            <v>43462</v>
          </cell>
        </row>
      </sheetData>
      <sheetData sheetId="1052">
        <row r="2">
          <cell r="A2" t="str">
            <v>Complete</v>
          </cell>
        </row>
      </sheetData>
      <sheetData sheetId="1053">
        <row r="2">
          <cell r="A2">
            <v>43462</v>
          </cell>
        </row>
      </sheetData>
      <sheetData sheetId="1054">
        <row r="2">
          <cell r="A2">
            <v>43462</v>
          </cell>
        </row>
      </sheetData>
      <sheetData sheetId="1055">
        <row r="2">
          <cell r="A2" t="str">
            <v>Complete</v>
          </cell>
        </row>
      </sheetData>
      <sheetData sheetId="1056">
        <row r="2">
          <cell r="A2">
            <v>43462</v>
          </cell>
        </row>
      </sheetData>
      <sheetData sheetId="1057">
        <row r="2">
          <cell r="A2">
            <v>43462</v>
          </cell>
        </row>
      </sheetData>
      <sheetData sheetId="1058">
        <row r="2">
          <cell r="A2">
            <v>43462</v>
          </cell>
        </row>
      </sheetData>
      <sheetData sheetId="1059">
        <row r="2">
          <cell r="A2">
            <v>43462</v>
          </cell>
        </row>
      </sheetData>
      <sheetData sheetId="1060">
        <row r="2">
          <cell r="A2">
            <v>43462</v>
          </cell>
        </row>
      </sheetData>
      <sheetData sheetId="1061">
        <row r="2">
          <cell r="A2" t="str">
            <v>Complete</v>
          </cell>
        </row>
      </sheetData>
      <sheetData sheetId="1062">
        <row r="2">
          <cell r="A2">
            <v>43462</v>
          </cell>
        </row>
      </sheetData>
      <sheetData sheetId="1063">
        <row r="2">
          <cell r="A2">
            <v>43462</v>
          </cell>
        </row>
      </sheetData>
      <sheetData sheetId="1064">
        <row r="2">
          <cell r="A2" t="str">
            <v>Complete</v>
          </cell>
        </row>
      </sheetData>
      <sheetData sheetId="1065">
        <row r="2">
          <cell r="A2">
            <v>43462</v>
          </cell>
        </row>
      </sheetData>
      <sheetData sheetId="1066">
        <row r="2">
          <cell r="A2">
            <v>43462</v>
          </cell>
        </row>
      </sheetData>
      <sheetData sheetId="1067">
        <row r="2">
          <cell r="A2" t="str">
            <v>Complete</v>
          </cell>
        </row>
      </sheetData>
      <sheetData sheetId="1068">
        <row r="2">
          <cell r="A2">
            <v>43462</v>
          </cell>
        </row>
      </sheetData>
      <sheetData sheetId="1069">
        <row r="2">
          <cell r="A2">
            <v>43462</v>
          </cell>
        </row>
      </sheetData>
      <sheetData sheetId="1070">
        <row r="2">
          <cell r="A2">
            <v>43462</v>
          </cell>
        </row>
      </sheetData>
      <sheetData sheetId="1071">
        <row r="2">
          <cell r="A2">
            <v>43462</v>
          </cell>
        </row>
      </sheetData>
      <sheetData sheetId="1072">
        <row r="2">
          <cell r="A2">
            <v>43462</v>
          </cell>
        </row>
      </sheetData>
      <sheetData sheetId="1073">
        <row r="2">
          <cell r="A2" t="str">
            <v>Complete</v>
          </cell>
        </row>
      </sheetData>
      <sheetData sheetId="1074">
        <row r="2">
          <cell r="A2">
            <v>43462</v>
          </cell>
        </row>
      </sheetData>
      <sheetData sheetId="1075">
        <row r="2">
          <cell r="A2" t="str">
            <v>Complete</v>
          </cell>
        </row>
      </sheetData>
      <sheetData sheetId="1076">
        <row r="2">
          <cell r="A2" t="str">
            <v>Complete</v>
          </cell>
        </row>
      </sheetData>
      <sheetData sheetId="1077">
        <row r="2">
          <cell r="A2">
            <v>43462</v>
          </cell>
        </row>
      </sheetData>
      <sheetData sheetId="1078">
        <row r="2">
          <cell r="A2">
            <v>43462</v>
          </cell>
        </row>
      </sheetData>
      <sheetData sheetId="1079">
        <row r="2">
          <cell r="A2" t="str">
            <v>Complete</v>
          </cell>
        </row>
      </sheetData>
      <sheetData sheetId="1080">
        <row r="2">
          <cell r="A2">
            <v>43462</v>
          </cell>
        </row>
      </sheetData>
      <sheetData sheetId="1081">
        <row r="2">
          <cell r="A2">
            <v>43462</v>
          </cell>
        </row>
      </sheetData>
      <sheetData sheetId="1082">
        <row r="2">
          <cell r="A2">
            <v>43462</v>
          </cell>
        </row>
      </sheetData>
      <sheetData sheetId="1083">
        <row r="2">
          <cell r="A2">
            <v>43462</v>
          </cell>
        </row>
      </sheetData>
      <sheetData sheetId="1084">
        <row r="2">
          <cell r="A2">
            <v>43462</v>
          </cell>
        </row>
      </sheetData>
      <sheetData sheetId="1085">
        <row r="2">
          <cell r="A2" t="str">
            <v>Complete</v>
          </cell>
        </row>
      </sheetData>
      <sheetData sheetId="1086">
        <row r="2">
          <cell r="A2">
            <v>43462</v>
          </cell>
        </row>
      </sheetData>
      <sheetData sheetId="1087">
        <row r="2">
          <cell r="A2" t="str">
            <v>Complete</v>
          </cell>
        </row>
      </sheetData>
      <sheetData sheetId="1088">
        <row r="2">
          <cell r="A2" t="str">
            <v>Complete</v>
          </cell>
        </row>
      </sheetData>
      <sheetData sheetId="1089">
        <row r="2">
          <cell r="A2">
            <v>43462</v>
          </cell>
        </row>
      </sheetData>
      <sheetData sheetId="1090">
        <row r="2">
          <cell r="A2">
            <v>43462</v>
          </cell>
        </row>
      </sheetData>
      <sheetData sheetId="1091">
        <row r="2">
          <cell r="A2" t="str">
            <v>Complete</v>
          </cell>
        </row>
      </sheetData>
      <sheetData sheetId="1092">
        <row r="2">
          <cell r="A2">
            <v>43462</v>
          </cell>
        </row>
      </sheetData>
      <sheetData sheetId="1093">
        <row r="2">
          <cell r="A2">
            <v>43462</v>
          </cell>
        </row>
      </sheetData>
      <sheetData sheetId="1094">
        <row r="2">
          <cell r="A2">
            <v>43462</v>
          </cell>
        </row>
      </sheetData>
      <sheetData sheetId="1095">
        <row r="2">
          <cell r="A2">
            <v>43462</v>
          </cell>
        </row>
      </sheetData>
      <sheetData sheetId="1096">
        <row r="2">
          <cell r="A2">
            <v>43462</v>
          </cell>
        </row>
      </sheetData>
      <sheetData sheetId="1097">
        <row r="2">
          <cell r="A2" t="str">
            <v>Complete</v>
          </cell>
        </row>
      </sheetData>
      <sheetData sheetId="1098">
        <row r="2">
          <cell r="A2">
            <v>43462</v>
          </cell>
        </row>
      </sheetData>
      <sheetData sheetId="1099">
        <row r="2">
          <cell r="A2" t="str">
            <v>Complete</v>
          </cell>
        </row>
      </sheetData>
      <sheetData sheetId="1100">
        <row r="2">
          <cell r="A2" t="str">
            <v>Complete</v>
          </cell>
        </row>
      </sheetData>
      <sheetData sheetId="1101">
        <row r="2">
          <cell r="A2">
            <v>43462</v>
          </cell>
        </row>
      </sheetData>
      <sheetData sheetId="1102">
        <row r="2">
          <cell r="A2">
            <v>43462</v>
          </cell>
        </row>
      </sheetData>
      <sheetData sheetId="1103">
        <row r="2">
          <cell r="A2" t="str">
            <v>Complete</v>
          </cell>
        </row>
      </sheetData>
      <sheetData sheetId="1104">
        <row r="2">
          <cell r="A2">
            <v>43462</v>
          </cell>
        </row>
      </sheetData>
      <sheetData sheetId="1105">
        <row r="2">
          <cell r="A2">
            <v>43462</v>
          </cell>
        </row>
      </sheetData>
      <sheetData sheetId="1106">
        <row r="2">
          <cell r="A2">
            <v>43462</v>
          </cell>
        </row>
      </sheetData>
      <sheetData sheetId="1107">
        <row r="2">
          <cell r="A2">
            <v>43462</v>
          </cell>
        </row>
      </sheetData>
      <sheetData sheetId="1108">
        <row r="2">
          <cell r="A2">
            <v>43462</v>
          </cell>
        </row>
      </sheetData>
      <sheetData sheetId="1109">
        <row r="2">
          <cell r="A2" t="str">
            <v>Complete</v>
          </cell>
        </row>
      </sheetData>
      <sheetData sheetId="1110">
        <row r="2">
          <cell r="A2">
            <v>43462</v>
          </cell>
        </row>
      </sheetData>
      <sheetData sheetId="1111">
        <row r="2">
          <cell r="A2" t="str">
            <v>Complete</v>
          </cell>
        </row>
      </sheetData>
      <sheetData sheetId="1112">
        <row r="2">
          <cell r="A2" t="str">
            <v>Complete</v>
          </cell>
        </row>
      </sheetData>
      <sheetData sheetId="1113">
        <row r="2">
          <cell r="A2">
            <v>43462</v>
          </cell>
        </row>
      </sheetData>
      <sheetData sheetId="1114">
        <row r="2">
          <cell r="A2">
            <v>43462</v>
          </cell>
        </row>
      </sheetData>
      <sheetData sheetId="1115">
        <row r="2">
          <cell r="A2" t="str">
            <v>Complete</v>
          </cell>
        </row>
      </sheetData>
      <sheetData sheetId="1116">
        <row r="2">
          <cell r="A2">
            <v>43462</v>
          </cell>
        </row>
      </sheetData>
      <sheetData sheetId="1117">
        <row r="2">
          <cell r="A2">
            <v>43462</v>
          </cell>
        </row>
      </sheetData>
      <sheetData sheetId="1118">
        <row r="2">
          <cell r="A2">
            <v>43462</v>
          </cell>
        </row>
      </sheetData>
      <sheetData sheetId="1119">
        <row r="2">
          <cell r="A2">
            <v>43462</v>
          </cell>
        </row>
      </sheetData>
      <sheetData sheetId="1120">
        <row r="2">
          <cell r="A2">
            <v>43462</v>
          </cell>
        </row>
      </sheetData>
      <sheetData sheetId="1121">
        <row r="2">
          <cell r="A2" t="str">
            <v>Complete</v>
          </cell>
        </row>
      </sheetData>
      <sheetData sheetId="1122">
        <row r="2">
          <cell r="A2">
            <v>43462</v>
          </cell>
        </row>
      </sheetData>
      <sheetData sheetId="1123">
        <row r="2">
          <cell r="A2" t="str">
            <v>Complete</v>
          </cell>
        </row>
      </sheetData>
      <sheetData sheetId="1124">
        <row r="2">
          <cell r="A2" t="str">
            <v>Complete</v>
          </cell>
        </row>
      </sheetData>
      <sheetData sheetId="1125">
        <row r="2">
          <cell r="A2">
            <v>43462</v>
          </cell>
        </row>
      </sheetData>
      <sheetData sheetId="1126">
        <row r="2">
          <cell r="A2">
            <v>43462</v>
          </cell>
        </row>
      </sheetData>
      <sheetData sheetId="1127">
        <row r="2">
          <cell r="A2" t="str">
            <v>Complete</v>
          </cell>
        </row>
      </sheetData>
      <sheetData sheetId="1128">
        <row r="2">
          <cell r="A2">
            <v>43462</v>
          </cell>
        </row>
      </sheetData>
      <sheetData sheetId="1129">
        <row r="2">
          <cell r="A2">
            <v>43462</v>
          </cell>
        </row>
      </sheetData>
      <sheetData sheetId="1130">
        <row r="2">
          <cell r="A2">
            <v>43462</v>
          </cell>
        </row>
      </sheetData>
      <sheetData sheetId="1131">
        <row r="2">
          <cell r="A2">
            <v>43462</v>
          </cell>
        </row>
      </sheetData>
      <sheetData sheetId="1132">
        <row r="2">
          <cell r="A2">
            <v>43462</v>
          </cell>
        </row>
      </sheetData>
      <sheetData sheetId="1133">
        <row r="2">
          <cell r="A2" t="str">
            <v>Complete</v>
          </cell>
        </row>
      </sheetData>
      <sheetData sheetId="1134">
        <row r="2">
          <cell r="A2">
            <v>43462</v>
          </cell>
        </row>
      </sheetData>
      <sheetData sheetId="1135">
        <row r="2">
          <cell r="A2" t="str">
            <v>Complete</v>
          </cell>
        </row>
      </sheetData>
      <sheetData sheetId="1136">
        <row r="2">
          <cell r="A2" t="str">
            <v>Complete</v>
          </cell>
        </row>
      </sheetData>
      <sheetData sheetId="1137">
        <row r="2">
          <cell r="A2">
            <v>43462</v>
          </cell>
        </row>
      </sheetData>
      <sheetData sheetId="1138">
        <row r="2">
          <cell r="A2">
            <v>43462</v>
          </cell>
        </row>
      </sheetData>
      <sheetData sheetId="1139">
        <row r="2">
          <cell r="A2" t="str">
            <v>Complete</v>
          </cell>
        </row>
      </sheetData>
      <sheetData sheetId="1140">
        <row r="2">
          <cell r="A2" t="str">
            <v>Complete</v>
          </cell>
        </row>
      </sheetData>
      <sheetData sheetId="1141">
        <row r="2">
          <cell r="A2">
            <v>43462</v>
          </cell>
        </row>
      </sheetData>
      <sheetData sheetId="1142">
        <row r="2">
          <cell r="A2" t="str">
            <v>Complete</v>
          </cell>
        </row>
      </sheetData>
      <sheetData sheetId="1143">
        <row r="2">
          <cell r="A2">
            <v>43462</v>
          </cell>
        </row>
      </sheetData>
      <sheetData sheetId="1144">
        <row r="2">
          <cell r="A2">
            <v>43462</v>
          </cell>
        </row>
      </sheetData>
      <sheetData sheetId="1145">
        <row r="2">
          <cell r="A2" t="str">
            <v>Complete</v>
          </cell>
        </row>
      </sheetData>
      <sheetData sheetId="1146">
        <row r="2">
          <cell r="A2">
            <v>43462</v>
          </cell>
        </row>
      </sheetData>
      <sheetData sheetId="1147">
        <row r="2">
          <cell r="A2" t="str">
            <v>Complete</v>
          </cell>
        </row>
      </sheetData>
      <sheetData sheetId="1148">
        <row r="2">
          <cell r="A2" t="str">
            <v>Complete</v>
          </cell>
        </row>
      </sheetData>
      <sheetData sheetId="1149">
        <row r="2">
          <cell r="A2">
            <v>43462</v>
          </cell>
        </row>
      </sheetData>
      <sheetData sheetId="1150">
        <row r="2">
          <cell r="A2">
            <v>43462</v>
          </cell>
        </row>
      </sheetData>
      <sheetData sheetId="1151">
        <row r="2">
          <cell r="A2" t="str">
            <v>Complete</v>
          </cell>
        </row>
      </sheetData>
      <sheetData sheetId="1152">
        <row r="2">
          <cell r="A2" t="str">
            <v>Complete</v>
          </cell>
        </row>
      </sheetData>
      <sheetData sheetId="1153">
        <row r="2">
          <cell r="A2">
            <v>43462</v>
          </cell>
        </row>
      </sheetData>
      <sheetData sheetId="1154">
        <row r="2">
          <cell r="A2" t="str">
            <v>Complete</v>
          </cell>
        </row>
      </sheetData>
      <sheetData sheetId="1155">
        <row r="2">
          <cell r="A2">
            <v>43462</v>
          </cell>
        </row>
      </sheetData>
      <sheetData sheetId="1156">
        <row r="2">
          <cell r="A2">
            <v>43462</v>
          </cell>
        </row>
      </sheetData>
      <sheetData sheetId="1157">
        <row r="2">
          <cell r="A2" t="str">
            <v>Complete</v>
          </cell>
        </row>
      </sheetData>
      <sheetData sheetId="1158">
        <row r="2">
          <cell r="A2">
            <v>43462</v>
          </cell>
        </row>
      </sheetData>
      <sheetData sheetId="1159">
        <row r="2">
          <cell r="A2" t="str">
            <v>Complete</v>
          </cell>
        </row>
      </sheetData>
      <sheetData sheetId="1160">
        <row r="2">
          <cell r="A2" t="str">
            <v>Complete</v>
          </cell>
        </row>
      </sheetData>
      <sheetData sheetId="1161">
        <row r="2">
          <cell r="A2">
            <v>43462</v>
          </cell>
        </row>
      </sheetData>
      <sheetData sheetId="1162">
        <row r="2">
          <cell r="A2">
            <v>43462</v>
          </cell>
        </row>
      </sheetData>
      <sheetData sheetId="1163">
        <row r="2">
          <cell r="A2" t="str">
            <v>Complete</v>
          </cell>
        </row>
      </sheetData>
      <sheetData sheetId="1164">
        <row r="2">
          <cell r="A2">
            <v>43462</v>
          </cell>
        </row>
      </sheetData>
      <sheetData sheetId="1165">
        <row r="2">
          <cell r="A2">
            <v>43462</v>
          </cell>
        </row>
      </sheetData>
      <sheetData sheetId="1166">
        <row r="2">
          <cell r="A2" t="str">
            <v>Complete</v>
          </cell>
        </row>
      </sheetData>
      <sheetData sheetId="1167">
        <row r="2">
          <cell r="A2">
            <v>43462</v>
          </cell>
        </row>
      </sheetData>
      <sheetData sheetId="1168">
        <row r="2">
          <cell r="A2">
            <v>43462</v>
          </cell>
        </row>
      </sheetData>
      <sheetData sheetId="1169">
        <row r="2">
          <cell r="A2" t="str">
            <v>Complete</v>
          </cell>
        </row>
      </sheetData>
      <sheetData sheetId="1170">
        <row r="2">
          <cell r="A2">
            <v>43462</v>
          </cell>
        </row>
      </sheetData>
      <sheetData sheetId="1171">
        <row r="2">
          <cell r="A2" t="str">
            <v>Complete</v>
          </cell>
        </row>
      </sheetData>
      <sheetData sheetId="1172">
        <row r="2">
          <cell r="A2" t="str">
            <v>Complete</v>
          </cell>
        </row>
      </sheetData>
      <sheetData sheetId="1173">
        <row r="2">
          <cell r="A2">
            <v>43462</v>
          </cell>
        </row>
      </sheetData>
      <sheetData sheetId="1174">
        <row r="2">
          <cell r="A2">
            <v>43462</v>
          </cell>
        </row>
      </sheetData>
      <sheetData sheetId="1175">
        <row r="2">
          <cell r="A2" t="str">
            <v>Complete</v>
          </cell>
        </row>
      </sheetData>
      <sheetData sheetId="1176">
        <row r="2">
          <cell r="A2">
            <v>43462</v>
          </cell>
        </row>
      </sheetData>
      <sheetData sheetId="1177">
        <row r="2">
          <cell r="A2">
            <v>43462</v>
          </cell>
        </row>
      </sheetData>
      <sheetData sheetId="1178">
        <row r="2">
          <cell r="A2" t="str">
            <v>Complete</v>
          </cell>
        </row>
      </sheetData>
      <sheetData sheetId="1179">
        <row r="2">
          <cell r="A2">
            <v>43462</v>
          </cell>
        </row>
      </sheetData>
      <sheetData sheetId="1180">
        <row r="2">
          <cell r="A2">
            <v>43462</v>
          </cell>
        </row>
      </sheetData>
      <sheetData sheetId="1181">
        <row r="2">
          <cell r="A2" t="str">
            <v>Complete</v>
          </cell>
        </row>
      </sheetData>
      <sheetData sheetId="1182">
        <row r="2">
          <cell r="A2">
            <v>43462</v>
          </cell>
        </row>
      </sheetData>
      <sheetData sheetId="1183">
        <row r="2">
          <cell r="A2" t="str">
            <v>Complete</v>
          </cell>
        </row>
      </sheetData>
      <sheetData sheetId="1184">
        <row r="2">
          <cell r="A2" t="str">
            <v>Complete</v>
          </cell>
        </row>
      </sheetData>
      <sheetData sheetId="1185">
        <row r="2">
          <cell r="A2">
            <v>43462</v>
          </cell>
        </row>
      </sheetData>
      <sheetData sheetId="1186">
        <row r="2">
          <cell r="A2">
            <v>43462</v>
          </cell>
        </row>
      </sheetData>
      <sheetData sheetId="1187">
        <row r="2">
          <cell r="A2" t="str">
            <v>Complete</v>
          </cell>
        </row>
      </sheetData>
      <sheetData sheetId="1188">
        <row r="2">
          <cell r="A2">
            <v>43462</v>
          </cell>
        </row>
      </sheetData>
      <sheetData sheetId="1189">
        <row r="2">
          <cell r="A2">
            <v>43462</v>
          </cell>
        </row>
      </sheetData>
      <sheetData sheetId="1190">
        <row r="2">
          <cell r="A2" t="str">
            <v>Complete</v>
          </cell>
        </row>
      </sheetData>
      <sheetData sheetId="1191">
        <row r="2">
          <cell r="A2" t="str">
            <v>Complete</v>
          </cell>
        </row>
      </sheetData>
      <sheetData sheetId="1192">
        <row r="2">
          <cell r="A2">
            <v>43462</v>
          </cell>
        </row>
      </sheetData>
      <sheetData sheetId="1193">
        <row r="2">
          <cell r="A2" t="str">
            <v>Complete</v>
          </cell>
        </row>
      </sheetData>
      <sheetData sheetId="1194">
        <row r="2">
          <cell r="A2">
            <v>43462</v>
          </cell>
        </row>
      </sheetData>
      <sheetData sheetId="1195">
        <row r="2">
          <cell r="A2" t="str">
            <v>Complete</v>
          </cell>
        </row>
      </sheetData>
      <sheetData sheetId="1196">
        <row r="2">
          <cell r="A2" t="str">
            <v>Complete</v>
          </cell>
        </row>
      </sheetData>
      <sheetData sheetId="1197">
        <row r="2">
          <cell r="A2">
            <v>43462</v>
          </cell>
        </row>
      </sheetData>
      <sheetData sheetId="1198">
        <row r="2">
          <cell r="A2">
            <v>43462</v>
          </cell>
        </row>
      </sheetData>
      <sheetData sheetId="1199">
        <row r="2">
          <cell r="A2" t="str">
            <v>Complete</v>
          </cell>
        </row>
      </sheetData>
      <sheetData sheetId="1200">
        <row r="2">
          <cell r="A2">
            <v>43462</v>
          </cell>
        </row>
      </sheetData>
      <sheetData sheetId="1201">
        <row r="2">
          <cell r="A2">
            <v>43462</v>
          </cell>
        </row>
      </sheetData>
      <sheetData sheetId="1202">
        <row r="2">
          <cell r="A2" t="str">
            <v>Complete</v>
          </cell>
        </row>
      </sheetData>
      <sheetData sheetId="1203">
        <row r="2">
          <cell r="A2" t="str">
            <v>Complete</v>
          </cell>
        </row>
      </sheetData>
      <sheetData sheetId="1204">
        <row r="2">
          <cell r="A2">
            <v>43462</v>
          </cell>
        </row>
      </sheetData>
      <sheetData sheetId="1205">
        <row r="2">
          <cell r="A2" t="str">
            <v>Complete</v>
          </cell>
        </row>
      </sheetData>
      <sheetData sheetId="1206">
        <row r="2">
          <cell r="A2">
            <v>43462</v>
          </cell>
        </row>
      </sheetData>
      <sheetData sheetId="1207">
        <row r="2">
          <cell r="A2" t="str">
            <v>Complete</v>
          </cell>
        </row>
      </sheetData>
      <sheetData sheetId="1208">
        <row r="2">
          <cell r="A2" t="str">
            <v>Complete</v>
          </cell>
        </row>
      </sheetData>
      <sheetData sheetId="1209">
        <row r="2">
          <cell r="A2">
            <v>43462</v>
          </cell>
        </row>
      </sheetData>
      <sheetData sheetId="1210">
        <row r="2">
          <cell r="A2">
            <v>43462</v>
          </cell>
        </row>
      </sheetData>
      <sheetData sheetId="1211">
        <row r="2">
          <cell r="A2" t="str">
            <v>Complete</v>
          </cell>
        </row>
      </sheetData>
      <sheetData sheetId="1212">
        <row r="2">
          <cell r="A2">
            <v>43462</v>
          </cell>
        </row>
      </sheetData>
      <sheetData sheetId="1213">
        <row r="2">
          <cell r="A2">
            <v>43462</v>
          </cell>
        </row>
      </sheetData>
      <sheetData sheetId="1214">
        <row r="2">
          <cell r="A2" t="str">
            <v>Complete</v>
          </cell>
        </row>
      </sheetData>
      <sheetData sheetId="1215">
        <row r="2">
          <cell r="A2" t="str">
            <v>Complete</v>
          </cell>
        </row>
      </sheetData>
      <sheetData sheetId="1216">
        <row r="2">
          <cell r="A2">
            <v>43462</v>
          </cell>
        </row>
      </sheetData>
      <sheetData sheetId="1217">
        <row r="2">
          <cell r="A2" t="str">
            <v>Complete</v>
          </cell>
        </row>
      </sheetData>
      <sheetData sheetId="1218">
        <row r="2">
          <cell r="A2">
            <v>43462</v>
          </cell>
        </row>
      </sheetData>
      <sheetData sheetId="1219">
        <row r="2">
          <cell r="A2" t="str">
            <v>Complete</v>
          </cell>
        </row>
      </sheetData>
      <sheetData sheetId="1220">
        <row r="2">
          <cell r="A2" t="str">
            <v>Complete</v>
          </cell>
        </row>
      </sheetData>
      <sheetData sheetId="1221">
        <row r="2">
          <cell r="A2">
            <v>43462</v>
          </cell>
        </row>
      </sheetData>
      <sheetData sheetId="1222">
        <row r="2">
          <cell r="A2">
            <v>43462</v>
          </cell>
        </row>
      </sheetData>
      <sheetData sheetId="1223">
        <row r="2">
          <cell r="A2" t="str">
            <v>Complete</v>
          </cell>
        </row>
      </sheetData>
      <sheetData sheetId="1224">
        <row r="2">
          <cell r="A2">
            <v>43462</v>
          </cell>
        </row>
      </sheetData>
      <sheetData sheetId="1225">
        <row r="2">
          <cell r="A2">
            <v>43462</v>
          </cell>
        </row>
      </sheetData>
      <sheetData sheetId="1226">
        <row r="2">
          <cell r="A2" t="str">
            <v>Complete</v>
          </cell>
        </row>
      </sheetData>
      <sheetData sheetId="1227">
        <row r="2">
          <cell r="A2" t="str">
            <v>Complete</v>
          </cell>
        </row>
      </sheetData>
      <sheetData sheetId="1228">
        <row r="2">
          <cell r="A2">
            <v>43462</v>
          </cell>
        </row>
      </sheetData>
      <sheetData sheetId="1229">
        <row r="2">
          <cell r="A2" t="str">
            <v>Complete</v>
          </cell>
        </row>
      </sheetData>
      <sheetData sheetId="1230">
        <row r="2">
          <cell r="A2">
            <v>43462</v>
          </cell>
        </row>
      </sheetData>
      <sheetData sheetId="1231">
        <row r="2">
          <cell r="A2" t="str">
            <v>Complete</v>
          </cell>
        </row>
      </sheetData>
      <sheetData sheetId="1232">
        <row r="2">
          <cell r="A2" t="str">
            <v>Complete</v>
          </cell>
        </row>
      </sheetData>
      <sheetData sheetId="1233">
        <row r="2">
          <cell r="A2">
            <v>43462</v>
          </cell>
        </row>
      </sheetData>
      <sheetData sheetId="1234">
        <row r="2">
          <cell r="A2">
            <v>43462</v>
          </cell>
        </row>
      </sheetData>
      <sheetData sheetId="1235">
        <row r="2">
          <cell r="A2" t="str">
            <v>Complete</v>
          </cell>
        </row>
      </sheetData>
      <sheetData sheetId="1236">
        <row r="2">
          <cell r="A2">
            <v>43462</v>
          </cell>
        </row>
      </sheetData>
      <sheetData sheetId="1237">
        <row r="2">
          <cell r="A2">
            <v>43462</v>
          </cell>
        </row>
      </sheetData>
      <sheetData sheetId="1238">
        <row r="2">
          <cell r="A2" t="str">
            <v>Complete</v>
          </cell>
        </row>
      </sheetData>
      <sheetData sheetId="1239">
        <row r="2">
          <cell r="A2" t="str">
            <v>Complete</v>
          </cell>
        </row>
      </sheetData>
      <sheetData sheetId="1240">
        <row r="2">
          <cell r="A2">
            <v>43462</v>
          </cell>
        </row>
      </sheetData>
      <sheetData sheetId="1241">
        <row r="2">
          <cell r="A2" t="str">
            <v>Complete</v>
          </cell>
        </row>
      </sheetData>
      <sheetData sheetId="1242">
        <row r="2">
          <cell r="A2">
            <v>43462</v>
          </cell>
        </row>
      </sheetData>
      <sheetData sheetId="1243">
        <row r="2">
          <cell r="A2" t="str">
            <v>Complete</v>
          </cell>
        </row>
      </sheetData>
      <sheetData sheetId="1244">
        <row r="2">
          <cell r="A2" t="str">
            <v>Complete</v>
          </cell>
        </row>
      </sheetData>
      <sheetData sheetId="1245">
        <row r="2">
          <cell r="A2">
            <v>43462</v>
          </cell>
        </row>
      </sheetData>
      <sheetData sheetId="1246">
        <row r="2">
          <cell r="A2">
            <v>43462</v>
          </cell>
        </row>
      </sheetData>
      <sheetData sheetId="1247">
        <row r="2">
          <cell r="A2" t="str">
            <v>Complete</v>
          </cell>
        </row>
      </sheetData>
      <sheetData sheetId="1248">
        <row r="2">
          <cell r="A2">
            <v>43462</v>
          </cell>
        </row>
      </sheetData>
      <sheetData sheetId="1249">
        <row r="2">
          <cell r="A2">
            <v>43462</v>
          </cell>
        </row>
      </sheetData>
      <sheetData sheetId="1250">
        <row r="2">
          <cell r="A2" t="str">
            <v>Complete</v>
          </cell>
        </row>
      </sheetData>
      <sheetData sheetId="1251">
        <row r="2">
          <cell r="A2" t="str">
            <v>Complete</v>
          </cell>
        </row>
      </sheetData>
      <sheetData sheetId="1252">
        <row r="2">
          <cell r="A2">
            <v>43462</v>
          </cell>
        </row>
      </sheetData>
      <sheetData sheetId="1253">
        <row r="2">
          <cell r="A2" t="str">
            <v>Complete</v>
          </cell>
        </row>
      </sheetData>
      <sheetData sheetId="1254">
        <row r="2">
          <cell r="A2">
            <v>43462</v>
          </cell>
        </row>
      </sheetData>
      <sheetData sheetId="1255">
        <row r="2">
          <cell r="A2" t="str">
            <v>Complete</v>
          </cell>
        </row>
      </sheetData>
      <sheetData sheetId="1256">
        <row r="2">
          <cell r="A2" t="str">
            <v>Complete</v>
          </cell>
        </row>
      </sheetData>
      <sheetData sheetId="1257">
        <row r="2">
          <cell r="A2">
            <v>43462</v>
          </cell>
        </row>
      </sheetData>
      <sheetData sheetId="1258">
        <row r="2">
          <cell r="A2">
            <v>43462</v>
          </cell>
        </row>
      </sheetData>
      <sheetData sheetId="1259">
        <row r="2">
          <cell r="A2" t="str">
            <v>Complete</v>
          </cell>
        </row>
      </sheetData>
      <sheetData sheetId="1260">
        <row r="2">
          <cell r="A2">
            <v>43462</v>
          </cell>
        </row>
      </sheetData>
      <sheetData sheetId="1261">
        <row r="2">
          <cell r="A2">
            <v>43462</v>
          </cell>
        </row>
      </sheetData>
      <sheetData sheetId="1262">
        <row r="2">
          <cell r="A2" t="str">
            <v>Complete</v>
          </cell>
        </row>
      </sheetData>
      <sheetData sheetId="1263">
        <row r="2">
          <cell r="A2" t="str">
            <v>Complete</v>
          </cell>
        </row>
      </sheetData>
      <sheetData sheetId="1264">
        <row r="2">
          <cell r="A2">
            <v>43462</v>
          </cell>
        </row>
      </sheetData>
      <sheetData sheetId="1265">
        <row r="2">
          <cell r="A2" t="str">
            <v>Complete</v>
          </cell>
        </row>
      </sheetData>
      <sheetData sheetId="1266">
        <row r="2">
          <cell r="A2">
            <v>43462</v>
          </cell>
        </row>
      </sheetData>
      <sheetData sheetId="1267">
        <row r="2">
          <cell r="A2" t="str">
            <v>Complete</v>
          </cell>
        </row>
      </sheetData>
      <sheetData sheetId="1268">
        <row r="2">
          <cell r="A2" t="str">
            <v>Complete</v>
          </cell>
        </row>
      </sheetData>
      <sheetData sheetId="1269">
        <row r="2">
          <cell r="A2">
            <v>43462</v>
          </cell>
        </row>
      </sheetData>
      <sheetData sheetId="1270">
        <row r="2">
          <cell r="A2">
            <v>43462</v>
          </cell>
        </row>
      </sheetData>
      <sheetData sheetId="1271">
        <row r="2">
          <cell r="A2" t="str">
            <v>Complete</v>
          </cell>
        </row>
      </sheetData>
      <sheetData sheetId="1272">
        <row r="2">
          <cell r="A2">
            <v>43462</v>
          </cell>
        </row>
      </sheetData>
      <sheetData sheetId="1273">
        <row r="2">
          <cell r="A2">
            <v>43462</v>
          </cell>
        </row>
      </sheetData>
      <sheetData sheetId="1274">
        <row r="2">
          <cell r="A2" t="str">
            <v>Complete</v>
          </cell>
        </row>
      </sheetData>
      <sheetData sheetId="1275">
        <row r="2">
          <cell r="A2" t="str">
            <v>Complete</v>
          </cell>
        </row>
      </sheetData>
      <sheetData sheetId="1276">
        <row r="2">
          <cell r="A2">
            <v>43462</v>
          </cell>
        </row>
      </sheetData>
      <sheetData sheetId="1277">
        <row r="2">
          <cell r="A2" t="str">
            <v>Complete</v>
          </cell>
        </row>
      </sheetData>
      <sheetData sheetId="1278">
        <row r="2">
          <cell r="A2">
            <v>43462</v>
          </cell>
        </row>
      </sheetData>
      <sheetData sheetId="1279">
        <row r="2">
          <cell r="A2" t="str">
            <v>Complete</v>
          </cell>
        </row>
      </sheetData>
      <sheetData sheetId="1280">
        <row r="2">
          <cell r="A2" t="str">
            <v>Complete</v>
          </cell>
        </row>
      </sheetData>
      <sheetData sheetId="1281">
        <row r="2">
          <cell r="A2">
            <v>43462</v>
          </cell>
        </row>
      </sheetData>
      <sheetData sheetId="1282">
        <row r="2">
          <cell r="A2">
            <v>43462</v>
          </cell>
        </row>
      </sheetData>
      <sheetData sheetId="1283">
        <row r="2">
          <cell r="A2" t="str">
            <v>Complete</v>
          </cell>
        </row>
      </sheetData>
      <sheetData sheetId="1284">
        <row r="2">
          <cell r="A2">
            <v>43462</v>
          </cell>
        </row>
      </sheetData>
      <sheetData sheetId="1285">
        <row r="2">
          <cell r="A2">
            <v>43462</v>
          </cell>
        </row>
      </sheetData>
      <sheetData sheetId="1286">
        <row r="2">
          <cell r="A2" t="str">
            <v>Complete</v>
          </cell>
        </row>
      </sheetData>
      <sheetData sheetId="1287">
        <row r="2">
          <cell r="A2" t="str">
            <v>Complete</v>
          </cell>
        </row>
      </sheetData>
      <sheetData sheetId="1288">
        <row r="2">
          <cell r="A2">
            <v>43462</v>
          </cell>
        </row>
      </sheetData>
      <sheetData sheetId="1289">
        <row r="2">
          <cell r="A2" t="str">
            <v>Complete</v>
          </cell>
        </row>
      </sheetData>
      <sheetData sheetId="1290">
        <row r="2">
          <cell r="A2">
            <v>43462</v>
          </cell>
        </row>
      </sheetData>
      <sheetData sheetId="1291">
        <row r="2">
          <cell r="A2" t="str">
            <v>Complete</v>
          </cell>
        </row>
      </sheetData>
      <sheetData sheetId="1292">
        <row r="2">
          <cell r="A2" t="str">
            <v>Complete</v>
          </cell>
        </row>
      </sheetData>
      <sheetData sheetId="1293">
        <row r="2">
          <cell r="A2">
            <v>43462</v>
          </cell>
        </row>
      </sheetData>
      <sheetData sheetId="1294">
        <row r="2">
          <cell r="A2">
            <v>43462</v>
          </cell>
        </row>
      </sheetData>
      <sheetData sheetId="1295">
        <row r="2">
          <cell r="A2" t="str">
            <v>Complete</v>
          </cell>
        </row>
      </sheetData>
      <sheetData sheetId="1296">
        <row r="2">
          <cell r="A2">
            <v>43462</v>
          </cell>
        </row>
      </sheetData>
      <sheetData sheetId="1297">
        <row r="2">
          <cell r="A2">
            <v>43462</v>
          </cell>
        </row>
      </sheetData>
      <sheetData sheetId="1298">
        <row r="2">
          <cell r="A2" t="str">
            <v>Complete</v>
          </cell>
        </row>
      </sheetData>
      <sheetData sheetId="1299">
        <row r="2">
          <cell r="A2" t="str">
            <v>Complete</v>
          </cell>
        </row>
      </sheetData>
      <sheetData sheetId="1300">
        <row r="2">
          <cell r="A2">
            <v>43462</v>
          </cell>
        </row>
      </sheetData>
      <sheetData sheetId="1301">
        <row r="2">
          <cell r="A2" t="str">
            <v>Complete</v>
          </cell>
        </row>
      </sheetData>
      <sheetData sheetId="1302">
        <row r="2">
          <cell r="A2">
            <v>43462</v>
          </cell>
        </row>
      </sheetData>
      <sheetData sheetId="1303">
        <row r="2">
          <cell r="A2" t="str">
            <v>Complete</v>
          </cell>
        </row>
      </sheetData>
      <sheetData sheetId="1304">
        <row r="2">
          <cell r="A2" t="str">
            <v>Complete</v>
          </cell>
        </row>
      </sheetData>
      <sheetData sheetId="1305">
        <row r="2">
          <cell r="A2">
            <v>43462</v>
          </cell>
        </row>
      </sheetData>
      <sheetData sheetId="1306">
        <row r="2">
          <cell r="A2">
            <v>43462</v>
          </cell>
        </row>
      </sheetData>
      <sheetData sheetId="1307">
        <row r="2">
          <cell r="A2" t="str">
            <v>Complete</v>
          </cell>
        </row>
      </sheetData>
      <sheetData sheetId="1308">
        <row r="2">
          <cell r="A2">
            <v>43462</v>
          </cell>
        </row>
      </sheetData>
      <sheetData sheetId="1309">
        <row r="2">
          <cell r="A2">
            <v>43462</v>
          </cell>
        </row>
      </sheetData>
      <sheetData sheetId="1310">
        <row r="2">
          <cell r="A2" t="str">
            <v>Complete</v>
          </cell>
        </row>
      </sheetData>
      <sheetData sheetId="1311">
        <row r="2">
          <cell r="A2" t="str">
            <v>Complete</v>
          </cell>
        </row>
      </sheetData>
      <sheetData sheetId="1312">
        <row r="2">
          <cell r="A2">
            <v>43462</v>
          </cell>
        </row>
      </sheetData>
      <sheetData sheetId="1313">
        <row r="2">
          <cell r="A2" t="str">
            <v>Complete</v>
          </cell>
        </row>
      </sheetData>
      <sheetData sheetId="1314">
        <row r="2">
          <cell r="A2">
            <v>43462</v>
          </cell>
        </row>
      </sheetData>
      <sheetData sheetId="1315">
        <row r="2">
          <cell r="A2" t="str">
            <v>Complete</v>
          </cell>
        </row>
      </sheetData>
      <sheetData sheetId="1316">
        <row r="2">
          <cell r="A2" t="str">
            <v>Complete</v>
          </cell>
        </row>
      </sheetData>
      <sheetData sheetId="1317">
        <row r="2">
          <cell r="A2">
            <v>43462</v>
          </cell>
        </row>
      </sheetData>
      <sheetData sheetId="1318">
        <row r="2">
          <cell r="A2">
            <v>43462</v>
          </cell>
        </row>
      </sheetData>
      <sheetData sheetId="1319">
        <row r="2">
          <cell r="A2" t="str">
            <v>Complete</v>
          </cell>
        </row>
      </sheetData>
      <sheetData sheetId="1320">
        <row r="2">
          <cell r="A2">
            <v>43462</v>
          </cell>
        </row>
      </sheetData>
      <sheetData sheetId="1321">
        <row r="2">
          <cell r="A2">
            <v>43462</v>
          </cell>
        </row>
      </sheetData>
      <sheetData sheetId="1322">
        <row r="2">
          <cell r="A2" t="str">
            <v>Complete</v>
          </cell>
        </row>
      </sheetData>
      <sheetData sheetId="1323">
        <row r="2">
          <cell r="A2" t="str">
            <v>Complete</v>
          </cell>
        </row>
      </sheetData>
      <sheetData sheetId="1324">
        <row r="2">
          <cell r="A2">
            <v>43462</v>
          </cell>
        </row>
      </sheetData>
      <sheetData sheetId="1325">
        <row r="2">
          <cell r="A2" t="str">
            <v>Complete</v>
          </cell>
        </row>
      </sheetData>
      <sheetData sheetId="1326">
        <row r="2">
          <cell r="A2">
            <v>43462</v>
          </cell>
        </row>
      </sheetData>
      <sheetData sheetId="1327">
        <row r="2">
          <cell r="A2" t="str">
            <v>Complete</v>
          </cell>
        </row>
      </sheetData>
      <sheetData sheetId="1328">
        <row r="2">
          <cell r="A2" t="str">
            <v>Complete</v>
          </cell>
        </row>
      </sheetData>
      <sheetData sheetId="1329">
        <row r="2">
          <cell r="A2">
            <v>43462</v>
          </cell>
        </row>
      </sheetData>
      <sheetData sheetId="1330">
        <row r="2">
          <cell r="A2">
            <v>43462</v>
          </cell>
        </row>
      </sheetData>
      <sheetData sheetId="1331">
        <row r="2">
          <cell r="A2" t="str">
            <v>Complete</v>
          </cell>
        </row>
      </sheetData>
      <sheetData sheetId="1332">
        <row r="2">
          <cell r="A2">
            <v>43462</v>
          </cell>
        </row>
      </sheetData>
      <sheetData sheetId="1333">
        <row r="2">
          <cell r="A2" t="str">
            <v>Complete</v>
          </cell>
        </row>
      </sheetData>
      <sheetData sheetId="1334">
        <row r="2">
          <cell r="A2" t="str">
            <v>Complete</v>
          </cell>
        </row>
      </sheetData>
      <sheetData sheetId="1335">
        <row r="2">
          <cell r="A2" t="str">
            <v>Complete</v>
          </cell>
        </row>
      </sheetData>
      <sheetData sheetId="1336">
        <row r="2">
          <cell r="A2">
            <v>43462</v>
          </cell>
        </row>
      </sheetData>
      <sheetData sheetId="1337">
        <row r="2">
          <cell r="A2" t="str">
            <v>Complete</v>
          </cell>
        </row>
      </sheetData>
      <sheetData sheetId="1338">
        <row r="2">
          <cell r="A2">
            <v>43462</v>
          </cell>
        </row>
      </sheetData>
      <sheetData sheetId="1339">
        <row r="2">
          <cell r="A2" t="str">
            <v>Complete</v>
          </cell>
        </row>
      </sheetData>
      <sheetData sheetId="1340">
        <row r="2">
          <cell r="A2" t="str">
            <v>Complete</v>
          </cell>
        </row>
      </sheetData>
      <sheetData sheetId="1341">
        <row r="2">
          <cell r="A2">
            <v>43462</v>
          </cell>
        </row>
      </sheetData>
      <sheetData sheetId="1342">
        <row r="2">
          <cell r="A2">
            <v>43462</v>
          </cell>
        </row>
      </sheetData>
      <sheetData sheetId="1343">
        <row r="2">
          <cell r="A2" t="str">
            <v>Complete</v>
          </cell>
        </row>
      </sheetData>
      <sheetData sheetId="1344">
        <row r="2">
          <cell r="A2">
            <v>43462</v>
          </cell>
        </row>
      </sheetData>
      <sheetData sheetId="1345">
        <row r="2">
          <cell r="A2" t="str">
            <v>Complete</v>
          </cell>
        </row>
      </sheetData>
      <sheetData sheetId="1346">
        <row r="2">
          <cell r="A2" t="str">
            <v>Complete</v>
          </cell>
        </row>
      </sheetData>
      <sheetData sheetId="1347">
        <row r="2">
          <cell r="A2" t="str">
            <v>Complete</v>
          </cell>
        </row>
      </sheetData>
      <sheetData sheetId="1348">
        <row r="2">
          <cell r="A2" t="str">
            <v>Complete</v>
          </cell>
        </row>
      </sheetData>
      <sheetData sheetId="1349">
        <row r="2">
          <cell r="A2" t="str">
            <v>Complete</v>
          </cell>
        </row>
      </sheetData>
      <sheetData sheetId="1350">
        <row r="2">
          <cell r="A2">
            <v>43462</v>
          </cell>
        </row>
      </sheetData>
      <sheetData sheetId="1351">
        <row r="2">
          <cell r="A2" t="str">
            <v>Complete</v>
          </cell>
        </row>
      </sheetData>
      <sheetData sheetId="1352">
        <row r="2">
          <cell r="A2" t="str">
            <v>Complete</v>
          </cell>
        </row>
      </sheetData>
      <sheetData sheetId="1353">
        <row r="2">
          <cell r="A2">
            <v>43462</v>
          </cell>
        </row>
      </sheetData>
      <sheetData sheetId="1354">
        <row r="2">
          <cell r="A2">
            <v>43462</v>
          </cell>
        </row>
      </sheetData>
      <sheetData sheetId="1355">
        <row r="2">
          <cell r="A2" t="str">
            <v>Complete</v>
          </cell>
        </row>
      </sheetData>
      <sheetData sheetId="1356">
        <row r="2">
          <cell r="A2">
            <v>43462</v>
          </cell>
        </row>
      </sheetData>
      <sheetData sheetId="1357">
        <row r="2">
          <cell r="A2" t="str">
            <v>Complete</v>
          </cell>
        </row>
      </sheetData>
      <sheetData sheetId="1358">
        <row r="2">
          <cell r="A2" t="str">
            <v>Complete</v>
          </cell>
        </row>
      </sheetData>
      <sheetData sheetId="1359">
        <row r="2">
          <cell r="A2" t="str">
            <v>Complete</v>
          </cell>
        </row>
      </sheetData>
      <sheetData sheetId="1360">
        <row r="2">
          <cell r="A2" t="str">
            <v>Complete</v>
          </cell>
        </row>
      </sheetData>
      <sheetData sheetId="1361">
        <row r="2">
          <cell r="A2" t="str">
            <v>Complete</v>
          </cell>
        </row>
      </sheetData>
      <sheetData sheetId="1362">
        <row r="2">
          <cell r="A2">
            <v>43462</v>
          </cell>
        </row>
      </sheetData>
      <sheetData sheetId="1363">
        <row r="2">
          <cell r="A2" t="str">
            <v>Complete</v>
          </cell>
        </row>
      </sheetData>
      <sheetData sheetId="1364">
        <row r="2">
          <cell r="A2" t="str">
            <v>Complete</v>
          </cell>
        </row>
      </sheetData>
      <sheetData sheetId="1365">
        <row r="2">
          <cell r="A2">
            <v>43462</v>
          </cell>
        </row>
      </sheetData>
      <sheetData sheetId="1366">
        <row r="2">
          <cell r="A2">
            <v>43462</v>
          </cell>
        </row>
      </sheetData>
      <sheetData sheetId="1367">
        <row r="2">
          <cell r="A2" t="str">
            <v>Complete</v>
          </cell>
        </row>
      </sheetData>
      <sheetData sheetId="1368">
        <row r="2">
          <cell r="A2">
            <v>43462</v>
          </cell>
        </row>
      </sheetData>
      <sheetData sheetId="1369">
        <row r="2">
          <cell r="A2" t="str">
            <v>Complete</v>
          </cell>
        </row>
      </sheetData>
      <sheetData sheetId="1370">
        <row r="2">
          <cell r="A2" t="str">
            <v>Complete</v>
          </cell>
        </row>
      </sheetData>
      <sheetData sheetId="1371">
        <row r="2">
          <cell r="A2" t="str">
            <v>Complete</v>
          </cell>
        </row>
      </sheetData>
      <sheetData sheetId="1372">
        <row r="2">
          <cell r="A2" t="str">
            <v>Complete</v>
          </cell>
        </row>
      </sheetData>
      <sheetData sheetId="1373">
        <row r="2">
          <cell r="A2" t="str">
            <v>Complete</v>
          </cell>
        </row>
      </sheetData>
      <sheetData sheetId="1374">
        <row r="2">
          <cell r="A2" t="str">
            <v>Complete</v>
          </cell>
        </row>
      </sheetData>
      <sheetData sheetId="1375">
        <row r="2">
          <cell r="A2">
            <v>43462</v>
          </cell>
        </row>
      </sheetData>
      <sheetData sheetId="1376">
        <row r="2">
          <cell r="A2" t="str">
            <v>Complete</v>
          </cell>
        </row>
      </sheetData>
      <sheetData sheetId="1377">
        <row r="2">
          <cell r="A2">
            <v>43462</v>
          </cell>
        </row>
      </sheetData>
      <sheetData sheetId="1378">
        <row r="2">
          <cell r="A2">
            <v>43462</v>
          </cell>
        </row>
      </sheetData>
      <sheetData sheetId="1379">
        <row r="2">
          <cell r="A2" t="str">
            <v>Complete</v>
          </cell>
        </row>
      </sheetData>
      <sheetData sheetId="1380">
        <row r="2">
          <cell r="A2">
            <v>43462</v>
          </cell>
        </row>
      </sheetData>
      <sheetData sheetId="1381">
        <row r="2">
          <cell r="A2" t="str">
            <v>Complete</v>
          </cell>
        </row>
      </sheetData>
      <sheetData sheetId="1382">
        <row r="2">
          <cell r="A2" t="str">
            <v>Complete</v>
          </cell>
        </row>
      </sheetData>
      <sheetData sheetId="1383">
        <row r="2">
          <cell r="A2" t="str">
            <v>Complete</v>
          </cell>
        </row>
      </sheetData>
      <sheetData sheetId="1384">
        <row r="2">
          <cell r="A2" t="str">
            <v>Complete</v>
          </cell>
        </row>
      </sheetData>
      <sheetData sheetId="1385">
        <row r="2">
          <cell r="A2" t="str">
            <v>Complete</v>
          </cell>
        </row>
      </sheetData>
      <sheetData sheetId="1386">
        <row r="2">
          <cell r="A2" t="str">
            <v>Complete</v>
          </cell>
        </row>
      </sheetData>
      <sheetData sheetId="1387">
        <row r="2">
          <cell r="A2">
            <v>43462</v>
          </cell>
        </row>
      </sheetData>
      <sheetData sheetId="1388">
        <row r="2">
          <cell r="A2" t="str">
            <v>Complete</v>
          </cell>
        </row>
      </sheetData>
      <sheetData sheetId="1389">
        <row r="2">
          <cell r="A2">
            <v>43462</v>
          </cell>
        </row>
      </sheetData>
      <sheetData sheetId="1390">
        <row r="2">
          <cell r="A2">
            <v>43462</v>
          </cell>
        </row>
      </sheetData>
      <sheetData sheetId="1391">
        <row r="2">
          <cell r="A2" t="str">
            <v>Complete</v>
          </cell>
        </row>
      </sheetData>
      <sheetData sheetId="1392">
        <row r="2">
          <cell r="A2">
            <v>43462</v>
          </cell>
        </row>
      </sheetData>
      <sheetData sheetId="1393">
        <row r="2">
          <cell r="A2" t="str">
            <v>Complete</v>
          </cell>
        </row>
      </sheetData>
      <sheetData sheetId="1394">
        <row r="2">
          <cell r="A2" t="str">
            <v>Complete</v>
          </cell>
        </row>
      </sheetData>
      <sheetData sheetId="1395">
        <row r="2">
          <cell r="A2" t="str">
            <v>Complete</v>
          </cell>
        </row>
      </sheetData>
      <sheetData sheetId="1396">
        <row r="2">
          <cell r="A2" t="str">
            <v>Complete</v>
          </cell>
        </row>
      </sheetData>
      <sheetData sheetId="1397">
        <row r="2">
          <cell r="A2" t="str">
            <v>Complete</v>
          </cell>
        </row>
      </sheetData>
      <sheetData sheetId="1398">
        <row r="2">
          <cell r="A2" t="str">
            <v>Complete</v>
          </cell>
        </row>
      </sheetData>
      <sheetData sheetId="1399">
        <row r="2">
          <cell r="A2">
            <v>43462</v>
          </cell>
        </row>
      </sheetData>
      <sheetData sheetId="1400">
        <row r="2">
          <cell r="A2" t="str">
            <v>Complete</v>
          </cell>
        </row>
      </sheetData>
      <sheetData sheetId="1401">
        <row r="2">
          <cell r="A2">
            <v>43462</v>
          </cell>
        </row>
      </sheetData>
      <sheetData sheetId="1402">
        <row r="2">
          <cell r="A2">
            <v>43462</v>
          </cell>
        </row>
      </sheetData>
      <sheetData sheetId="1403">
        <row r="2">
          <cell r="A2" t="str">
            <v>Complete</v>
          </cell>
        </row>
      </sheetData>
      <sheetData sheetId="1404">
        <row r="2">
          <cell r="A2">
            <v>43462</v>
          </cell>
        </row>
      </sheetData>
      <sheetData sheetId="1405">
        <row r="2">
          <cell r="A2" t="str">
            <v>Complete</v>
          </cell>
        </row>
      </sheetData>
      <sheetData sheetId="1406">
        <row r="2">
          <cell r="A2" t="str">
            <v>Complete</v>
          </cell>
        </row>
      </sheetData>
      <sheetData sheetId="1407">
        <row r="2">
          <cell r="A2" t="str">
            <v>Complete</v>
          </cell>
        </row>
      </sheetData>
      <sheetData sheetId="1408">
        <row r="2">
          <cell r="A2" t="str">
            <v>Complete</v>
          </cell>
        </row>
      </sheetData>
      <sheetData sheetId="1409">
        <row r="2">
          <cell r="A2" t="str">
            <v>Complete</v>
          </cell>
        </row>
      </sheetData>
      <sheetData sheetId="1410">
        <row r="2">
          <cell r="A2" t="str">
            <v>Complete</v>
          </cell>
        </row>
      </sheetData>
      <sheetData sheetId="1411">
        <row r="2">
          <cell r="A2">
            <v>43462</v>
          </cell>
        </row>
      </sheetData>
      <sheetData sheetId="1412">
        <row r="2">
          <cell r="A2" t="str">
            <v>Complete</v>
          </cell>
        </row>
      </sheetData>
      <sheetData sheetId="1413">
        <row r="2">
          <cell r="A2">
            <v>43462</v>
          </cell>
        </row>
      </sheetData>
      <sheetData sheetId="1414">
        <row r="2">
          <cell r="A2">
            <v>43462</v>
          </cell>
        </row>
      </sheetData>
      <sheetData sheetId="1415">
        <row r="2">
          <cell r="A2" t="str">
            <v>Complete</v>
          </cell>
        </row>
      </sheetData>
      <sheetData sheetId="1416">
        <row r="2">
          <cell r="A2">
            <v>43462</v>
          </cell>
        </row>
      </sheetData>
      <sheetData sheetId="1417">
        <row r="2">
          <cell r="A2" t="str">
            <v>Complete</v>
          </cell>
        </row>
      </sheetData>
      <sheetData sheetId="1418">
        <row r="2">
          <cell r="A2" t="str">
            <v>Complete</v>
          </cell>
        </row>
      </sheetData>
      <sheetData sheetId="1419">
        <row r="2">
          <cell r="A2" t="str">
            <v>Complete</v>
          </cell>
        </row>
      </sheetData>
      <sheetData sheetId="1420">
        <row r="2">
          <cell r="A2" t="str">
            <v>Complete</v>
          </cell>
        </row>
      </sheetData>
      <sheetData sheetId="1421">
        <row r="2">
          <cell r="A2" t="str">
            <v>Complete</v>
          </cell>
        </row>
      </sheetData>
      <sheetData sheetId="1422">
        <row r="2">
          <cell r="A2" t="str">
            <v>Complete</v>
          </cell>
        </row>
      </sheetData>
      <sheetData sheetId="1423">
        <row r="2">
          <cell r="A2">
            <v>43462</v>
          </cell>
        </row>
      </sheetData>
      <sheetData sheetId="1424">
        <row r="2">
          <cell r="A2" t="str">
            <v>Complete</v>
          </cell>
        </row>
      </sheetData>
      <sheetData sheetId="1425">
        <row r="2">
          <cell r="A2">
            <v>43462</v>
          </cell>
        </row>
      </sheetData>
      <sheetData sheetId="1426">
        <row r="2">
          <cell r="A2">
            <v>43462</v>
          </cell>
        </row>
      </sheetData>
      <sheetData sheetId="1427">
        <row r="2">
          <cell r="A2" t="str">
            <v>Complete</v>
          </cell>
        </row>
      </sheetData>
      <sheetData sheetId="1428">
        <row r="2">
          <cell r="A2">
            <v>43462</v>
          </cell>
        </row>
      </sheetData>
      <sheetData sheetId="1429">
        <row r="2">
          <cell r="A2" t="str">
            <v>Complete</v>
          </cell>
        </row>
      </sheetData>
      <sheetData sheetId="1430">
        <row r="2">
          <cell r="A2" t="str">
            <v>Complete</v>
          </cell>
        </row>
      </sheetData>
      <sheetData sheetId="1431">
        <row r="2">
          <cell r="A2" t="str">
            <v>Complete</v>
          </cell>
        </row>
      </sheetData>
      <sheetData sheetId="1432">
        <row r="2">
          <cell r="A2" t="str">
            <v>Complete</v>
          </cell>
        </row>
      </sheetData>
      <sheetData sheetId="1433">
        <row r="2">
          <cell r="A2" t="str">
            <v>Complete</v>
          </cell>
        </row>
      </sheetData>
      <sheetData sheetId="1434">
        <row r="2">
          <cell r="A2" t="str">
            <v>Complete</v>
          </cell>
        </row>
      </sheetData>
      <sheetData sheetId="1435">
        <row r="2">
          <cell r="A2">
            <v>43462</v>
          </cell>
        </row>
      </sheetData>
      <sheetData sheetId="1436">
        <row r="2">
          <cell r="A2" t="str">
            <v>Complete</v>
          </cell>
        </row>
      </sheetData>
      <sheetData sheetId="1437">
        <row r="2">
          <cell r="A2">
            <v>43462</v>
          </cell>
        </row>
      </sheetData>
      <sheetData sheetId="1438">
        <row r="2">
          <cell r="A2">
            <v>43462</v>
          </cell>
        </row>
      </sheetData>
      <sheetData sheetId="1439">
        <row r="2">
          <cell r="A2" t="str">
            <v>Complete</v>
          </cell>
        </row>
      </sheetData>
      <sheetData sheetId="1440">
        <row r="2">
          <cell r="A2">
            <v>43462</v>
          </cell>
        </row>
      </sheetData>
      <sheetData sheetId="1441">
        <row r="2">
          <cell r="A2" t="str">
            <v>Complete</v>
          </cell>
        </row>
      </sheetData>
      <sheetData sheetId="1442">
        <row r="2">
          <cell r="A2" t="str">
            <v>Complete</v>
          </cell>
        </row>
      </sheetData>
      <sheetData sheetId="1443">
        <row r="2">
          <cell r="A2" t="str">
            <v>Complete</v>
          </cell>
        </row>
      </sheetData>
      <sheetData sheetId="1444">
        <row r="2">
          <cell r="A2" t="str">
            <v>Complete</v>
          </cell>
        </row>
      </sheetData>
      <sheetData sheetId="1445">
        <row r="2">
          <cell r="A2" t="str">
            <v>Complete</v>
          </cell>
        </row>
      </sheetData>
      <sheetData sheetId="1446">
        <row r="2">
          <cell r="A2" t="str">
            <v>Complete</v>
          </cell>
        </row>
      </sheetData>
      <sheetData sheetId="1447">
        <row r="2">
          <cell r="A2">
            <v>43462</v>
          </cell>
        </row>
      </sheetData>
      <sheetData sheetId="1448">
        <row r="2">
          <cell r="A2" t="str">
            <v>Complete</v>
          </cell>
        </row>
      </sheetData>
      <sheetData sheetId="1449">
        <row r="2">
          <cell r="A2">
            <v>43462</v>
          </cell>
        </row>
      </sheetData>
      <sheetData sheetId="1450">
        <row r="2">
          <cell r="A2">
            <v>43462</v>
          </cell>
        </row>
      </sheetData>
      <sheetData sheetId="1451">
        <row r="2">
          <cell r="A2" t="str">
            <v>Complete</v>
          </cell>
        </row>
      </sheetData>
      <sheetData sheetId="1452">
        <row r="2">
          <cell r="A2">
            <v>43462</v>
          </cell>
        </row>
      </sheetData>
      <sheetData sheetId="1453">
        <row r="2">
          <cell r="A2" t="str">
            <v>Complete</v>
          </cell>
        </row>
      </sheetData>
      <sheetData sheetId="1454">
        <row r="2">
          <cell r="A2" t="str">
            <v>Complete</v>
          </cell>
        </row>
      </sheetData>
      <sheetData sheetId="1455">
        <row r="2">
          <cell r="A2" t="str">
            <v>Complete</v>
          </cell>
        </row>
      </sheetData>
      <sheetData sheetId="1456">
        <row r="2">
          <cell r="A2" t="str">
            <v>Complete</v>
          </cell>
        </row>
      </sheetData>
      <sheetData sheetId="1457">
        <row r="2">
          <cell r="A2" t="str">
            <v>Complete</v>
          </cell>
        </row>
      </sheetData>
      <sheetData sheetId="1458">
        <row r="2">
          <cell r="A2" t="str">
            <v>Complete</v>
          </cell>
        </row>
      </sheetData>
      <sheetData sheetId="1459">
        <row r="2">
          <cell r="A2">
            <v>43462</v>
          </cell>
        </row>
      </sheetData>
      <sheetData sheetId="1460">
        <row r="2">
          <cell r="A2" t="str">
            <v>Complete</v>
          </cell>
        </row>
      </sheetData>
      <sheetData sheetId="1461">
        <row r="2">
          <cell r="A2">
            <v>43462</v>
          </cell>
        </row>
      </sheetData>
      <sheetData sheetId="1462">
        <row r="2">
          <cell r="A2">
            <v>43462</v>
          </cell>
        </row>
      </sheetData>
      <sheetData sheetId="1463">
        <row r="2">
          <cell r="A2" t="str">
            <v>Complete</v>
          </cell>
        </row>
      </sheetData>
      <sheetData sheetId="1464">
        <row r="2">
          <cell r="A2">
            <v>43462</v>
          </cell>
        </row>
      </sheetData>
      <sheetData sheetId="1465">
        <row r="2">
          <cell r="A2" t="str">
            <v>Complete</v>
          </cell>
        </row>
      </sheetData>
      <sheetData sheetId="1466">
        <row r="2">
          <cell r="A2" t="str">
            <v>Complete</v>
          </cell>
        </row>
      </sheetData>
      <sheetData sheetId="1467">
        <row r="2">
          <cell r="A2" t="str">
            <v>Complete</v>
          </cell>
        </row>
      </sheetData>
      <sheetData sheetId="1468">
        <row r="2">
          <cell r="A2" t="str">
            <v>Complete</v>
          </cell>
        </row>
      </sheetData>
      <sheetData sheetId="1469">
        <row r="2">
          <cell r="A2">
            <v>43462</v>
          </cell>
        </row>
      </sheetData>
      <sheetData sheetId="1470">
        <row r="2">
          <cell r="A2" t="str">
            <v>Complete</v>
          </cell>
        </row>
      </sheetData>
      <sheetData sheetId="1471">
        <row r="2">
          <cell r="A2">
            <v>43462</v>
          </cell>
        </row>
      </sheetData>
      <sheetData sheetId="1472">
        <row r="2">
          <cell r="A2" t="str">
            <v>Complete</v>
          </cell>
        </row>
      </sheetData>
      <sheetData sheetId="1473">
        <row r="2">
          <cell r="A2">
            <v>43462</v>
          </cell>
        </row>
      </sheetData>
      <sheetData sheetId="1474">
        <row r="2">
          <cell r="A2">
            <v>43462</v>
          </cell>
        </row>
      </sheetData>
      <sheetData sheetId="1475">
        <row r="2">
          <cell r="A2" t="str">
            <v>Complete</v>
          </cell>
        </row>
      </sheetData>
      <sheetData sheetId="1476">
        <row r="2">
          <cell r="A2">
            <v>43462</v>
          </cell>
        </row>
      </sheetData>
      <sheetData sheetId="1477">
        <row r="2">
          <cell r="A2" t="str">
            <v>Complete</v>
          </cell>
        </row>
      </sheetData>
      <sheetData sheetId="1478">
        <row r="2">
          <cell r="A2" t="str">
            <v>Complete</v>
          </cell>
        </row>
      </sheetData>
      <sheetData sheetId="1479">
        <row r="2">
          <cell r="A2" t="str">
            <v>Complete</v>
          </cell>
        </row>
      </sheetData>
      <sheetData sheetId="1480">
        <row r="2">
          <cell r="A2" t="str">
            <v>Complete</v>
          </cell>
        </row>
      </sheetData>
      <sheetData sheetId="1481">
        <row r="2">
          <cell r="A2">
            <v>43462</v>
          </cell>
        </row>
      </sheetData>
      <sheetData sheetId="1482">
        <row r="2">
          <cell r="A2" t="str">
            <v>Complete</v>
          </cell>
        </row>
      </sheetData>
      <sheetData sheetId="1483">
        <row r="2">
          <cell r="A2">
            <v>43462</v>
          </cell>
        </row>
      </sheetData>
      <sheetData sheetId="1484">
        <row r="2">
          <cell r="A2" t="str">
            <v>Complete</v>
          </cell>
        </row>
      </sheetData>
      <sheetData sheetId="1485">
        <row r="2">
          <cell r="A2">
            <v>43462</v>
          </cell>
        </row>
      </sheetData>
      <sheetData sheetId="1486">
        <row r="2">
          <cell r="A2">
            <v>43462</v>
          </cell>
        </row>
      </sheetData>
      <sheetData sheetId="1487">
        <row r="2">
          <cell r="A2" t="str">
            <v>Complete</v>
          </cell>
        </row>
      </sheetData>
      <sheetData sheetId="1488">
        <row r="2">
          <cell r="A2">
            <v>43462</v>
          </cell>
        </row>
      </sheetData>
      <sheetData sheetId="1489">
        <row r="2">
          <cell r="A2" t="str">
            <v>Complete</v>
          </cell>
        </row>
      </sheetData>
      <sheetData sheetId="1490">
        <row r="2">
          <cell r="A2" t="str">
            <v>Complete</v>
          </cell>
        </row>
      </sheetData>
      <sheetData sheetId="1491">
        <row r="2">
          <cell r="A2" t="str">
            <v>Complete</v>
          </cell>
        </row>
      </sheetData>
      <sheetData sheetId="1492">
        <row r="2">
          <cell r="A2" t="str">
            <v>Complete</v>
          </cell>
        </row>
      </sheetData>
      <sheetData sheetId="1493">
        <row r="2">
          <cell r="A2">
            <v>43462</v>
          </cell>
        </row>
      </sheetData>
      <sheetData sheetId="1494">
        <row r="2">
          <cell r="A2" t="str">
            <v>Complete</v>
          </cell>
        </row>
      </sheetData>
      <sheetData sheetId="1495">
        <row r="2">
          <cell r="A2">
            <v>43462</v>
          </cell>
        </row>
      </sheetData>
      <sheetData sheetId="1496">
        <row r="2">
          <cell r="A2" t="str">
            <v>Complete</v>
          </cell>
        </row>
      </sheetData>
      <sheetData sheetId="1497">
        <row r="2">
          <cell r="A2">
            <v>43462</v>
          </cell>
        </row>
      </sheetData>
      <sheetData sheetId="1498">
        <row r="2">
          <cell r="A2">
            <v>43462</v>
          </cell>
        </row>
      </sheetData>
      <sheetData sheetId="1499">
        <row r="2">
          <cell r="A2" t="str">
            <v>Complete</v>
          </cell>
        </row>
      </sheetData>
      <sheetData sheetId="1500">
        <row r="2">
          <cell r="A2">
            <v>43462</v>
          </cell>
        </row>
      </sheetData>
      <sheetData sheetId="1501">
        <row r="2">
          <cell r="A2" t="str">
            <v>Complete</v>
          </cell>
        </row>
      </sheetData>
      <sheetData sheetId="1502">
        <row r="2">
          <cell r="A2" t="str">
            <v>Complete</v>
          </cell>
        </row>
      </sheetData>
      <sheetData sheetId="1503">
        <row r="2">
          <cell r="A2" t="str">
            <v>Complete</v>
          </cell>
        </row>
      </sheetData>
      <sheetData sheetId="1504">
        <row r="2">
          <cell r="A2" t="str">
            <v>Complete</v>
          </cell>
        </row>
      </sheetData>
      <sheetData sheetId="1505">
        <row r="2">
          <cell r="A2">
            <v>43462</v>
          </cell>
        </row>
      </sheetData>
      <sheetData sheetId="1506">
        <row r="2">
          <cell r="A2" t="str">
            <v>Complete</v>
          </cell>
        </row>
      </sheetData>
      <sheetData sheetId="1507">
        <row r="2">
          <cell r="A2">
            <v>43462</v>
          </cell>
        </row>
      </sheetData>
      <sheetData sheetId="1508">
        <row r="2">
          <cell r="A2" t="str">
            <v>Complete</v>
          </cell>
        </row>
      </sheetData>
      <sheetData sheetId="1509">
        <row r="2">
          <cell r="A2">
            <v>43462</v>
          </cell>
        </row>
      </sheetData>
      <sheetData sheetId="1510">
        <row r="2">
          <cell r="A2">
            <v>43462</v>
          </cell>
        </row>
      </sheetData>
      <sheetData sheetId="1511">
        <row r="2">
          <cell r="A2" t="str">
            <v>Complete</v>
          </cell>
        </row>
      </sheetData>
      <sheetData sheetId="1512">
        <row r="2">
          <cell r="A2">
            <v>43462</v>
          </cell>
        </row>
      </sheetData>
      <sheetData sheetId="1513">
        <row r="2">
          <cell r="A2" t="str">
            <v>Complete</v>
          </cell>
        </row>
      </sheetData>
      <sheetData sheetId="1514">
        <row r="2">
          <cell r="A2" t="str">
            <v>Complete</v>
          </cell>
        </row>
      </sheetData>
      <sheetData sheetId="1515">
        <row r="2">
          <cell r="A2" t="str">
            <v>Complete</v>
          </cell>
        </row>
      </sheetData>
      <sheetData sheetId="1516">
        <row r="2">
          <cell r="A2" t="str">
            <v>Complete</v>
          </cell>
        </row>
      </sheetData>
      <sheetData sheetId="1517">
        <row r="2">
          <cell r="A2">
            <v>43462</v>
          </cell>
        </row>
      </sheetData>
      <sheetData sheetId="1518">
        <row r="2">
          <cell r="A2" t="str">
            <v>Complete</v>
          </cell>
        </row>
      </sheetData>
      <sheetData sheetId="1519">
        <row r="2">
          <cell r="A2">
            <v>43462</v>
          </cell>
        </row>
      </sheetData>
      <sheetData sheetId="1520">
        <row r="2">
          <cell r="A2" t="str">
            <v>Complete</v>
          </cell>
        </row>
      </sheetData>
      <sheetData sheetId="1521">
        <row r="2">
          <cell r="A2">
            <v>43462</v>
          </cell>
        </row>
      </sheetData>
      <sheetData sheetId="1522">
        <row r="2">
          <cell r="A2">
            <v>43462</v>
          </cell>
        </row>
      </sheetData>
      <sheetData sheetId="1523">
        <row r="2">
          <cell r="A2" t="str">
            <v>Complete</v>
          </cell>
        </row>
      </sheetData>
      <sheetData sheetId="1524">
        <row r="2">
          <cell r="A2">
            <v>43462</v>
          </cell>
        </row>
      </sheetData>
      <sheetData sheetId="1525">
        <row r="2">
          <cell r="A2" t="str">
            <v>Complete</v>
          </cell>
        </row>
      </sheetData>
      <sheetData sheetId="1526">
        <row r="2">
          <cell r="A2" t="str">
            <v>Complete</v>
          </cell>
        </row>
      </sheetData>
      <sheetData sheetId="1527">
        <row r="2">
          <cell r="A2" t="str">
            <v>Complete</v>
          </cell>
        </row>
      </sheetData>
      <sheetData sheetId="1528">
        <row r="2">
          <cell r="A2" t="str">
            <v>Complete</v>
          </cell>
        </row>
      </sheetData>
      <sheetData sheetId="1529">
        <row r="2">
          <cell r="A2" t="str">
            <v>Complete</v>
          </cell>
        </row>
      </sheetData>
      <sheetData sheetId="1530">
        <row r="2">
          <cell r="A2" t="str">
            <v>Complete</v>
          </cell>
        </row>
      </sheetData>
      <sheetData sheetId="1531">
        <row r="2">
          <cell r="A2">
            <v>43462</v>
          </cell>
        </row>
      </sheetData>
      <sheetData sheetId="1532">
        <row r="2">
          <cell r="A2" t="str">
            <v>Complete</v>
          </cell>
        </row>
      </sheetData>
      <sheetData sheetId="1533">
        <row r="2">
          <cell r="A2">
            <v>43462</v>
          </cell>
        </row>
      </sheetData>
      <sheetData sheetId="1534">
        <row r="2">
          <cell r="A2">
            <v>43462</v>
          </cell>
        </row>
      </sheetData>
      <sheetData sheetId="1535">
        <row r="2">
          <cell r="A2" t="str">
            <v>Complete</v>
          </cell>
        </row>
      </sheetData>
      <sheetData sheetId="1536">
        <row r="2">
          <cell r="A2">
            <v>43462</v>
          </cell>
        </row>
      </sheetData>
      <sheetData sheetId="1537">
        <row r="2">
          <cell r="A2" t="str">
            <v>Complete</v>
          </cell>
        </row>
      </sheetData>
      <sheetData sheetId="1538">
        <row r="2">
          <cell r="A2" t="str">
            <v>Complete</v>
          </cell>
        </row>
      </sheetData>
      <sheetData sheetId="1539">
        <row r="2">
          <cell r="A2" t="str">
            <v>Complete</v>
          </cell>
        </row>
      </sheetData>
      <sheetData sheetId="1540">
        <row r="2">
          <cell r="A2" t="str">
            <v>Complete</v>
          </cell>
        </row>
      </sheetData>
      <sheetData sheetId="1541">
        <row r="2">
          <cell r="A2" t="str">
            <v>Complete</v>
          </cell>
        </row>
      </sheetData>
      <sheetData sheetId="1542">
        <row r="2">
          <cell r="A2" t="str">
            <v>Complete</v>
          </cell>
        </row>
      </sheetData>
      <sheetData sheetId="1543">
        <row r="2">
          <cell r="A2">
            <v>43462</v>
          </cell>
        </row>
      </sheetData>
      <sheetData sheetId="1544">
        <row r="2">
          <cell r="A2" t="str">
            <v>Complete</v>
          </cell>
        </row>
      </sheetData>
      <sheetData sheetId="1545">
        <row r="2">
          <cell r="A2">
            <v>43462</v>
          </cell>
        </row>
      </sheetData>
      <sheetData sheetId="1546">
        <row r="2">
          <cell r="A2">
            <v>43462</v>
          </cell>
        </row>
      </sheetData>
      <sheetData sheetId="1547">
        <row r="2">
          <cell r="A2" t="str">
            <v>Complete</v>
          </cell>
        </row>
      </sheetData>
      <sheetData sheetId="1548">
        <row r="2">
          <cell r="A2">
            <v>43462</v>
          </cell>
        </row>
      </sheetData>
      <sheetData sheetId="1549">
        <row r="2">
          <cell r="A2" t="str">
            <v>Complete</v>
          </cell>
        </row>
      </sheetData>
      <sheetData sheetId="1550">
        <row r="2">
          <cell r="A2" t="str">
            <v>Complete</v>
          </cell>
        </row>
      </sheetData>
      <sheetData sheetId="1551">
        <row r="2">
          <cell r="A2" t="str">
            <v>Complete</v>
          </cell>
        </row>
      </sheetData>
      <sheetData sheetId="1552">
        <row r="2">
          <cell r="A2" t="str">
            <v>Complete</v>
          </cell>
        </row>
      </sheetData>
      <sheetData sheetId="1553">
        <row r="2">
          <cell r="A2" t="str">
            <v>Complete</v>
          </cell>
        </row>
      </sheetData>
      <sheetData sheetId="1554">
        <row r="2">
          <cell r="A2" t="str">
            <v>Complete</v>
          </cell>
        </row>
      </sheetData>
      <sheetData sheetId="1555">
        <row r="2">
          <cell r="A2">
            <v>43462</v>
          </cell>
        </row>
      </sheetData>
      <sheetData sheetId="1556">
        <row r="2">
          <cell r="A2" t="str">
            <v>Complete</v>
          </cell>
        </row>
      </sheetData>
      <sheetData sheetId="1557">
        <row r="2">
          <cell r="A2">
            <v>43462</v>
          </cell>
        </row>
      </sheetData>
      <sheetData sheetId="1558">
        <row r="2">
          <cell r="A2">
            <v>43462</v>
          </cell>
        </row>
      </sheetData>
      <sheetData sheetId="1559">
        <row r="2">
          <cell r="A2" t="str">
            <v>Complete</v>
          </cell>
        </row>
      </sheetData>
      <sheetData sheetId="1560">
        <row r="2">
          <cell r="A2">
            <v>43462</v>
          </cell>
        </row>
      </sheetData>
      <sheetData sheetId="1561">
        <row r="2">
          <cell r="A2" t="str">
            <v>Complete</v>
          </cell>
        </row>
      </sheetData>
      <sheetData sheetId="1562">
        <row r="2">
          <cell r="A2" t="str">
            <v>Complete</v>
          </cell>
        </row>
      </sheetData>
      <sheetData sheetId="1563">
        <row r="2">
          <cell r="A2" t="str">
            <v>Complete</v>
          </cell>
        </row>
      </sheetData>
      <sheetData sheetId="1564">
        <row r="2">
          <cell r="A2" t="str">
            <v>Complete</v>
          </cell>
        </row>
      </sheetData>
      <sheetData sheetId="1565">
        <row r="2">
          <cell r="A2" t="str">
            <v>Complete</v>
          </cell>
        </row>
      </sheetData>
      <sheetData sheetId="1566">
        <row r="2">
          <cell r="A2" t="str">
            <v>Complete</v>
          </cell>
        </row>
      </sheetData>
      <sheetData sheetId="1567">
        <row r="2">
          <cell r="A2">
            <v>43462</v>
          </cell>
        </row>
      </sheetData>
      <sheetData sheetId="1568">
        <row r="2">
          <cell r="A2" t="str">
            <v>Complete</v>
          </cell>
        </row>
      </sheetData>
      <sheetData sheetId="1569">
        <row r="2">
          <cell r="A2">
            <v>43462</v>
          </cell>
        </row>
      </sheetData>
      <sheetData sheetId="1570">
        <row r="2">
          <cell r="A2">
            <v>43462</v>
          </cell>
        </row>
      </sheetData>
      <sheetData sheetId="1571">
        <row r="2">
          <cell r="A2" t="str">
            <v>Complete</v>
          </cell>
        </row>
      </sheetData>
      <sheetData sheetId="1572">
        <row r="2">
          <cell r="A2">
            <v>43462</v>
          </cell>
        </row>
      </sheetData>
      <sheetData sheetId="1573">
        <row r="2">
          <cell r="A2" t="str">
            <v>Complete</v>
          </cell>
        </row>
      </sheetData>
      <sheetData sheetId="1574">
        <row r="2">
          <cell r="A2" t="str">
            <v>Complete</v>
          </cell>
        </row>
      </sheetData>
      <sheetData sheetId="1575">
        <row r="2">
          <cell r="A2" t="str">
            <v>Complete</v>
          </cell>
        </row>
      </sheetData>
      <sheetData sheetId="1576">
        <row r="2">
          <cell r="A2" t="str">
            <v>Complete</v>
          </cell>
        </row>
      </sheetData>
      <sheetData sheetId="1577">
        <row r="2">
          <cell r="A2" t="str">
            <v>Complete</v>
          </cell>
        </row>
      </sheetData>
      <sheetData sheetId="1578">
        <row r="2">
          <cell r="A2" t="str">
            <v>Complete</v>
          </cell>
        </row>
      </sheetData>
      <sheetData sheetId="1579">
        <row r="2">
          <cell r="A2">
            <v>43462</v>
          </cell>
        </row>
      </sheetData>
      <sheetData sheetId="1580">
        <row r="2">
          <cell r="A2" t="str">
            <v>Complete</v>
          </cell>
        </row>
      </sheetData>
      <sheetData sheetId="1581">
        <row r="2">
          <cell r="A2">
            <v>43462</v>
          </cell>
        </row>
      </sheetData>
      <sheetData sheetId="1582">
        <row r="2">
          <cell r="A2">
            <v>43462</v>
          </cell>
        </row>
      </sheetData>
      <sheetData sheetId="1583">
        <row r="2">
          <cell r="A2" t="str">
            <v>Complete</v>
          </cell>
        </row>
      </sheetData>
      <sheetData sheetId="1584">
        <row r="2">
          <cell r="A2">
            <v>43462</v>
          </cell>
        </row>
      </sheetData>
      <sheetData sheetId="1585">
        <row r="2">
          <cell r="A2" t="str">
            <v>Complete</v>
          </cell>
        </row>
      </sheetData>
      <sheetData sheetId="1586">
        <row r="2">
          <cell r="A2" t="str">
            <v>Complete</v>
          </cell>
        </row>
      </sheetData>
      <sheetData sheetId="1587">
        <row r="2">
          <cell r="A2" t="str">
            <v>Complete</v>
          </cell>
        </row>
      </sheetData>
      <sheetData sheetId="1588">
        <row r="2">
          <cell r="A2" t="str">
            <v>Complete</v>
          </cell>
        </row>
      </sheetData>
      <sheetData sheetId="1589">
        <row r="2">
          <cell r="A2" t="str">
            <v>Complete</v>
          </cell>
        </row>
      </sheetData>
      <sheetData sheetId="1590">
        <row r="2">
          <cell r="A2" t="str">
            <v>Complete</v>
          </cell>
        </row>
      </sheetData>
      <sheetData sheetId="1591">
        <row r="2">
          <cell r="A2">
            <v>43462</v>
          </cell>
        </row>
      </sheetData>
      <sheetData sheetId="1592">
        <row r="2">
          <cell r="A2" t="str">
            <v>Complete</v>
          </cell>
        </row>
      </sheetData>
      <sheetData sheetId="1593">
        <row r="2">
          <cell r="A2">
            <v>43462</v>
          </cell>
        </row>
      </sheetData>
      <sheetData sheetId="1594">
        <row r="2">
          <cell r="A2">
            <v>43462</v>
          </cell>
        </row>
      </sheetData>
      <sheetData sheetId="1595">
        <row r="2">
          <cell r="A2" t="str">
            <v>Complete</v>
          </cell>
        </row>
      </sheetData>
      <sheetData sheetId="1596">
        <row r="2">
          <cell r="A2">
            <v>43462</v>
          </cell>
        </row>
      </sheetData>
      <sheetData sheetId="1597">
        <row r="2">
          <cell r="A2" t="str">
            <v>Complete</v>
          </cell>
        </row>
      </sheetData>
      <sheetData sheetId="1598">
        <row r="2">
          <cell r="A2" t="str">
            <v>Complete</v>
          </cell>
        </row>
      </sheetData>
      <sheetData sheetId="1599">
        <row r="2">
          <cell r="A2" t="str">
            <v>Complete</v>
          </cell>
        </row>
      </sheetData>
      <sheetData sheetId="1600">
        <row r="2">
          <cell r="A2" t="str">
            <v>Complete</v>
          </cell>
        </row>
      </sheetData>
      <sheetData sheetId="1601">
        <row r="2">
          <cell r="A2" t="str">
            <v>Complete</v>
          </cell>
        </row>
      </sheetData>
      <sheetData sheetId="1602">
        <row r="2">
          <cell r="A2" t="str">
            <v>Complete</v>
          </cell>
        </row>
      </sheetData>
      <sheetData sheetId="1603">
        <row r="2">
          <cell r="A2">
            <v>43462</v>
          </cell>
        </row>
      </sheetData>
      <sheetData sheetId="1604">
        <row r="2">
          <cell r="A2" t="str">
            <v>Complete</v>
          </cell>
        </row>
      </sheetData>
      <sheetData sheetId="1605">
        <row r="2">
          <cell r="A2">
            <v>43462</v>
          </cell>
        </row>
      </sheetData>
      <sheetData sheetId="1606">
        <row r="2">
          <cell r="A2">
            <v>43462</v>
          </cell>
        </row>
      </sheetData>
      <sheetData sheetId="1607">
        <row r="2">
          <cell r="A2" t="str">
            <v>Complete</v>
          </cell>
        </row>
      </sheetData>
      <sheetData sheetId="1608">
        <row r="2">
          <cell r="A2">
            <v>43462</v>
          </cell>
        </row>
      </sheetData>
      <sheetData sheetId="1609">
        <row r="2">
          <cell r="A2" t="str">
            <v>Complete</v>
          </cell>
        </row>
      </sheetData>
      <sheetData sheetId="1610">
        <row r="2">
          <cell r="A2" t="str">
            <v>Complete</v>
          </cell>
        </row>
      </sheetData>
      <sheetData sheetId="1611">
        <row r="2">
          <cell r="A2" t="str">
            <v>Complete</v>
          </cell>
        </row>
      </sheetData>
      <sheetData sheetId="1612">
        <row r="2">
          <cell r="A2" t="str">
            <v>Complete</v>
          </cell>
        </row>
      </sheetData>
      <sheetData sheetId="1613">
        <row r="2">
          <cell r="A2" t="str">
            <v>Complete</v>
          </cell>
        </row>
      </sheetData>
      <sheetData sheetId="1614">
        <row r="2">
          <cell r="A2" t="str">
            <v>Complete</v>
          </cell>
        </row>
      </sheetData>
      <sheetData sheetId="1615">
        <row r="2">
          <cell r="A2">
            <v>43462</v>
          </cell>
        </row>
      </sheetData>
      <sheetData sheetId="1616">
        <row r="2">
          <cell r="A2" t="str">
            <v>Complete</v>
          </cell>
        </row>
      </sheetData>
      <sheetData sheetId="1617">
        <row r="2">
          <cell r="A2">
            <v>43462</v>
          </cell>
        </row>
      </sheetData>
      <sheetData sheetId="1618">
        <row r="2">
          <cell r="A2">
            <v>43462</v>
          </cell>
        </row>
      </sheetData>
      <sheetData sheetId="1619">
        <row r="2">
          <cell r="A2" t="str">
            <v>Complete</v>
          </cell>
        </row>
      </sheetData>
      <sheetData sheetId="1620">
        <row r="2">
          <cell r="A2">
            <v>43462</v>
          </cell>
        </row>
      </sheetData>
      <sheetData sheetId="1621">
        <row r="2">
          <cell r="A2" t="str">
            <v>Complete</v>
          </cell>
        </row>
      </sheetData>
      <sheetData sheetId="1622">
        <row r="2">
          <cell r="A2" t="str">
            <v>Complete</v>
          </cell>
        </row>
      </sheetData>
      <sheetData sheetId="1623">
        <row r="2">
          <cell r="A2" t="str">
            <v>Complete</v>
          </cell>
        </row>
      </sheetData>
      <sheetData sheetId="1624">
        <row r="2">
          <cell r="A2" t="str">
            <v>Complete</v>
          </cell>
        </row>
      </sheetData>
      <sheetData sheetId="1625">
        <row r="2">
          <cell r="A2" t="str">
            <v>Complete</v>
          </cell>
        </row>
      </sheetData>
      <sheetData sheetId="1626">
        <row r="2">
          <cell r="A2" t="str">
            <v>Complete</v>
          </cell>
        </row>
      </sheetData>
      <sheetData sheetId="1627">
        <row r="2">
          <cell r="A2">
            <v>43462</v>
          </cell>
        </row>
      </sheetData>
      <sheetData sheetId="1628">
        <row r="2">
          <cell r="A2" t="str">
            <v>Complete</v>
          </cell>
        </row>
      </sheetData>
      <sheetData sheetId="1629">
        <row r="2">
          <cell r="A2">
            <v>43462</v>
          </cell>
        </row>
      </sheetData>
      <sheetData sheetId="1630">
        <row r="2">
          <cell r="A2">
            <v>43462</v>
          </cell>
        </row>
      </sheetData>
      <sheetData sheetId="1631">
        <row r="2">
          <cell r="A2" t="str">
            <v>Complete</v>
          </cell>
        </row>
      </sheetData>
      <sheetData sheetId="1632">
        <row r="2">
          <cell r="A2">
            <v>43462</v>
          </cell>
        </row>
      </sheetData>
      <sheetData sheetId="1633">
        <row r="2">
          <cell r="A2" t="str">
            <v>Complete</v>
          </cell>
        </row>
      </sheetData>
      <sheetData sheetId="1634">
        <row r="2">
          <cell r="A2" t="str">
            <v>Complete</v>
          </cell>
        </row>
      </sheetData>
      <sheetData sheetId="1635">
        <row r="2">
          <cell r="A2" t="str">
            <v>Complete</v>
          </cell>
        </row>
      </sheetData>
      <sheetData sheetId="1636">
        <row r="2">
          <cell r="A2" t="str">
            <v>Complete</v>
          </cell>
        </row>
      </sheetData>
      <sheetData sheetId="1637">
        <row r="2">
          <cell r="A2" t="str">
            <v>Complete</v>
          </cell>
        </row>
      </sheetData>
      <sheetData sheetId="1638">
        <row r="2">
          <cell r="A2" t="str">
            <v>Complete</v>
          </cell>
        </row>
      </sheetData>
      <sheetData sheetId="1639">
        <row r="2">
          <cell r="A2">
            <v>43462</v>
          </cell>
        </row>
      </sheetData>
      <sheetData sheetId="1640">
        <row r="2">
          <cell r="A2" t="str">
            <v>Complete</v>
          </cell>
        </row>
      </sheetData>
      <sheetData sheetId="1641">
        <row r="2">
          <cell r="A2">
            <v>43462</v>
          </cell>
        </row>
      </sheetData>
      <sheetData sheetId="1642">
        <row r="2">
          <cell r="A2">
            <v>43462</v>
          </cell>
        </row>
      </sheetData>
      <sheetData sheetId="1643">
        <row r="2">
          <cell r="A2" t="str">
            <v>Complete</v>
          </cell>
        </row>
      </sheetData>
      <sheetData sheetId="1644">
        <row r="2">
          <cell r="A2">
            <v>43462</v>
          </cell>
        </row>
      </sheetData>
      <sheetData sheetId="1645">
        <row r="2">
          <cell r="A2" t="str">
            <v>Complete</v>
          </cell>
        </row>
      </sheetData>
      <sheetData sheetId="1646">
        <row r="2">
          <cell r="A2" t="str">
            <v>Complete</v>
          </cell>
        </row>
      </sheetData>
      <sheetData sheetId="1647">
        <row r="2">
          <cell r="A2" t="str">
            <v>Complete</v>
          </cell>
        </row>
      </sheetData>
      <sheetData sheetId="1648">
        <row r="2">
          <cell r="A2" t="str">
            <v>Complete</v>
          </cell>
        </row>
      </sheetData>
      <sheetData sheetId="1649">
        <row r="2">
          <cell r="A2" t="str">
            <v>Complete</v>
          </cell>
        </row>
      </sheetData>
      <sheetData sheetId="1650">
        <row r="2">
          <cell r="A2" t="str">
            <v>Complete</v>
          </cell>
        </row>
      </sheetData>
      <sheetData sheetId="1651">
        <row r="2">
          <cell r="A2">
            <v>43462</v>
          </cell>
        </row>
      </sheetData>
      <sheetData sheetId="1652">
        <row r="2">
          <cell r="A2" t="str">
            <v>Complete</v>
          </cell>
        </row>
      </sheetData>
      <sheetData sheetId="1653">
        <row r="2">
          <cell r="A2">
            <v>43462</v>
          </cell>
        </row>
      </sheetData>
      <sheetData sheetId="1654">
        <row r="2">
          <cell r="A2">
            <v>43462</v>
          </cell>
        </row>
      </sheetData>
      <sheetData sheetId="1655">
        <row r="2">
          <cell r="A2" t="str">
            <v>Complete</v>
          </cell>
        </row>
      </sheetData>
      <sheetData sheetId="1656">
        <row r="2">
          <cell r="A2">
            <v>43462</v>
          </cell>
        </row>
      </sheetData>
      <sheetData sheetId="1657">
        <row r="2">
          <cell r="A2" t="str">
            <v>Complete</v>
          </cell>
        </row>
      </sheetData>
      <sheetData sheetId="1658">
        <row r="2">
          <cell r="A2" t="str">
            <v>Complete</v>
          </cell>
        </row>
      </sheetData>
      <sheetData sheetId="1659">
        <row r="2">
          <cell r="A2" t="str">
            <v>Complete</v>
          </cell>
        </row>
      </sheetData>
      <sheetData sheetId="1660">
        <row r="2">
          <cell r="A2" t="str">
            <v>Complete</v>
          </cell>
        </row>
      </sheetData>
      <sheetData sheetId="1661">
        <row r="2">
          <cell r="A2" t="str">
            <v>Complete</v>
          </cell>
        </row>
      </sheetData>
      <sheetData sheetId="1662">
        <row r="2">
          <cell r="A2" t="str">
            <v>Complete</v>
          </cell>
        </row>
      </sheetData>
      <sheetData sheetId="1663">
        <row r="2">
          <cell r="A2">
            <v>43462</v>
          </cell>
        </row>
      </sheetData>
      <sheetData sheetId="1664">
        <row r="2">
          <cell r="A2" t="str">
            <v>Complete</v>
          </cell>
        </row>
      </sheetData>
      <sheetData sheetId="1665">
        <row r="2">
          <cell r="A2">
            <v>43462</v>
          </cell>
        </row>
      </sheetData>
      <sheetData sheetId="1666">
        <row r="2">
          <cell r="A2">
            <v>43462</v>
          </cell>
        </row>
      </sheetData>
      <sheetData sheetId="1667">
        <row r="2">
          <cell r="A2" t="str">
            <v>Complete</v>
          </cell>
        </row>
      </sheetData>
      <sheetData sheetId="1668">
        <row r="2">
          <cell r="A2">
            <v>43462</v>
          </cell>
        </row>
      </sheetData>
      <sheetData sheetId="1669">
        <row r="2">
          <cell r="A2" t="str">
            <v>Complete</v>
          </cell>
        </row>
      </sheetData>
      <sheetData sheetId="1670">
        <row r="2">
          <cell r="A2" t="str">
            <v>Complete</v>
          </cell>
        </row>
      </sheetData>
      <sheetData sheetId="1671">
        <row r="2">
          <cell r="A2" t="str">
            <v>Complete</v>
          </cell>
        </row>
      </sheetData>
      <sheetData sheetId="1672">
        <row r="2">
          <cell r="A2" t="str">
            <v>Complete</v>
          </cell>
        </row>
      </sheetData>
      <sheetData sheetId="1673">
        <row r="2">
          <cell r="A2" t="str">
            <v>Complete</v>
          </cell>
        </row>
      </sheetData>
      <sheetData sheetId="1674">
        <row r="2">
          <cell r="A2" t="str">
            <v>Complete</v>
          </cell>
        </row>
      </sheetData>
      <sheetData sheetId="1675">
        <row r="2">
          <cell r="A2">
            <v>43462</v>
          </cell>
        </row>
      </sheetData>
      <sheetData sheetId="1676">
        <row r="2">
          <cell r="A2" t="str">
            <v>Complete</v>
          </cell>
        </row>
      </sheetData>
      <sheetData sheetId="1677">
        <row r="2">
          <cell r="A2">
            <v>43462</v>
          </cell>
        </row>
      </sheetData>
      <sheetData sheetId="1678">
        <row r="2">
          <cell r="A2">
            <v>43462</v>
          </cell>
        </row>
      </sheetData>
      <sheetData sheetId="1679">
        <row r="2">
          <cell r="A2" t="str">
            <v>Complete</v>
          </cell>
        </row>
      </sheetData>
      <sheetData sheetId="1680">
        <row r="2">
          <cell r="A2">
            <v>43462</v>
          </cell>
        </row>
      </sheetData>
      <sheetData sheetId="1681">
        <row r="2">
          <cell r="A2" t="str">
            <v>Complete</v>
          </cell>
        </row>
      </sheetData>
      <sheetData sheetId="1682">
        <row r="2">
          <cell r="A2" t="str">
            <v>Complete</v>
          </cell>
        </row>
      </sheetData>
      <sheetData sheetId="1683">
        <row r="2">
          <cell r="A2" t="str">
            <v>Complete</v>
          </cell>
        </row>
      </sheetData>
      <sheetData sheetId="1684">
        <row r="2">
          <cell r="A2" t="str">
            <v>Complete</v>
          </cell>
        </row>
      </sheetData>
      <sheetData sheetId="1685">
        <row r="2">
          <cell r="A2" t="str">
            <v>Complete</v>
          </cell>
        </row>
      </sheetData>
      <sheetData sheetId="1686">
        <row r="2">
          <cell r="A2" t="str">
            <v>Complete</v>
          </cell>
        </row>
      </sheetData>
      <sheetData sheetId="1687">
        <row r="2">
          <cell r="A2">
            <v>43462</v>
          </cell>
        </row>
      </sheetData>
      <sheetData sheetId="1688">
        <row r="2">
          <cell r="A2" t="str">
            <v>Complete</v>
          </cell>
        </row>
      </sheetData>
      <sheetData sheetId="1689">
        <row r="2">
          <cell r="A2">
            <v>43462</v>
          </cell>
        </row>
      </sheetData>
      <sheetData sheetId="1690">
        <row r="2">
          <cell r="A2">
            <v>43462</v>
          </cell>
        </row>
      </sheetData>
      <sheetData sheetId="1691">
        <row r="2">
          <cell r="A2" t="str">
            <v>Complete</v>
          </cell>
        </row>
      </sheetData>
      <sheetData sheetId="1692">
        <row r="2">
          <cell r="A2">
            <v>43462</v>
          </cell>
        </row>
      </sheetData>
      <sheetData sheetId="1693">
        <row r="2">
          <cell r="A2" t="str">
            <v>Complete</v>
          </cell>
        </row>
      </sheetData>
      <sheetData sheetId="1694">
        <row r="2">
          <cell r="A2" t="str">
            <v>Complete</v>
          </cell>
        </row>
      </sheetData>
      <sheetData sheetId="1695">
        <row r="2">
          <cell r="A2" t="str">
            <v>Complete</v>
          </cell>
        </row>
      </sheetData>
      <sheetData sheetId="1696">
        <row r="2">
          <cell r="A2" t="str">
            <v>Complete</v>
          </cell>
        </row>
      </sheetData>
      <sheetData sheetId="1697">
        <row r="2">
          <cell r="A2" t="str">
            <v>Complete</v>
          </cell>
        </row>
      </sheetData>
      <sheetData sheetId="1698">
        <row r="2">
          <cell r="A2" t="str">
            <v>Complete</v>
          </cell>
        </row>
      </sheetData>
      <sheetData sheetId="1699">
        <row r="2">
          <cell r="A2">
            <v>43462</v>
          </cell>
        </row>
      </sheetData>
      <sheetData sheetId="1700">
        <row r="2">
          <cell r="A2" t="str">
            <v>Complete</v>
          </cell>
        </row>
      </sheetData>
      <sheetData sheetId="1701">
        <row r="2">
          <cell r="A2">
            <v>43462</v>
          </cell>
        </row>
      </sheetData>
      <sheetData sheetId="1702">
        <row r="2">
          <cell r="A2">
            <v>43462</v>
          </cell>
        </row>
      </sheetData>
      <sheetData sheetId="1703">
        <row r="2">
          <cell r="A2" t="str">
            <v>Complete</v>
          </cell>
        </row>
      </sheetData>
      <sheetData sheetId="1704">
        <row r="2">
          <cell r="A2">
            <v>43462</v>
          </cell>
        </row>
      </sheetData>
      <sheetData sheetId="1705">
        <row r="2">
          <cell r="A2" t="str">
            <v>Complete</v>
          </cell>
        </row>
      </sheetData>
      <sheetData sheetId="1706">
        <row r="2">
          <cell r="A2" t="str">
            <v>Complete</v>
          </cell>
        </row>
      </sheetData>
      <sheetData sheetId="1707">
        <row r="2">
          <cell r="A2" t="str">
            <v>Complete</v>
          </cell>
        </row>
      </sheetData>
      <sheetData sheetId="1708">
        <row r="2">
          <cell r="A2" t="str">
            <v>Complete</v>
          </cell>
        </row>
      </sheetData>
      <sheetData sheetId="1709">
        <row r="2">
          <cell r="A2" t="str">
            <v>Complete</v>
          </cell>
        </row>
      </sheetData>
      <sheetData sheetId="1710">
        <row r="2">
          <cell r="A2" t="str">
            <v>Complete</v>
          </cell>
        </row>
      </sheetData>
      <sheetData sheetId="1711">
        <row r="2">
          <cell r="A2">
            <v>43462</v>
          </cell>
        </row>
      </sheetData>
      <sheetData sheetId="1712">
        <row r="2">
          <cell r="A2" t="str">
            <v>Complete</v>
          </cell>
        </row>
      </sheetData>
      <sheetData sheetId="1713">
        <row r="2">
          <cell r="A2">
            <v>43462</v>
          </cell>
        </row>
      </sheetData>
      <sheetData sheetId="1714">
        <row r="2">
          <cell r="A2">
            <v>43462</v>
          </cell>
        </row>
      </sheetData>
      <sheetData sheetId="1715">
        <row r="2">
          <cell r="A2" t="str">
            <v>Complete</v>
          </cell>
        </row>
      </sheetData>
      <sheetData sheetId="1716">
        <row r="2">
          <cell r="A2">
            <v>43462</v>
          </cell>
        </row>
      </sheetData>
      <sheetData sheetId="1717">
        <row r="2">
          <cell r="A2" t="str">
            <v>Complete</v>
          </cell>
        </row>
      </sheetData>
      <sheetData sheetId="1718">
        <row r="2">
          <cell r="A2" t="str">
            <v>Complete</v>
          </cell>
        </row>
      </sheetData>
      <sheetData sheetId="1719">
        <row r="2">
          <cell r="A2">
            <v>43462</v>
          </cell>
        </row>
      </sheetData>
      <sheetData sheetId="1720">
        <row r="2">
          <cell r="A2" t="str">
            <v>Complete</v>
          </cell>
        </row>
      </sheetData>
      <sheetData sheetId="1721">
        <row r="2">
          <cell r="A2" t="str">
            <v>Complete</v>
          </cell>
        </row>
      </sheetData>
      <sheetData sheetId="1722">
        <row r="2">
          <cell r="A2">
            <v>43462</v>
          </cell>
        </row>
      </sheetData>
      <sheetData sheetId="1723">
        <row r="2">
          <cell r="A2">
            <v>43462</v>
          </cell>
        </row>
      </sheetData>
      <sheetData sheetId="1724">
        <row r="2">
          <cell r="A2" t="str">
            <v>Complete</v>
          </cell>
        </row>
      </sheetData>
      <sheetData sheetId="1725">
        <row r="2">
          <cell r="A2">
            <v>43462</v>
          </cell>
        </row>
      </sheetData>
      <sheetData sheetId="1726">
        <row r="2">
          <cell r="A2">
            <v>43462</v>
          </cell>
        </row>
      </sheetData>
      <sheetData sheetId="1727">
        <row r="2">
          <cell r="A2" t="str">
            <v>Complete</v>
          </cell>
        </row>
      </sheetData>
      <sheetData sheetId="1728">
        <row r="2">
          <cell r="A2">
            <v>43462</v>
          </cell>
        </row>
      </sheetData>
      <sheetData sheetId="1729">
        <row r="2">
          <cell r="A2" t="str">
            <v>Complete</v>
          </cell>
        </row>
      </sheetData>
      <sheetData sheetId="1730">
        <row r="2">
          <cell r="A2" t="str">
            <v>Complete</v>
          </cell>
        </row>
      </sheetData>
      <sheetData sheetId="1731">
        <row r="2">
          <cell r="A2">
            <v>43462</v>
          </cell>
        </row>
      </sheetData>
      <sheetData sheetId="1732">
        <row r="2">
          <cell r="A2" t="str">
            <v>Complete</v>
          </cell>
        </row>
      </sheetData>
      <sheetData sheetId="1733">
        <row r="2">
          <cell r="A2" t="str">
            <v>Complete</v>
          </cell>
        </row>
      </sheetData>
      <sheetData sheetId="1734">
        <row r="2">
          <cell r="A2">
            <v>43462</v>
          </cell>
        </row>
      </sheetData>
      <sheetData sheetId="1735">
        <row r="2">
          <cell r="A2" t="str">
            <v>Complete</v>
          </cell>
        </row>
      </sheetData>
      <sheetData sheetId="1736">
        <row r="2">
          <cell r="A2" t="str">
            <v>Complete</v>
          </cell>
        </row>
      </sheetData>
      <sheetData sheetId="1737">
        <row r="2">
          <cell r="A2">
            <v>43462</v>
          </cell>
        </row>
      </sheetData>
      <sheetData sheetId="1738">
        <row r="2">
          <cell r="A2">
            <v>43462</v>
          </cell>
        </row>
      </sheetData>
      <sheetData sheetId="1739">
        <row r="2">
          <cell r="A2" t="str">
            <v>Complete</v>
          </cell>
        </row>
      </sheetData>
      <sheetData sheetId="1740">
        <row r="2">
          <cell r="A2">
            <v>43462</v>
          </cell>
        </row>
      </sheetData>
      <sheetData sheetId="1741">
        <row r="2">
          <cell r="A2" t="str">
            <v>Complete</v>
          </cell>
        </row>
      </sheetData>
      <sheetData sheetId="1742">
        <row r="2">
          <cell r="A2" t="str">
            <v>Complete</v>
          </cell>
        </row>
      </sheetData>
      <sheetData sheetId="1743">
        <row r="2">
          <cell r="A2">
            <v>43462</v>
          </cell>
        </row>
      </sheetData>
      <sheetData sheetId="1744">
        <row r="2">
          <cell r="A2" t="str">
            <v>Complete</v>
          </cell>
        </row>
      </sheetData>
      <sheetData sheetId="1745">
        <row r="2">
          <cell r="A2" t="str">
            <v>Complete</v>
          </cell>
        </row>
      </sheetData>
      <sheetData sheetId="1746">
        <row r="2">
          <cell r="A2">
            <v>43462</v>
          </cell>
        </row>
      </sheetData>
      <sheetData sheetId="1747">
        <row r="2">
          <cell r="A2" t="str">
            <v>Complete</v>
          </cell>
        </row>
      </sheetData>
      <sheetData sheetId="1748">
        <row r="2">
          <cell r="A2" t="str">
            <v>Complete</v>
          </cell>
        </row>
      </sheetData>
      <sheetData sheetId="1749">
        <row r="2">
          <cell r="A2" t="str">
            <v>Complete</v>
          </cell>
        </row>
      </sheetData>
      <sheetData sheetId="1750">
        <row r="2">
          <cell r="A2" t="str">
            <v>Complete</v>
          </cell>
        </row>
      </sheetData>
      <sheetData sheetId="1751">
        <row r="2">
          <cell r="A2" t="str">
            <v>Complete</v>
          </cell>
        </row>
      </sheetData>
      <sheetData sheetId="1752">
        <row r="2">
          <cell r="A2">
            <v>43462</v>
          </cell>
        </row>
      </sheetData>
      <sheetData sheetId="1753">
        <row r="2">
          <cell r="A2" t="str">
            <v>Complete</v>
          </cell>
        </row>
      </sheetData>
      <sheetData sheetId="1754">
        <row r="2">
          <cell r="A2" t="str">
            <v>Complete</v>
          </cell>
        </row>
      </sheetData>
      <sheetData sheetId="1755">
        <row r="2">
          <cell r="A2">
            <v>43462</v>
          </cell>
        </row>
      </sheetData>
      <sheetData sheetId="1756">
        <row r="2">
          <cell r="A2" t="str">
            <v>Complete</v>
          </cell>
        </row>
      </sheetData>
      <sheetData sheetId="1757">
        <row r="2">
          <cell r="A2" t="str">
            <v>Complete</v>
          </cell>
        </row>
      </sheetData>
      <sheetData sheetId="1758">
        <row r="2">
          <cell r="A2">
            <v>43462</v>
          </cell>
        </row>
      </sheetData>
      <sheetData sheetId="1759">
        <row r="2">
          <cell r="A2" t="str">
            <v>Complete</v>
          </cell>
        </row>
      </sheetData>
      <sheetData sheetId="1760">
        <row r="2">
          <cell r="A2" t="str">
            <v>Complete</v>
          </cell>
        </row>
      </sheetData>
      <sheetData sheetId="1761">
        <row r="2">
          <cell r="A2" t="str">
            <v>Complete</v>
          </cell>
        </row>
      </sheetData>
      <sheetData sheetId="1762">
        <row r="2">
          <cell r="A2" t="str">
            <v>Complete</v>
          </cell>
        </row>
      </sheetData>
      <sheetData sheetId="1763">
        <row r="2">
          <cell r="A2" t="str">
            <v>Complete</v>
          </cell>
        </row>
      </sheetData>
      <sheetData sheetId="1764">
        <row r="2">
          <cell r="A2">
            <v>43462</v>
          </cell>
        </row>
      </sheetData>
      <sheetData sheetId="1765">
        <row r="2">
          <cell r="A2" t="str">
            <v>Complete</v>
          </cell>
        </row>
      </sheetData>
      <sheetData sheetId="1766">
        <row r="2">
          <cell r="A2" t="str">
            <v>Complete</v>
          </cell>
        </row>
      </sheetData>
      <sheetData sheetId="1767">
        <row r="2">
          <cell r="A2">
            <v>43462</v>
          </cell>
        </row>
      </sheetData>
      <sheetData sheetId="1768">
        <row r="2">
          <cell r="A2" t="str">
            <v>Complete</v>
          </cell>
        </row>
      </sheetData>
      <sheetData sheetId="1769">
        <row r="2">
          <cell r="A2" t="str">
            <v>Complete</v>
          </cell>
        </row>
      </sheetData>
      <sheetData sheetId="1770">
        <row r="2">
          <cell r="A2">
            <v>43462</v>
          </cell>
        </row>
      </sheetData>
      <sheetData sheetId="1771">
        <row r="2">
          <cell r="A2" t="str">
            <v>Complete</v>
          </cell>
        </row>
      </sheetData>
      <sheetData sheetId="1772">
        <row r="2">
          <cell r="A2" t="str">
            <v>Complete</v>
          </cell>
        </row>
      </sheetData>
      <sheetData sheetId="1773">
        <row r="2">
          <cell r="A2" t="str">
            <v>Complete</v>
          </cell>
        </row>
      </sheetData>
      <sheetData sheetId="1774">
        <row r="2">
          <cell r="A2" t="str">
            <v>Complete</v>
          </cell>
        </row>
      </sheetData>
      <sheetData sheetId="1775">
        <row r="2">
          <cell r="A2" t="str">
            <v>Complete</v>
          </cell>
        </row>
      </sheetData>
      <sheetData sheetId="1776">
        <row r="2">
          <cell r="A2">
            <v>43462</v>
          </cell>
        </row>
      </sheetData>
      <sheetData sheetId="1777">
        <row r="2">
          <cell r="A2" t="str">
            <v>Complete</v>
          </cell>
        </row>
      </sheetData>
      <sheetData sheetId="1778">
        <row r="2">
          <cell r="A2" t="str">
            <v>Complete</v>
          </cell>
        </row>
      </sheetData>
      <sheetData sheetId="1779">
        <row r="2">
          <cell r="A2">
            <v>43462</v>
          </cell>
        </row>
      </sheetData>
      <sheetData sheetId="1780">
        <row r="2">
          <cell r="A2" t="str">
            <v>Complete</v>
          </cell>
        </row>
      </sheetData>
      <sheetData sheetId="1781">
        <row r="2">
          <cell r="A2" t="str">
            <v>Complete</v>
          </cell>
        </row>
      </sheetData>
      <sheetData sheetId="1782">
        <row r="2">
          <cell r="A2">
            <v>43462</v>
          </cell>
        </row>
      </sheetData>
      <sheetData sheetId="1783">
        <row r="2">
          <cell r="A2" t="str">
            <v>Complete</v>
          </cell>
        </row>
      </sheetData>
      <sheetData sheetId="1784">
        <row r="2">
          <cell r="A2" t="str">
            <v>Complete</v>
          </cell>
        </row>
      </sheetData>
      <sheetData sheetId="1785">
        <row r="2">
          <cell r="A2" t="str">
            <v>Complete</v>
          </cell>
        </row>
      </sheetData>
      <sheetData sheetId="1786">
        <row r="2">
          <cell r="A2" t="str">
            <v>Complete</v>
          </cell>
        </row>
      </sheetData>
      <sheetData sheetId="1787">
        <row r="2">
          <cell r="A2" t="str">
            <v>Complete</v>
          </cell>
        </row>
      </sheetData>
      <sheetData sheetId="1788">
        <row r="2">
          <cell r="A2">
            <v>43462</v>
          </cell>
        </row>
      </sheetData>
      <sheetData sheetId="1789">
        <row r="2">
          <cell r="A2" t="str">
            <v>Complete</v>
          </cell>
        </row>
      </sheetData>
      <sheetData sheetId="1790">
        <row r="2">
          <cell r="A2" t="str">
            <v>Complete</v>
          </cell>
        </row>
      </sheetData>
      <sheetData sheetId="1791">
        <row r="2">
          <cell r="A2">
            <v>43462</v>
          </cell>
        </row>
      </sheetData>
      <sheetData sheetId="1792">
        <row r="2">
          <cell r="A2" t="str">
            <v>Complete</v>
          </cell>
        </row>
      </sheetData>
      <sheetData sheetId="1793">
        <row r="2">
          <cell r="A2" t="str">
            <v>Complete</v>
          </cell>
        </row>
      </sheetData>
      <sheetData sheetId="1794">
        <row r="2">
          <cell r="A2">
            <v>43462</v>
          </cell>
        </row>
      </sheetData>
      <sheetData sheetId="1795">
        <row r="2">
          <cell r="A2" t="str">
            <v>Complete</v>
          </cell>
        </row>
      </sheetData>
      <sheetData sheetId="1796">
        <row r="2">
          <cell r="A2" t="str">
            <v>Complete</v>
          </cell>
        </row>
      </sheetData>
      <sheetData sheetId="1797">
        <row r="2">
          <cell r="A2" t="str">
            <v>Complete</v>
          </cell>
        </row>
      </sheetData>
      <sheetData sheetId="1798">
        <row r="2">
          <cell r="A2" t="str">
            <v>Complete</v>
          </cell>
        </row>
      </sheetData>
      <sheetData sheetId="1799">
        <row r="2">
          <cell r="A2" t="str">
            <v>Complete</v>
          </cell>
        </row>
      </sheetData>
      <sheetData sheetId="1800">
        <row r="2">
          <cell r="A2">
            <v>43462</v>
          </cell>
        </row>
      </sheetData>
      <sheetData sheetId="1801">
        <row r="2">
          <cell r="A2" t="str">
            <v>Complete</v>
          </cell>
        </row>
      </sheetData>
      <sheetData sheetId="1802">
        <row r="2">
          <cell r="A2" t="str">
            <v>Complete</v>
          </cell>
        </row>
      </sheetData>
      <sheetData sheetId="1803">
        <row r="2">
          <cell r="A2">
            <v>43462</v>
          </cell>
        </row>
      </sheetData>
      <sheetData sheetId="1804">
        <row r="2">
          <cell r="A2" t="str">
            <v>Complete</v>
          </cell>
        </row>
      </sheetData>
      <sheetData sheetId="1805">
        <row r="2">
          <cell r="A2" t="str">
            <v>Complete</v>
          </cell>
        </row>
      </sheetData>
      <sheetData sheetId="1806">
        <row r="2">
          <cell r="A2">
            <v>43462</v>
          </cell>
        </row>
      </sheetData>
      <sheetData sheetId="1807">
        <row r="2">
          <cell r="A2" t="str">
            <v>Complete</v>
          </cell>
        </row>
      </sheetData>
      <sheetData sheetId="1808">
        <row r="2">
          <cell r="A2" t="str">
            <v>Complete</v>
          </cell>
        </row>
      </sheetData>
      <sheetData sheetId="1809">
        <row r="2">
          <cell r="A2" t="str">
            <v>Complete</v>
          </cell>
        </row>
      </sheetData>
      <sheetData sheetId="1810">
        <row r="2">
          <cell r="A2" t="str">
            <v>Complete</v>
          </cell>
        </row>
      </sheetData>
      <sheetData sheetId="1811">
        <row r="2">
          <cell r="A2" t="str">
            <v>Complete</v>
          </cell>
        </row>
      </sheetData>
      <sheetData sheetId="1812">
        <row r="2">
          <cell r="A2">
            <v>43462</v>
          </cell>
        </row>
      </sheetData>
      <sheetData sheetId="1813">
        <row r="2">
          <cell r="A2" t="str">
            <v>Complete</v>
          </cell>
        </row>
      </sheetData>
      <sheetData sheetId="1814">
        <row r="2">
          <cell r="A2" t="str">
            <v>Complete</v>
          </cell>
        </row>
      </sheetData>
      <sheetData sheetId="1815">
        <row r="2">
          <cell r="A2">
            <v>43462</v>
          </cell>
        </row>
      </sheetData>
      <sheetData sheetId="1816">
        <row r="2">
          <cell r="A2" t="str">
            <v>Complete</v>
          </cell>
        </row>
      </sheetData>
      <sheetData sheetId="1817">
        <row r="2">
          <cell r="A2" t="str">
            <v>Complete</v>
          </cell>
        </row>
      </sheetData>
      <sheetData sheetId="1818">
        <row r="2">
          <cell r="A2">
            <v>43462</v>
          </cell>
        </row>
      </sheetData>
      <sheetData sheetId="1819">
        <row r="2">
          <cell r="A2" t="str">
            <v>Complete</v>
          </cell>
        </row>
      </sheetData>
      <sheetData sheetId="1820">
        <row r="2">
          <cell r="A2" t="str">
            <v>Complete</v>
          </cell>
        </row>
      </sheetData>
      <sheetData sheetId="1821">
        <row r="2">
          <cell r="A2" t="str">
            <v>Complete</v>
          </cell>
        </row>
      </sheetData>
      <sheetData sheetId="1822">
        <row r="2">
          <cell r="A2" t="str">
            <v>Complete</v>
          </cell>
        </row>
      </sheetData>
      <sheetData sheetId="1823">
        <row r="2">
          <cell r="A2" t="str">
            <v>Complete</v>
          </cell>
        </row>
      </sheetData>
      <sheetData sheetId="1824">
        <row r="2">
          <cell r="A2">
            <v>43462</v>
          </cell>
        </row>
      </sheetData>
      <sheetData sheetId="1825">
        <row r="2">
          <cell r="A2" t="str">
            <v>Complete</v>
          </cell>
        </row>
      </sheetData>
      <sheetData sheetId="1826">
        <row r="2">
          <cell r="A2" t="str">
            <v>Complete</v>
          </cell>
        </row>
      </sheetData>
      <sheetData sheetId="1827">
        <row r="2">
          <cell r="A2">
            <v>43462</v>
          </cell>
        </row>
      </sheetData>
      <sheetData sheetId="1828">
        <row r="2">
          <cell r="A2" t="str">
            <v>Complete</v>
          </cell>
        </row>
      </sheetData>
      <sheetData sheetId="1829">
        <row r="2">
          <cell r="A2" t="str">
            <v>Complete</v>
          </cell>
        </row>
      </sheetData>
      <sheetData sheetId="1830">
        <row r="2">
          <cell r="A2">
            <v>43462</v>
          </cell>
        </row>
      </sheetData>
      <sheetData sheetId="1831">
        <row r="2">
          <cell r="A2" t="str">
            <v>Complete</v>
          </cell>
        </row>
      </sheetData>
      <sheetData sheetId="1832">
        <row r="2">
          <cell r="A2" t="str">
            <v>Complete</v>
          </cell>
        </row>
      </sheetData>
      <sheetData sheetId="1833">
        <row r="2">
          <cell r="A2" t="str">
            <v>Complete</v>
          </cell>
        </row>
      </sheetData>
      <sheetData sheetId="1834">
        <row r="2">
          <cell r="A2" t="str">
            <v>Complete</v>
          </cell>
        </row>
      </sheetData>
      <sheetData sheetId="1835">
        <row r="2">
          <cell r="A2" t="str">
            <v>Complete</v>
          </cell>
        </row>
      </sheetData>
      <sheetData sheetId="1836">
        <row r="2">
          <cell r="A2">
            <v>43462</v>
          </cell>
        </row>
      </sheetData>
      <sheetData sheetId="1837">
        <row r="2">
          <cell r="A2" t="str">
            <v>Complete</v>
          </cell>
        </row>
      </sheetData>
      <sheetData sheetId="1838">
        <row r="2">
          <cell r="A2" t="str">
            <v>Complete</v>
          </cell>
        </row>
      </sheetData>
      <sheetData sheetId="1839">
        <row r="2">
          <cell r="A2">
            <v>43462</v>
          </cell>
        </row>
      </sheetData>
      <sheetData sheetId="1840">
        <row r="2">
          <cell r="A2" t="str">
            <v>Complete</v>
          </cell>
        </row>
      </sheetData>
      <sheetData sheetId="1841">
        <row r="2">
          <cell r="A2" t="str">
            <v>Complete</v>
          </cell>
        </row>
      </sheetData>
      <sheetData sheetId="1842">
        <row r="2">
          <cell r="A2">
            <v>43462</v>
          </cell>
        </row>
      </sheetData>
      <sheetData sheetId="1843">
        <row r="2">
          <cell r="A2" t="str">
            <v>Complete</v>
          </cell>
        </row>
      </sheetData>
      <sheetData sheetId="1844">
        <row r="2">
          <cell r="A2" t="str">
            <v>Complete</v>
          </cell>
        </row>
      </sheetData>
      <sheetData sheetId="1845">
        <row r="2">
          <cell r="A2" t="str">
            <v>Complete</v>
          </cell>
        </row>
      </sheetData>
      <sheetData sheetId="1846">
        <row r="2">
          <cell r="A2" t="str">
            <v>Complete</v>
          </cell>
        </row>
      </sheetData>
      <sheetData sheetId="1847">
        <row r="2">
          <cell r="A2" t="str">
            <v>Complete</v>
          </cell>
        </row>
      </sheetData>
      <sheetData sheetId="1848">
        <row r="2">
          <cell r="A2">
            <v>43462</v>
          </cell>
        </row>
      </sheetData>
      <sheetData sheetId="1849">
        <row r="2">
          <cell r="A2" t="str">
            <v>Complete</v>
          </cell>
        </row>
      </sheetData>
      <sheetData sheetId="1850">
        <row r="2">
          <cell r="A2" t="str">
            <v>Complete</v>
          </cell>
        </row>
      </sheetData>
      <sheetData sheetId="1851">
        <row r="2">
          <cell r="A2">
            <v>43462</v>
          </cell>
        </row>
      </sheetData>
      <sheetData sheetId="1852">
        <row r="2">
          <cell r="A2" t="str">
            <v>Complete</v>
          </cell>
        </row>
      </sheetData>
      <sheetData sheetId="1853">
        <row r="2">
          <cell r="A2" t="str">
            <v>Complete</v>
          </cell>
        </row>
      </sheetData>
      <sheetData sheetId="1854">
        <row r="2">
          <cell r="A2" t="str">
            <v>Complete</v>
          </cell>
        </row>
      </sheetData>
      <sheetData sheetId="1855">
        <row r="2">
          <cell r="A2" t="str">
            <v>Complete</v>
          </cell>
        </row>
      </sheetData>
      <sheetData sheetId="1856">
        <row r="2">
          <cell r="A2" t="str">
            <v>Complete</v>
          </cell>
        </row>
      </sheetData>
      <sheetData sheetId="1857">
        <row r="2">
          <cell r="A2" t="str">
            <v>Complete</v>
          </cell>
        </row>
      </sheetData>
      <sheetData sheetId="1858">
        <row r="2">
          <cell r="A2" t="str">
            <v>Complete</v>
          </cell>
        </row>
      </sheetData>
      <sheetData sheetId="1859">
        <row r="2">
          <cell r="A2" t="str">
            <v>Complete</v>
          </cell>
        </row>
      </sheetData>
      <sheetData sheetId="1860">
        <row r="2">
          <cell r="A2">
            <v>43462</v>
          </cell>
        </row>
      </sheetData>
      <sheetData sheetId="1861">
        <row r="2">
          <cell r="A2" t="str">
            <v>Complete</v>
          </cell>
        </row>
      </sheetData>
      <sheetData sheetId="1862">
        <row r="2">
          <cell r="A2" t="str">
            <v>Complete</v>
          </cell>
        </row>
      </sheetData>
      <sheetData sheetId="1863">
        <row r="2">
          <cell r="A2">
            <v>43462</v>
          </cell>
        </row>
      </sheetData>
      <sheetData sheetId="1864">
        <row r="2">
          <cell r="A2" t="str">
            <v>Complete</v>
          </cell>
        </row>
      </sheetData>
      <sheetData sheetId="1865">
        <row r="2">
          <cell r="A2" t="str">
            <v>Complete</v>
          </cell>
        </row>
      </sheetData>
      <sheetData sheetId="1866">
        <row r="2">
          <cell r="A2" t="str">
            <v>Complete</v>
          </cell>
        </row>
      </sheetData>
      <sheetData sheetId="1867">
        <row r="2">
          <cell r="A2" t="str">
            <v>Complete</v>
          </cell>
        </row>
      </sheetData>
      <sheetData sheetId="1868">
        <row r="2">
          <cell r="A2" t="str">
            <v>Complete</v>
          </cell>
        </row>
      </sheetData>
      <sheetData sheetId="1869">
        <row r="2">
          <cell r="A2">
            <v>43462</v>
          </cell>
        </row>
      </sheetData>
      <sheetData sheetId="1870">
        <row r="2">
          <cell r="A2" t="str">
            <v>Complete</v>
          </cell>
        </row>
      </sheetData>
      <sheetData sheetId="1871">
        <row r="2">
          <cell r="A2" t="str">
            <v>Complete</v>
          </cell>
        </row>
      </sheetData>
      <sheetData sheetId="1872">
        <row r="2">
          <cell r="A2" t="str">
            <v>Complete</v>
          </cell>
        </row>
      </sheetData>
      <sheetData sheetId="1873">
        <row r="2">
          <cell r="A2" t="str">
            <v>Complete</v>
          </cell>
        </row>
      </sheetData>
      <sheetData sheetId="1874">
        <row r="2">
          <cell r="A2" t="str">
            <v>Complete</v>
          </cell>
        </row>
      </sheetData>
      <sheetData sheetId="1875">
        <row r="2">
          <cell r="A2">
            <v>43462</v>
          </cell>
        </row>
      </sheetData>
      <sheetData sheetId="1876">
        <row r="2">
          <cell r="A2" t="str">
            <v>Complete</v>
          </cell>
        </row>
      </sheetData>
      <sheetData sheetId="1877">
        <row r="2">
          <cell r="A2" t="str">
            <v>Complete</v>
          </cell>
        </row>
      </sheetData>
      <sheetData sheetId="1878">
        <row r="2">
          <cell r="A2" t="str">
            <v>Complete</v>
          </cell>
        </row>
      </sheetData>
      <sheetData sheetId="1879">
        <row r="2">
          <cell r="A2" t="str">
            <v>Complete</v>
          </cell>
        </row>
      </sheetData>
      <sheetData sheetId="1880">
        <row r="2">
          <cell r="A2" t="str">
            <v>Complete</v>
          </cell>
        </row>
      </sheetData>
      <sheetData sheetId="1881">
        <row r="2">
          <cell r="A2">
            <v>43462</v>
          </cell>
        </row>
      </sheetData>
      <sheetData sheetId="1882">
        <row r="2">
          <cell r="A2" t="str">
            <v>Complete</v>
          </cell>
        </row>
      </sheetData>
      <sheetData sheetId="1883">
        <row r="2">
          <cell r="A2" t="str">
            <v>Complete</v>
          </cell>
        </row>
      </sheetData>
      <sheetData sheetId="1884">
        <row r="2">
          <cell r="A2" t="str">
            <v>Complete</v>
          </cell>
        </row>
      </sheetData>
      <sheetData sheetId="1885">
        <row r="2">
          <cell r="A2" t="str">
            <v>Complete</v>
          </cell>
        </row>
      </sheetData>
      <sheetData sheetId="1886">
        <row r="2">
          <cell r="A2" t="str">
            <v>Complete</v>
          </cell>
        </row>
      </sheetData>
      <sheetData sheetId="1887">
        <row r="2">
          <cell r="A2">
            <v>43462</v>
          </cell>
        </row>
      </sheetData>
      <sheetData sheetId="1888">
        <row r="2">
          <cell r="A2" t="str">
            <v>Complete</v>
          </cell>
        </row>
      </sheetData>
      <sheetData sheetId="1889">
        <row r="2">
          <cell r="A2" t="str">
            <v>Complete</v>
          </cell>
        </row>
      </sheetData>
      <sheetData sheetId="1890">
        <row r="2">
          <cell r="A2" t="str">
            <v>Complete</v>
          </cell>
        </row>
      </sheetData>
      <sheetData sheetId="1891">
        <row r="2">
          <cell r="A2" t="str">
            <v>Complete</v>
          </cell>
        </row>
      </sheetData>
      <sheetData sheetId="1892">
        <row r="2">
          <cell r="A2" t="str">
            <v>Complete</v>
          </cell>
        </row>
      </sheetData>
      <sheetData sheetId="1893">
        <row r="2">
          <cell r="A2">
            <v>43462</v>
          </cell>
        </row>
      </sheetData>
      <sheetData sheetId="1894">
        <row r="2">
          <cell r="A2" t="str">
            <v>Complete</v>
          </cell>
        </row>
      </sheetData>
      <sheetData sheetId="1895">
        <row r="2">
          <cell r="A2" t="str">
            <v>Complete</v>
          </cell>
        </row>
      </sheetData>
      <sheetData sheetId="1896">
        <row r="2">
          <cell r="A2" t="str">
            <v>Complete</v>
          </cell>
        </row>
      </sheetData>
      <sheetData sheetId="1897">
        <row r="2">
          <cell r="A2" t="str">
            <v>Complete</v>
          </cell>
        </row>
      </sheetData>
      <sheetData sheetId="1898">
        <row r="2">
          <cell r="A2" t="str">
            <v>Complete</v>
          </cell>
        </row>
      </sheetData>
      <sheetData sheetId="1899">
        <row r="2">
          <cell r="A2">
            <v>43462</v>
          </cell>
        </row>
      </sheetData>
      <sheetData sheetId="1900">
        <row r="2">
          <cell r="A2" t="str">
            <v>Complete</v>
          </cell>
        </row>
      </sheetData>
      <sheetData sheetId="1901">
        <row r="2">
          <cell r="A2" t="str">
            <v>Complete</v>
          </cell>
        </row>
      </sheetData>
      <sheetData sheetId="1902">
        <row r="2">
          <cell r="A2" t="str">
            <v>Complete</v>
          </cell>
        </row>
      </sheetData>
      <sheetData sheetId="1903">
        <row r="2">
          <cell r="A2" t="str">
            <v>Complete</v>
          </cell>
        </row>
      </sheetData>
      <sheetData sheetId="1904">
        <row r="2">
          <cell r="A2" t="str">
            <v>Complete</v>
          </cell>
        </row>
      </sheetData>
      <sheetData sheetId="1905">
        <row r="2">
          <cell r="A2">
            <v>43462</v>
          </cell>
        </row>
      </sheetData>
      <sheetData sheetId="1906">
        <row r="2">
          <cell r="A2" t="str">
            <v>Complete</v>
          </cell>
        </row>
      </sheetData>
      <sheetData sheetId="1907">
        <row r="2">
          <cell r="A2" t="str">
            <v>Complete</v>
          </cell>
        </row>
      </sheetData>
      <sheetData sheetId="1908">
        <row r="2">
          <cell r="A2" t="str">
            <v>Complete</v>
          </cell>
        </row>
      </sheetData>
      <sheetData sheetId="1909">
        <row r="2">
          <cell r="A2" t="str">
            <v>Complete</v>
          </cell>
        </row>
      </sheetData>
      <sheetData sheetId="1910">
        <row r="2">
          <cell r="A2" t="str">
            <v>Complete</v>
          </cell>
        </row>
      </sheetData>
      <sheetData sheetId="1911">
        <row r="2">
          <cell r="A2">
            <v>43462</v>
          </cell>
        </row>
      </sheetData>
      <sheetData sheetId="1912">
        <row r="2">
          <cell r="A2" t="str">
            <v>Complete</v>
          </cell>
        </row>
      </sheetData>
      <sheetData sheetId="1913">
        <row r="2">
          <cell r="A2" t="str">
            <v>Complete</v>
          </cell>
        </row>
      </sheetData>
      <sheetData sheetId="1914">
        <row r="2">
          <cell r="A2" t="str">
            <v>Complete</v>
          </cell>
        </row>
      </sheetData>
      <sheetData sheetId="1915">
        <row r="2">
          <cell r="A2" t="str">
            <v>Complete</v>
          </cell>
        </row>
      </sheetData>
      <sheetData sheetId="1916">
        <row r="2">
          <cell r="A2" t="str">
            <v>Complete</v>
          </cell>
        </row>
      </sheetData>
      <sheetData sheetId="1917">
        <row r="2">
          <cell r="A2">
            <v>43462</v>
          </cell>
        </row>
      </sheetData>
      <sheetData sheetId="1918">
        <row r="2">
          <cell r="A2" t="str">
            <v>Complete</v>
          </cell>
        </row>
      </sheetData>
      <sheetData sheetId="1919">
        <row r="2">
          <cell r="A2" t="str">
            <v>Complete</v>
          </cell>
        </row>
      </sheetData>
      <sheetData sheetId="1920">
        <row r="2">
          <cell r="A2" t="str">
            <v>Complete</v>
          </cell>
        </row>
      </sheetData>
      <sheetData sheetId="1921">
        <row r="2">
          <cell r="A2" t="str">
            <v>Complete</v>
          </cell>
        </row>
      </sheetData>
      <sheetData sheetId="1922">
        <row r="2">
          <cell r="A2" t="str">
            <v>Complete</v>
          </cell>
        </row>
      </sheetData>
      <sheetData sheetId="1923">
        <row r="2">
          <cell r="A2">
            <v>43462</v>
          </cell>
        </row>
      </sheetData>
      <sheetData sheetId="1924">
        <row r="2">
          <cell r="A2" t="str">
            <v>Complete</v>
          </cell>
        </row>
      </sheetData>
      <sheetData sheetId="1925">
        <row r="2">
          <cell r="A2" t="str">
            <v>Complete</v>
          </cell>
        </row>
      </sheetData>
      <sheetData sheetId="1926">
        <row r="2">
          <cell r="A2" t="str">
            <v>Complete</v>
          </cell>
        </row>
      </sheetData>
      <sheetData sheetId="1927">
        <row r="2">
          <cell r="A2" t="str">
            <v>Complete</v>
          </cell>
        </row>
      </sheetData>
      <sheetData sheetId="1928">
        <row r="2">
          <cell r="A2" t="str">
            <v>Complete</v>
          </cell>
        </row>
      </sheetData>
      <sheetData sheetId="1929">
        <row r="2">
          <cell r="A2">
            <v>43462</v>
          </cell>
        </row>
      </sheetData>
      <sheetData sheetId="1930">
        <row r="2">
          <cell r="A2" t="str">
            <v>Complete</v>
          </cell>
        </row>
      </sheetData>
      <sheetData sheetId="1931">
        <row r="2">
          <cell r="A2" t="str">
            <v>Complete</v>
          </cell>
        </row>
      </sheetData>
      <sheetData sheetId="1932">
        <row r="2">
          <cell r="A2" t="str">
            <v>Complete</v>
          </cell>
        </row>
      </sheetData>
      <sheetData sheetId="1933">
        <row r="2">
          <cell r="A2" t="str">
            <v>Complete</v>
          </cell>
        </row>
      </sheetData>
      <sheetData sheetId="1934">
        <row r="2">
          <cell r="A2" t="str">
            <v>Complete</v>
          </cell>
        </row>
      </sheetData>
      <sheetData sheetId="1935">
        <row r="2">
          <cell r="A2">
            <v>43462</v>
          </cell>
        </row>
      </sheetData>
      <sheetData sheetId="1936">
        <row r="2">
          <cell r="A2" t="str">
            <v>Complete</v>
          </cell>
        </row>
      </sheetData>
      <sheetData sheetId="1937">
        <row r="2">
          <cell r="A2" t="str">
            <v>Complete</v>
          </cell>
        </row>
      </sheetData>
      <sheetData sheetId="1938">
        <row r="2">
          <cell r="A2" t="str">
            <v>Complete</v>
          </cell>
        </row>
      </sheetData>
      <sheetData sheetId="1939">
        <row r="2">
          <cell r="A2" t="str">
            <v>Complete</v>
          </cell>
        </row>
      </sheetData>
      <sheetData sheetId="1940">
        <row r="2">
          <cell r="A2" t="str">
            <v>Complete</v>
          </cell>
        </row>
      </sheetData>
      <sheetData sheetId="1941">
        <row r="2">
          <cell r="A2">
            <v>43462</v>
          </cell>
        </row>
      </sheetData>
      <sheetData sheetId="1942">
        <row r="2">
          <cell r="A2" t="str">
            <v>Complete</v>
          </cell>
        </row>
      </sheetData>
      <sheetData sheetId="1943">
        <row r="2">
          <cell r="A2" t="str">
            <v>Complete</v>
          </cell>
        </row>
      </sheetData>
      <sheetData sheetId="1944">
        <row r="2">
          <cell r="A2" t="str">
            <v>Complete</v>
          </cell>
        </row>
      </sheetData>
      <sheetData sheetId="1945">
        <row r="2">
          <cell r="A2" t="str">
            <v>Complete</v>
          </cell>
        </row>
      </sheetData>
      <sheetData sheetId="1946">
        <row r="2">
          <cell r="A2" t="str">
            <v>Complete</v>
          </cell>
        </row>
      </sheetData>
      <sheetData sheetId="1947">
        <row r="2">
          <cell r="A2">
            <v>43462</v>
          </cell>
        </row>
      </sheetData>
      <sheetData sheetId="1948">
        <row r="2">
          <cell r="A2" t="str">
            <v>Complete</v>
          </cell>
        </row>
      </sheetData>
      <sheetData sheetId="1949">
        <row r="2">
          <cell r="A2" t="str">
            <v>Complete</v>
          </cell>
        </row>
      </sheetData>
      <sheetData sheetId="1950">
        <row r="2">
          <cell r="A2" t="str">
            <v>Complete</v>
          </cell>
        </row>
      </sheetData>
      <sheetData sheetId="1951">
        <row r="2">
          <cell r="A2" t="str">
            <v>Complete</v>
          </cell>
        </row>
      </sheetData>
      <sheetData sheetId="1952">
        <row r="2">
          <cell r="A2" t="str">
            <v>Complete</v>
          </cell>
        </row>
      </sheetData>
      <sheetData sheetId="1953">
        <row r="2">
          <cell r="A2">
            <v>43462</v>
          </cell>
        </row>
      </sheetData>
      <sheetData sheetId="1954">
        <row r="2">
          <cell r="A2" t="str">
            <v>Complete</v>
          </cell>
        </row>
      </sheetData>
      <sheetData sheetId="1955">
        <row r="2">
          <cell r="A2" t="str">
            <v>Complete</v>
          </cell>
        </row>
      </sheetData>
      <sheetData sheetId="1956">
        <row r="2">
          <cell r="A2" t="str">
            <v>Complete</v>
          </cell>
        </row>
      </sheetData>
      <sheetData sheetId="1957">
        <row r="2">
          <cell r="A2" t="str">
            <v>Complete</v>
          </cell>
        </row>
      </sheetData>
      <sheetData sheetId="1958">
        <row r="2">
          <cell r="A2" t="str">
            <v>Complete</v>
          </cell>
        </row>
      </sheetData>
      <sheetData sheetId="1959">
        <row r="2">
          <cell r="A2">
            <v>43462</v>
          </cell>
        </row>
      </sheetData>
      <sheetData sheetId="1960">
        <row r="2">
          <cell r="A2" t="str">
            <v>Complete</v>
          </cell>
        </row>
      </sheetData>
      <sheetData sheetId="1961">
        <row r="2">
          <cell r="A2" t="str">
            <v>Complete</v>
          </cell>
        </row>
      </sheetData>
      <sheetData sheetId="1962">
        <row r="2">
          <cell r="A2" t="str">
            <v>Complete</v>
          </cell>
        </row>
      </sheetData>
      <sheetData sheetId="1963">
        <row r="2">
          <cell r="A2" t="str">
            <v>Complete</v>
          </cell>
        </row>
      </sheetData>
      <sheetData sheetId="1964">
        <row r="2">
          <cell r="A2" t="str">
            <v>Complete</v>
          </cell>
        </row>
      </sheetData>
      <sheetData sheetId="1965">
        <row r="2">
          <cell r="A2">
            <v>43462</v>
          </cell>
        </row>
      </sheetData>
      <sheetData sheetId="1966">
        <row r="2">
          <cell r="A2" t="str">
            <v>Complete</v>
          </cell>
        </row>
      </sheetData>
      <sheetData sheetId="1967">
        <row r="2">
          <cell r="A2" t="str">
            <v>Complete</v>
          </cell>
        </row>
      </sheetData>
      <sheetData sheetId="1968">
        <row r="2">
          <cell r="A2" t="str">
            <v>Complete</v>
          </cell>
        </row>
      </sheetData>
      <sheetData sheetId="1969">
        <row r="2">
          <cell r="A2" t="str">
            <v>Complete</v>
          </cell>
        </row>
      </sheetData>
      <sheetData sheetId="1970">
        <row r="2">
          <cell r="A2" t="str">
            <v>Complete</v>
          </cell>
        </row>
      </sheetData>
      <sheetData sheetId="1971">
        <row r="2">
          <cell r="A2">
            <v>43462</v>
          </cell>
        </row>
      </sheetData>
      <sheetData sheetId="1972">
        <row r="2">
          <cell r="A2" t="str">
            <v>Complete</v>
          </cell>
        </row>
      </sheetData>
      <sheetData sheetId="1973">
        <row r="2">
          <cell r="A2" t="str">
            <v>Complete</v>
          </cell>
        </row>
      </sheetData>
      <sheetData sheetId="1974">
        <row r="2">
          <cell r="A2">
            <v>43462</v>
          </cell>
        </row>
      </sheetData>
      <sheetData sheetId="1975">
        <row r="2">
          <cell r="A2" t="str">
            <v>Complete</v>
          </cell>
        </row>
      </sheetData>
      <sheetData sheetId="1976">
        <row r="2">
          <cell r="A2" t="str">
            <v>Complete</v>
          </cell>
        </row>
      </sheetData>
      <sheetData sheetId="1977">
        <row r="2">
          <cell r="A2">
            <v>43462</v>
          </cell>
        </row>
      </sheetData>
      <sheetData sheetId="1978">
        <row r="2">
          <cell r="A2" t="str">
            <v>Complete</v>
          </cell>
        </row>
      </sheetData>
      <sheetData sheetId="1979">
        <row r="2">
          <cell r="A2" t="str">
            <v>Complete</v>
          </cell>
        </row>
      </sheetData>
      <sheetData sheetId="1980">
        <row r="2">
          <cell r="A2" t="str">
            <v>Complete</v>
          </cell>
        </row>
      </sheetData>
      <sheetData sheetId="1981">
        <row r="2">
          <cell r="A2" t="str">
            <v>Complete</v>
          </cell>
        </row>
      </sheetData>
      <sheetData sheetId="1982">
        <row r="2">
          <cell r="A2" t="str">
            <v>Complete</v>
          </cell>
        </row>
      </sheetData>
      <sheetData sheetId="1983">
        <row r="2">
          <cell r="A2">
            <v>43462</v>
          </cell>
        </row>
      </sheetData>
      <sheetData sheetId="1984">
        <row r="2">
          <cell r="A2" t="str">
            <v>Complete</v>
          </cell>
        </row>
      </sheetData>
      <sheetData sheetId="1985">
        <row r="2">
          <cell r="A2" t="str">
            <v>Complete</v>
          </cell>
        </row>
      </sheetData>
      <sheetData sheetId="1986">
        <row r="2">
          <cell r="A2">
            <v>43462</v>
          </cell>
        </row>
      </sheetData>
      <sheetData sheetId="1987">
        <row r="2">
          <cell r="A2" t="str">
            <v>Complete</v>
          </cell>
        </row>
      </sheetData>
      <sheetData sheetId="1988">
        <row r="2">
          <cell r="A2" t="str">
            <v>Complete</v>
          </cell>
        </row>
      </sheetData>
      <sheetData sheetId="1989">
        <row r="2">
          <cell r="A2">
            <v>43462</v>
          </cell>
        </row>
      </sheetData>
      <sheetData sheetId="1990">
        <row r="2">
          <cell r="A2" t="str">
            <v>Complete</v>
          </cell>
        </row>
      </sheetData>
      <sheetData sheetId="1991">
        <row r="2">
          <cell r="A2" t="str">
            <v>Complete</v>
          </cell>
        </row>
      </sheetData>
      <sheetData sheetId="1992">
        <row r="2">
          <cell r="A2" t="str">
            <v>Complete</v>
          </cell>
        </row>
      </sheetData>
      <sheetData sheetId="1993">
        <row r="2">
          <cell r="A2" t="str">
            <v>Complete</v>
          </cell>
        </row>
      </sheetData>
      <sheetData sheetId="1994">
        <row r="2">
          <cell r="A2" t="str">
            <v>Complete</v>
          </cell>
        </row>
      </sheetData>
      <sheetData sheetId="1995">
        <row r="2">
          <cell r="A2">
            <v>43462</v>
          </cell>
        </row>
      </sheetData>
      <sheetData sheetId="1996">
        <row r="2">
          <cell r="A2" t="str">
            <v>Complete</v>
          </cell>
        </row>
      </sheetData>
      <sheetData sheetId="1997">
        <row r="2">
          <cell r="A2" t="str">
            <v>Complete</v>
          </cell>
        </row>
      </sheetData>
      <sheetData sheetId="1998">
        <row r="2">
          <cell r="A2">
            <v>43462</v>
          </cell>
        </row>
      </sheetData>
      <sheetData sheetId="1999">
        <row r="2">
          <cell r="A2" t="str">
            <v>Complete</v>
          </cell>
        </row>
      </sheetData>
      <sheetData sheetId="2000">
        <row r="2">
          <cell r="A2" t="str">
            <v>Complete</v>
          </cell>
        </row>
      </sheetData>
      <sheetData sheetId="2001">
        <row r="2">
          <cell r="A2">
            <v>43462</v>
          </cell>
        </row>
      </sheetData>
      <sheetData sheetId="2002">
        <row r="2">
          <cell r="A2" t="str">
            <v>Complete</v>
          </cell>
        </row>
      </sheetData>
      <sheetData sheetId="2003">
        <row r="2">
          <cell r="A2" t="str">
            <v>Complete</v>
          </cell>
        </row>
      </sheetData>
      <sheetData sheetId="2004">
        <row r="2">
          <cell r="A2" t="str">
            <v>Complete</v>
          </cell>
        </row>
      </sheetData>
      <sheetData sheetId="2005">
        <row r="2">
          <cell r="A2" t="str">
            <v>Complete</v>
          </cell>
        </row>
      </sheetData>
      <sheetData sheetId="2006">
        <row r="2">
          <cell r="A2" t="str">
            <v>Complete</v>
          </cell>
        </row>
      </sheetData>
      <sheetData sheetId="2007">
        <row r="2">
          <cell r="A2">
            <v>43462</v>
          </cell>
        </row>
      </sheetData>
      <sheetData sheetId="2008">
        <row r="2">
          <cell r="A2" t="str">
            <v>Complete</v>
          </cell>
        </row>
      </sheetData>
      <sheetData sheetId="2009">
        <row r="2">
          <cell r="A2" t="str">
            <v>Complete</v>
          </cell>
        </row>
      </sheetData>
      <sheetData sheetId="2010">
        <row r="2">
          <cell r="A2">
            <v>43462</v>
          </cell>
        </row>
      </sheetData>
      <sheetData sheetId="2011">
        <row r="2">
          <cell r="A2" t="str">
            <v>Complete</v>
          </cell>
        </row>
      </sheetData>
      <sheetData sheetId="2012">
        <row r="2">
          <cell r="A2" t="str">
            <v>Complete</v>
          </cell>
        </row>
      </sheetData>
      <sheetData sheetId="2013">
        <row r="2">
          <cell r="A2" t="str">
            <v>Complete</v>
          </cell>
        </row>
      </sheetData>
      <sheetData sheetId="2014">
        <row r="2">
          <cell r="A2" t="str">
            <v>Complete</v>
          </cell>
        </row>
      </sheetData>
      <sheetData sheetId="2015">
        <row r="2">
          <cell r="A2" t="str">
            <v>Complete</v>
          </cell>
        </row>
      </sheetData>
      <sheetData sheetId="2016">
        <row r="2">
          <cell r="A2" t="str">
            <v>Complete</v>
          </cell>
        </row>
      </sheetData>
      <sheetData sheetId="2017">
        <row r="2">
          <cell r="A2" t="str">
            <v>Complete</v>
          </cell>
        </row>
      </sheetData>
      <sheetData sheetId="2018">
        <row r="2">
          <cell r="A2" t="str">
            <v>Complete</v>
          </cell>
        </row>
      </sheetData>
      <sheetData sheetId="2019">
        <row r="2">
          <cell r="A2">
            <v>43462</v>
          </cell>
        </row>
      </sheetData>
      <sheetData sheetId="2020">
        <row r="2">
          <cell r="A2" t="str">
            <v>Complete</v>
          </cell>
        </row>
      </sheetData>
      <sheetData sheetId="2021">
        <row r="2">
          <cell r="A2" t="str">
            <v>Complete</v>
          </cell>
        </row>
      </sheetData>
      <sheetData sheetId="2022">
        <row r="2">
          <cell r="A2">
            <v>43462</v>
          </cell>
        </row>
      </sheetData>
      <sheetData sheetId="2023">
        <row r="2">
          <cell r="A2" t="str">
            <v>Complete</v>
          </cell>
        </row>
      </sheetData>
      <sheetData sheetId="2024">
        <row r="2">
          <cell r="A2" t="str">
            <v>Complete</v>
          </cell>
        </row>
      </sheetData>
      <sheetData sheetId="2025">
        <row r="2">
          <cell r="A2" t="str">
            <v>Complete</v>
          </cell>
        </row>
      </sheetData>
      <sheetData sheetId="2026">
        <row r="2">
          <cell r="A2" t="str">
            <v>Complete</v>
          </cell>
        </row>
      </sheetData>
      <sheetData sheetId="2027">
        <row r="2">
          <cell r="A2" t="str">
            <v>Complete</v>
          </cell>
        </row>
      </sheetData>
      <sheetData sheetId="2028">
        <row r="2">
          <cell r="A2" t="str">
            <v>Complete</v>
          </cell>
        </row>
      </sheetData>
      <sheetData sheetId="2029">
        <row r="2">
          <cell r="A2" t="str">
            <v>Complete</v>
          </cell>
        </row>
      </sheetData>
      <sheetData sheetId="2030">
        <row r="2">
          <cell r="A2" t="str">
            <v>Complete</v>
          </cell>
        </row>
      </sheetData>
      <sheetData sheetId="2031">
        <row r="2">
          <cell r="A2">
            <v>43462</v>
          </cell>
        </row>
      </sheetData>
      <sheetData sheetId="2032">
        <row r="2">
          <cell r="A2" t="str">
            <v>Complete</v>
          </cell>
        </row>
      </sheetData>
      <sheetData sheetId="2033">
        <row r="2">
          <cell r="A2" t="str">
            <v>Complete</v>
          </cell>
        </row>
      </sheetData>
      <sheetData sheetId="2034">
        <row r="2">
          <cell r="A2">
            <v>43462</v>
          </cell>
        </row>
      </sheetData>
      <sheetData sheetId="2035">
        <row r="2">
          <cell r="A2" t="str">
            <v>Complete</v>
          </cell>
        </row>
      </sheetData>
      <sheetData sheetId="2036">
        <row r="2">
          <cell r="A2" t="str">
            <v>Complete</v>
          </cell>
        </row>
      </sheetData>
      <sheetData sheetId="2037">
        <row r="2">
          <cell r="A2" t="str">
            <v>Complete</v>
          </cell>
        </row>
      </sheetData>
      <sheetData sheetId="2038">
        <row r="2">
          <cell r="A2" t="str">
            <v>Complete</v>
          </cell>
        </row>
      </sheetData>
      <sheetData sheetId="2039">
        <row r="2">
          <cell r="A2" t="str">
            <v>Complete</v>
          </cell>
        </row>
      </sheetData>
      <sheetData sheetId="2040">
        <row r="2">
          <cell r="A2" t="str">
            <v>Complete</v>
          </cell>
        </row>
      </sheetData>
      <sheetData sheetId="2041">
        <row r="2">
          <cell r="A2" t="str">
            <v>Complete</v>
          </cell>
        </row>
      </sheetData>
      <sheetData sheetId="2042">
        <row r="2">
          <cell r="A2" t="str">
            <v>Complete</v>
          </cell>
        </row>
      </sheetData>
      <sheetData sheetId="2043">
        <row r="2">
          <cell r="A2">
            <v>43462</v>
          </cell>
        </row>
      </sheetData>
      <sheetData sheetId="2044">
        <row r="2">
          <cell r="A2" t="str">
            <v>Complete</v>
          </cell>
        </row>
      </sheetData>
      <sheetData sheetId="2045">
        <row r="2">
          <cell r="A2" t="str">
            <v>Complete</v>
          </cell>
        </row>
      </sheetData>
      <sheetData sheetId="2046">
        <row r="2">
          <cell r="A2" t="str">
            <v>Complete</v>
          </cell>
        </row>
      </sheetData>
      <sheetData sheetId="2047">
        <row r="2">
          <cell r="A2" t="str">
            <v>Complete</v>
          </cell>
        </row>
      </sheetData>
      <sheetData sheetId="2048">
        <row r="2">
          <cell r="A2" t="str">
            <v>Complete</v>
          </cell>
        </row>
      </sheetData>
      <sheetData sheetId="2049">
        <row r="2">
          <cell r="A2" t="str">
            <v>Complete</v>
          </cell>
        </row>
      </sheetData>
      <sheetData sheetId="2050">
        <row r="2">
          <cell r="A2" t="str">
            <v>Complete</v>
          </cell>
        </row>
      </sheetData>
      <sheetData sheetId="2051">
        <row r="2">
          <cell r="A2" t="str">
            <v>Complete</v>
          </cell>
        </row>
      </sheetData>
      <sheetData sheetId="2052">
        <row r="2">
          <cell r="A2" t="str">
            <v>Complete</v>
          </cell>
        </row>
      </sheetData>
      <sheetData sheetId="2053">
        <row r="2">
          <cell r="A2" t="str">
            <v>Complete</v>
          </cell>
        </row>
      </sheetData>
      <sheetData sheetId="2054">
        <row r="2">
          <cell r="A2" t="str">
            <v>Complete</v>
          </cell>
        </row>
      </sheetData>
      <sheetData sheetId="2055">
        <row r="2">
          <cell r="A2">
            <v>43462</v>
          </cell>
        </row>
      </sheetData>
      <sheetData sheetId="2056">
        <row r="2">
          <cell r="A2" t="str">
            <v>Complete</v>
          </cell>
        </row>
      </sheetData>
      <sheetData sheetId="2057">
        <row r="2">
          <cell r="A2" t="str">
            <v>Complete</v>
          </cell>
        </row>
      </sheetData>
      <sheetData sheetId="2058">
        <row r="2">
          <cell r="A2" t="str">
            <v>Complete</v>
          </cell>
        </row>
      </sheetData>
      <sheetData sheetId="2059">
        <row r="2">
          <cell r="A2" t="str">
            <v>Complete</v>
          </cell>
        </row>
      </sheetData>
      <sheetData sheetId="2060">
        <row r="2">
          <cell r="A2" t="str">
            <v>Complete</v>
          </cell>
        </row>
      </sheetData>
      <sheetData sheetId="2061">
        <row r="2">
          <cell r="A2" t="str">
            <v>Complete</v>
          </cell>
        </row>
      </sheetData>
      <sheetData sheetId="2062">
        <row r="2">
          <cell r="A2" t="str">
            <v>Complete</v>
          </cell>
        </row>
      </sheetData>
      <sheetData sheetId="2063">
        <row r="2">
          <cell r="A2" t="str">
            <v>Complete</v>
          </cell>
        </row>
      </sheetData>
      <sheetData sheetId="2064">
        <row r="2">
          <cell r="A2" t="str">
            <v>Complete</v>
          </cell>
        </row>
      </sheetData>
      <sheetData sheetId="2065">
        <row r="2">
          <cell r="A2" t="str">
            <v>Complete</v>
          </cell>
        </row>
      </sheetData>
      <sheetData sheetId="2066">
        <row r="2">
          <cell r="A2" t="str">
            <v>Complete</v>
          </cell>
        </row>
      </sheetData>
      <sheetData sheetId="2067">
        <row r="2">
          <cell r="A2">
            <v>43462</v>
          </cell>
        </row>
      </sheetData>
      <sheetData sheetId="2068">
        <row r="2">
          <cell r="A2" t="str">
            <v>Complete</v>
          </cell>
        </row>
      </sheetData>
      <sheetData sheetId="2069">
        <row r="2">
          <cell r="A2" t="str">
            <v>Complete</v>
          </cell>
        </row>
      </sheetData>
      <sheetData sheetId="2070">
        <row r="2">
          <cell r="A2" t="str">
            <v>Complete</v>
          </cell>
        </row>
      </sheetData>
      <sheetData sheetId="2071">
        <row r="2">
          <cell r="A2" t="str">
            <v>Complete</v>
          </cell>
        </row>
      </sheetData>
      <sheetData sheetId="2072">
        <row r="2">
          <cell r="A2" t="str">
            <v>Complete</v>
          </cell>
        </row>
      </sheetData>
      <sheetData sheetId="2073">
        <row r="2">
          <cell r="A2">
            <v>43462</v>
          </cell>
        </row>
      </sheetData>
      <sheetData sheetId="2074">
        <row r="2">
          <cell r="A2" t="str">
            <v>Complete</v>
          </cell>
        </row>
      </sheetData>
      <sheetData sheetId="2075">
        <row r="2">
          <cell r="A2" t="str">
            <v>Complete</v>
          </cell>
        </row>
      </sheetData>
      <sheetData sheetId="2076">
        <row r="2">
          <cell r="A2" t="str">
            <v>Complete</v>
          </cell>
        </row>
      </sheetData>
      <sheetData sheetId="2077">
        <row r="2">
          <cell r="A2" t="str">
            <v>Complete</v>
          </cell>
        </row>
      </sheetData>
      <sheetData sheetId="2078">
        <row r="2">
          <cell r="A2" t="str">
            <v>Complete</v>
          </cell>
        </row>
      </sheetData>
      <sheetData sheetId="2079">
        <row r="2">
          <cell r="A2">
            <v>43462</v>
          </cell>
        </row>
      </sheetData>
      <sheetData sheetId="2080">
        <row r="2">
          <cell r="A2" t="str">
            <v>Complete</v>
          </cell>
        </row>
      </sheetData>
      <sheetData sheetId="2081">
        <row r="2">
          <cell r="A2" t="str">
            <v>Complete</v>
          </cell>
        </row>
      </sheetData>
      <sheetData sheetId="2082">
        <row r="2">
          <cell r="A2" t="str">
            <v>Complete</v>
          </cell>
        </row>
      </sheetData>
      <sheetData sheetId="2083">
        <row r="2">
          <cell r="A2" t="str">
            <v>Complete</v>
          </cell>
        </row>
      </sheetData>
      <sheetData sheetId="2084">
        <row r="2">
          <cell r="A2" t="str">
            <v>Complete</v>
          </cell>
        </row>
      </sheetData>
      <sheetData sheetId="2085">
        <row r="2">
          <cell r="A2">
            <v>43462</v>
          </cell>
        </row>
      </sheetData>
      <sheetData sheetId="2086">
        <row r="2">
          <cell r="A2" t="str">
            <v>Complete</v>
          </cell>
        </row>
      </sheetData>
      <sheetData sheetId="2087">
        <row r="2">
          <cell r="A2" t="str">
            <v>Complete</v>
          </cell>
        </row>
      </sheetData>
      <sheetData sheetId="2088">
        <row r="2">
          <cell r="A2" t="str">
            <v>Complete</v>
          </cell>
        </row>
      </sheetData>
      <sheetData sheetId="2089">
        <row r="2">
          <cell r="A2" t="str">
            <v>Complete</v>
          </cell>
        </row>
      </sheetData>
      <sheetData sheetId="2090">
        <row r="2">
          <cell r="A2" t="str">
            <v>Complete</v>
          </cell>
        </row>
      </sheetData>
      <sheetData sheetId="2091">
        <row r="2">
          <cell r="A2">
            <v>43462</v>
          </cell>
        </row>
      </sheetData>
      <sheetData sheetId="2092">
        <row r="2">
          <cell r="A2" t="str">
            <v>Complete</v>
          </cell>
        </row>
      </sheetData>
      <sheetData sheetId="2093">
        <row r="2">
          <cell r="A2" t="str">
            <v>Complete</v>
          </cell>
        </row>
      </sheetData>
      <sheetData sheetId="2094">
        <row r="2">
          <cell r="A2" t="str">
            <v>Complete</v>
          </cell>
        </row>
      </sheetData>
      <sheetData sheetId="2095">
        <row r="2">
          <cell r="A2" t="str">
            <v>Complete</v>
          </cell>
        </row>
      </sheetData>
      <sheetData sheetId="2096">
        <row r="2">
          <cell r="A2" t="str">
            <v>Complete</v>
          </cell>
        </row>
      </sheetData>
      <sheetData sheetId="2097">
        <row r="2">
          <cell r="A2">
            <v>43462</v>
          </cell>
        </row>
      </sheetData>
      <sheetData sheetId="2098">
        <row r="2">
          <cell r="A2" t="str">
            <v>Complete</v>
          </cell>
        </row>
      </sheetData>
      <sheetData sheetId="2099">
        <row r="2">
          <cell r="A2" t="str">
            <v>Complete</v>
          </cell>
        </row>
      </sheetData>
      <sheetData sheetId="2100">
        <row r="2">
          <cell r="A2" t="str">
            <v>Complete</v>
          </cell>
        </row>
      </sheetData>
      <sheetData sheetId="2101">
        <row r="2">
          <cell r="A2" t="str">
            <v>Complete</v>
          </cell>
        </row>
      </sheetData>
      <sheetData sheetId="2102">
        <row r="2">
          <cell r="A2">
            <v>43462</v>
          </cell>
        </row>
      </sheetData>
      <sheetData sheetId="2103">
        <row r="2">
          <cell r="A2">
            <v>43462</v>
          </cell>
        </row>
      </sheetData>
      <sheetData sheetId="2104">
        <row r="2">
          <cell r="A2" t="str">
            <v>Complete</v>
          </cell>
        </row>
      </sheetData>
      <sheetData sheetId="2105">
        <row r="2">
          <cell r="A2" t="str">
            <v>Complete</v>
          </cell>
        </row>
      </sheetData>
      <sheetData sheetId="2106">
        <row r="2">
          <cell r="A2" t="str">
            <v>Complete</v>
          </cell>
        </row>
      </sheetData>
      <sheetData sheetId="2107">
        <row r="2">
          <cell r="A2">
            <v>43462</v>
          </cell>
        </row>
      </sheetData>
      <sheetData sheetId="2108">
        <row r="2">
          <cell r="A2" t="str">
            <v>Complete</v>
          </cell>
        </row>
      </sheetData>
      <sheetData sheetId="2109">
        <row r="2">
          <cell r="A2">
            <v>43462</v>
          </cell>
        </row>
      </sheetData>
      <sheetData sheetId="2110">
        <row r="2">
          <cell r="A2" t="str">
            <v>Complete</v>
          </cell>
        </row>
      </sheetData>
      <sheetData sheetId="2111">
        <row r="2">
          <cell r="A2" t="str">
            <v>Complete</v>
          </cell>
        </row>
      </sheetData>
      <sheetData sheetId="2112">
        <row r="2">
          <cell r="A2" t="str">
            <v>Complete</v>
          </cell>
        </row>
      </sheetData>
      <sheetData sheetId="2113">
        <row r="2">
          <cell r="A2" t="str">
            <v>Complete</v>
          </cell>
        </row>
      </sheetData>
      <sheetData sheetId="2114">
        <row r="2">
          <cell r="A2">
            <v>43462</v>
          </cell>
        </row>
      </sheetData>
      <sheetData sheetId="2115">
        <row r="2">
          <cell r="A2">
            <v>43462</v>
          </cell>
        </row>
      </sheetData>
      <sheetData sheetId="2116">
        <row r="2">
          <cell r="A2" t="str">
            <v>Complete</v>
          </cell>
        </row>
      </sheetData>
      <sheetData sheetId="2117">
        <row r="2">
          <cell r="A2" t="str">
            <v>Complete</v>
          </cell>
        </row>
      </sheetData>
      <sheetData sheetId="2118">
        <row r="2">
          <cell r="A2" t="str">
            <v>Complete</v>
          </cell>
        </row>
      </sheetData>
      <sheetData sheetId="2119">
        <row r="2">
          <cell r="A2">
            <v>43462</v>
          </cell>
        </row>
      </sheetData>
      <sheetData sheetId="2120">
        <row r="2">
          <cell r="A2" t="str">
            <v>Complete</v>
          </cell>
        </row>
      </sheetData>
      <sheetData sheetId="2121">
        <row r="2">
          <cell r="A2">
            <v>43462</v>
          </cell>
        </row>
      </sheetData>
      <sheetData sheetId="2122">
        <row r="2">
          <cell r="A2" t="str">
            <v>Complete</v>
          </cell>
        </row>
      </sheetData>
      <sheetData sheetId="2123">
        <row r="2">
          <cell r="A2" t="str">
            <v>Complete</v>
          </cell>
        </row>
      </sheetData>
      <sheetData sheetId="2124" refreshError="1"/>
      <sheetData sheetId="2125">
        <row r="2">
          <cell r="A2" t="str">
            <v>Complete</v>
          </cell>
        </row>
      </sheetData>
      <sheetData sheetId="2126">
        <row r="2">
          <cell r="A2" t="str">
            <v>Complete</v>
          </cell>
        </row>
      </sheetData>
      <sheetData sheetId="2127">
        <row r="2">
          <cell r="A2">
            <v>43462</v>
          </cell>
        </row>
      </sheetData>
      <sheetData sheetId="2128">
        <row r="2">
          <cell r="A2">
            <v>43462</v>
          </cell>
        </row>
      </sheetData>
      <sheetData sheetId="2129">
        <row r="2">
          <cell r="A2" t="str">
            <v>Complete</v>
          </cell>
        </row>
      </sheetData>
      <sheetData sheetId="2130">
        <row r="2">
          <cell r="A2" t="str">
            <v>Complete</v>
          </cell>
        </row>
      </sheetData>
      <sheetData sheetId="2131">
        <row r="2">
          <cell r="A2">
            <v>43462</v>
          </cell>
        </row>
      </sheetData>
      <sheetData sheetId="2132">
        <row r="2">
          <cell r="A2" t="str">
            <v>Complete</v>
          </cell>
        </row>
      </sheetData>
      <sheetData sheetId="2133">
        <row r="2">
          <cell r="A2" t="str">
            <v>Complete</v>
          </cell>
        </row>
      </sheetData>
      <sheetData sheetId="2134">
        <row r="2">
          <cell r="A2" t="str">
            <v>Complete</v>
          </cell>
        </row>
      </sheetData>
      <sheetData sheetId="2135">
        <row r="2">
          <cell r="A2" t="str">
            <v>Complete</v>
          </cell>
        </row>
      </sheetData>
      <sheetData sheetId="2136">
        <row r="2">
          <cell r="A2" t="str">
            <v>Complete</v>
          </cell>
        </row>
      </sheetData>
      <sheetData sheetId="2137">
        <row r="2">
          <cell r="A2" t="str">
            <v>Complete</v>
          </cell>
        </row>
      </sheetData>
      <sheetData sheetId="2138">
        <row r="2">
          <cell r="A2" t="str">
            <v>Complete</v>
          </cell>
        </row>
      </sheetData>
      <sheetData sheetId="2139">
        <row r="2">
          <cell r="A2">
            <v>43462</v>
          </cell>
        </row>
      </sheetData>
      <sheetData sheetId="2140">
        <row r="2">
          <cell r="A2">
            <v>43462</v>
          </cell>
        </row>
      </sheetData>
      <sheetData sheetId="2141">
        <row r="2">
          <cell r="A2" t="str">
            <v>Complete</v>
          </cell>
        </row>
      </sheetData>
      <sheetData sheetId="2142">
        <row r="2">
          <cell r="A2" t="str">
            <v>Complete</v>
          </cell>
        </row>
      </sheetData>
      <sheetData sheetId="2143">
        <row r="2">
          <cell r="A2">
            <v>43462</v>
          </cell>
        </row>
      </sheetData>
      <sheetData sheetId="2144">
        <row r="2">
          <cell r="A2" t="str">
            <v>Complete</v>
          </cell>
        </row>
      </sheetData>
      <sheetData sheetId="2145">
        <row r="2">
          <cell r="A2" t="str">
            <v>Complete</v>
          </cell>
        </row>
      </sheetData>
      <sheetData sheetId="2146">
        <row r="2">
          <cell r="A2" t="str">
            <v>Complete</v>
          </cell>
        </row>
      </sheetData>
      <sheetData sheetId="2147">
        <row r="2">
          <cell r="A2" t="str">
            <v>Complete</v>
          </cell>
        </row>
      </sheetData>
      <sheetData sheetId="2148">
        <row r="2">
          <cell r="A2" t="str">
            <v>Complete</v>
          </cell>
        </row>
      </sheetData>
      <sheetData sheetId="2149">
        <row r="2">
          <cell r="A2" t="str">
            <v>Complete</v>
          </cell>
        </row>
      </sheetData>
      <sheetData sheetId="2150">
        <row r="2">
          <cell r="A2" t="str">
            <v>Complete</v>
          </cell>
        </row>
      </sheetData>
      <sheetData sheetId="2151">
        <row r="2">
          <cell r="A2">
            <v>43462</v>
          </cell>
        </row>
      </sheetData>
      <sheetData sheetId="2152">
        <row r="2">
          <cell r="A2">
            <v>43462</v>
          </cell>
        </row>
      </sheetData>
      <sheetData sheetId="2153">
        <row r="2">
          <cell r="A2" t="str">
            <v>Complete</v>
          </cell>
        </row>
      </sheetData>
      <sheetData sheetId="2154">
        <row r="2">
          <cell r="A2" t="str">
            <v>Complete</v>
          </cell>
        </row>
      </sheetData>
      <sheetData sheetId="2155">
        <row r="2">
          <cell r="A2">
            <v>43462</v>
          </cell>
        </row>
      </sheetData>
      <sheetData sheetId="2156">
        <row r="2">
          <cell r="A2" t="str">
            <v>Complete</v>
          </cell>
        </row>
      </sheetData>
      <sheetData sheetId="2157">
        <row r="2">
          <cell r="A2" t="str">
            <v>Complete</v>
          </cell>
        </row>
      </sheetData>
      <sheetData sheetId="2158">
        <row r="2">
          <cell r="A2" t="str">
            <v>Complete</v>
          </cell>
        </row>
      </sheetData>
      <sheetData sheetId="2159">
        <row r="2">
          <cell r="A2" t="str">
            <v>Complete</v>
          </cell>
        </row>
      </sheetData>
      <sheetData sheetId="2160">
        <row r="2">
          <cell r="A2" t="str">
            <v>Complete</v>
          </cell>
        </row>
      </sheetData>
      <sheetData sheetId="2161">
        <row r="2">
          <cell r="A2" t="str">
            <v>Complete</v>
          </cell>
        </row>
      </sheetData>
      <sheetData sheetId="2162">
        <row r="2">
          <cell r="A2" t="str">
            <v>Complete</v>
          </cell>
        </row>
      </sheetData>
      <sheetData sheetId="2163">
        <row r="2">
          <cell r="A2">
            <v>43462</v>
          </cell>
        </row>
      </sheetData>
      <sheetData sheetId="2164">
        <row r="2">
          <cell r="A2">
            <v>43462</v>
          </cell>
        </row>
      </sheetData>
      <sheetData sheetId="2165">
        <row r="2">
          <cell r="A2" t="str">
            <v>Complete</v>
          </cell>
        </row>
      </sheetData>
      <sheetData sheetId="2166">
        <row r="2">
          <cell r="A2" t="str">
            <v>Complete</v>
          </cell>
        </row>
      </sheetData>
      <sheetData sheetId="2167">
        <row r="2">
          <cell r="A2">
            <v>43462</v>
          </cell>
        </row>
      </sheetData>
      <sheetData sheetId="2168">
        <row r="2">
          <cell r="A2" t="str">
            <v>Complete</v>
          </cell>
        </row>
      </sheetData>
      <sheetData sheetId="2169">
        <row r="2">
          <cell r="A2" t="str">
            <v>Complete</v>
          </cell>
        </row>
      </sheetData>
      <sheetData sheetId="2170">
        <row r="2">
          <cell r="A2" t="str">
            <v>Complete</v>
          </cell>
        </row>
      </sheetData>
      <sheetData sheetId="2171">
        <row r="2">
          <cell r="A2" t="str">
            <v>Complete</v>
          </cell>
        </row>
      </sheetData>
      <sheetData sheetId="2172">
        <row r="2">
          <cell r="A2" t="str">
            <v>Complete</v>
          </cell>
        </row>
      </sheetData>
      <sheetData sheetId="2173">
        <row r="2">
          <cell r="A2" t="str">
            <v>Complete</v>
          </cell>
        </row>
      </sheetData>
      <sheetData sheetId="2174">
        <row r="2">
          <cell r="A2" t="str">
            <v>Complete</v>
          </cell>
        </row>
      </sheetData>
      <sheetData sheetId="2175">
        <row r="2">
          <cell r="A2">
            <v>43462</v>
          </cell>
        </row>
      </sheetData>
      <sheetData sheetId="2176">
        <row r="2">
          <cell r="A2">
            <v>43462</v>
          </cell>
        </row>
      </sheetData>
      <sheetData sheetId="2177">
        <row r="2">
          <cell r="A2" t="str">
            <v>Complete</v>
          </cell>
        </row>
      </sheetData>
      <sheetData sheetId="2178">
        <row r="2">
          <cell r="A2" t="str">
            <v>Complete</v>
          </cell>
        </row>
      </sheetData>
      <sheetData sheetId="2179">
        <row r="2">
          <cell r="A2">
            <v>43462</v>
          </cell>
        </row>
      </sheetData>
      <sheetData sheetId="2180">
        <row r="2">
          <cell r="A2" t="str">
            <v>Complete</v>
          </cell>
        </row>
      </sheetData>
      <sheetData sheetId="2181">
        <row r="2">
          <cell r="A2" t="str">
            <v>Complete</v>
          </cell>
        </row>
      </sheetData>
      <sheetData sheetId="2182">
        <row r="2">
          <cell r="A2" t="str">
            <v>Complete</v>
          </cell>
        </row>
      </sheetData>
      <sheetData sheetId="2183">
        <row r="2">
          <cell r="A2" t="str">
            <v>Complete</v>
          </cell>
        </row>
      </sheetData>
      <sheetData sheetId="2184">
        <row r="2">
          <cell r="A2" t="str">
            <v>Complete</v>
          </cell>
        </row>
      </sheetData>
      <sheetData sheetId="2185">
        <row r="2">
          <cell r="A2" t="str">
            <v>Complete</v>
          </cell>
        </row>
      </sheetData>
      <sheetData sheetId="2186">
        <row r="2">
          <cell r="A2" t="str">
            <v>Complete</v>
          </cell>
        </row>
      </sheetData>
      <sheetData sheetId="2187">
        <row r="2">
          <cell r="A2">
            <v>43462</v>
          </cell>
        </row>
      </sheetData>
      <sheetData sheetId="2188">
        <row r="2">
          <cell r="A2">
            <v>43462</v>
          </cell>
        </row>
      </sheetData>
      <sheetData sheetId="2189">
        <row r="2">
          <cell r="A2" t="str">
            <v>Complete</v>
          </cell>
        </row>
      </sheetData>
      <sheetData sheetId="2190">
        <row r="2">
          <cell r="A2" t="str">
            <v>Complete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A2" t="str">
            <v>Complete</v>
          </cell>
        </row>
      </sheetData>
      <sheetData sheetId="2397">
        <row r="2">
          <cell r="A2" t="str">
            <v>Complete</v>
          </cell>
        </row>
      </sheetData>
      <sheetData sheetId="2398">
        <row r="2">
          <cell r="A2" t="str">
            <v>Complete</v>
          </cell>
        </row>
      </sheetData>
      <sheetData sheetId="2399">
        <row r="2">
          <cell r="A2" t="str">
            <v>Complete</v>
          </cell>
        </row>
      </sheetData>
      <sheetData sheetId="2400">
        <row r="2">
          <cell r="A2" t="str">
            <v>Complete</v>
          </cell>
        </row>
      </sheetData>
      <sheetData sheetId="2401">
        <row r="2">
          <cell r="A2" t="str">
            <v>Complete</v>
          </cell>
        </row>
      </sheetData>
      <sheetData sheetId="2402">
        <row r="2">
          <cell r="A2" t="str">
            <v>Complete</v>
          </cell>
        </row>
      </sheetData>
      <sheetData sheetId="2403">
        <row r="2">
          <cell r="A2" t="str">
            <v>Complete</v>
          </cell>
        </row>
      </sheetData>
      <sheetData sheetId="2404">
        <row r="2">
          <cell r="A2" t="str">
            <v>Complete</v>
          </cell>
        </row>
      </sheetData>
      <sheetData sheetId="2405">
        <row r="2">
          <cell r="A2" t="str">
            <v>Complete</v>
          </cell>
        </row>
      </sheetData>
      <sheetData sheetId="2406">
        <row r="2">
          <cell r="A2" t="str">
            <v>Complete</v>
          </cell>
        </row>
      </sheetData>
      <sheetData sheetId="2407">
        <row r="2">
          <cell r="A2" t="str">
            <v>Complete</v>
          </cell>
        </row>
      </sheetData>
      <sheetData sheetId="2408">
        <row r="2">
          <cell r="A2" t="str">
            <v>Complete</v>
          </cell>
        </row>
      </sheetData>
      <sheetData sheetId="2409">
        <row r="2">
          <cell r="A2" t="str">
            <v>Complete</v>
          </cell>
        </row>
      </sheetData>
      <sheetData sheetId="2410">
        <row r="2">
          <cell r="A2" t="str">
            <v>Complete</v>
          </cell>
        </row>
      </sheetData>
      <sheetData sheetId="2411">
        <row r="2">
          <cell r="A2" t="str">
            <v>Complete</v>
          </cell>
        </row>
      </sheetData>
      <sheetData sheetId="2412">
        <row r="2">
          <cell r="A2" t="str">
            <v>Complete</v>
          </cell>
        </row>
      </sheetData>
      <sheetData sheetId="2413">
        <row r="2">
          <cell r="A2" t="str">
            <v>Complete</v>
          </cell>
        </row>
      </sheetData>
      <sheetData sheetId="2414">
        <row r="2">
          <cell r="A2" t="str">
            <v>Complete</v>
          </cell>
        </row>
      </sheetData>
      <sheetData sheetId="2415">
        <row r="2">
          <cell r="A2" t="str">
            <v>Complete</v>
          </cell>
        </row>
      </sheetData>
      <sheetData sheetId="2416">
        <row r="2">
          <cell r="A2" t="str">
            <v>Complete</v>
          </cell>
        </row>
      </sheetData>
      <sheetData sheetId="2417">
        <row r="2">
          <cell r="A2" t="str">
            <v>Complete</v>
          </cell>
        </row>
      </sheetData>
      <sheetData sheetId="2418">
        <row r="2">
          <cell r="A2" t="str">
            <v>Complete</v>
          </cell>
        </row>
      </sheetData>
      <sheetData sheetId="2419">
        <row r="2">
          <cell r="A2" t="str">
            <v>Complete</v>
          </cell>
        </row>
      </sheetData>
      <sheetData sheetId="2420">
        <row r="2">
          <cell r="A2" t="str">
            <v>Complete</v>
          </cell>
        </row>
      </sheetData>
      <sheetData sheetId="2421">
        <row r="2">
          <cell r="A2" t="str">
            <v>Complete</v>
          </cell>
        </row>
      </sheetData>
      <sheetData sheetId="2422">
        <row r="2">
          <cell r="A2" t="str">
            <v>Complete</v>
          </cell>
        </row>
      </sheetData>
      <sheetData sheetId="2423">
        <row r="2">
          <cell r="A2" t="str">
            <v>Complete</v>
          </cell>
        </row>
      </sheetData>
      <sheetData sheetId="2424">
        <row r="2">
          <cell r="A2" t="str">
            <v>Complete</v>
          </cell>
        </row>
      </sheetData>
      <sheetData sheetId="2425">
        <row r="2">
          <cell r="A2" t="str">
            <v>Complete</v>
          </cell>
        </row>
      </sheetData>
      <sheetData sheetId="2426">
        <row r="2">
          <cell r="A2" t="str">
            <v>Complete</v>
          </cell>
        </row>
      </sheetData>
      <sheetData sheetId="2427">
        <row r="2">
          <cell r="A2" t="str">
            <v>Complete</v>
          </cell>
        </row>
      </sheetData>
      <sheetData sheetId="2428">
        <row r="2">
          <cell r="A2" t="str">
            <v>Complete</v>
          </cell>
        </row>
      </sheetData>
      <sheetData sheetId="2429">
        <row r="2">
          <cell r="A2" t="str">
            <v>Complete</v>
          </cell>
        </row>
      </sheetData>
      <sheetData sheetId="2430">
        <row r="2">
          <cell r="A2" t="str">
            <v>Complete</v>
          </cell>
        </row>
      </sheetData>
      <sheetData sheetId="2431">
        <row r="2">
          <cell r="A2" t="str">
            <v>Complete</v>
          </cell>
        </row>
      </sheetData>
      <sheetData sheetId="2432">
        <row r="2">
          <cell r="A2" t="str">
            <v>Complete</v>
          </cell>
        </row>
      </sheetData>
      <sheetData sheetId="2433">
        <row r="2">
          <cell r="A2" t="str">
            <v>Complete</v>
          </cell>
        </row>
      </sheetData>
      <sheetData sheetId="2434">
        <row r="2">
          <cell r="A2" t="str">
            <v>Complete</v>
          </cell>
        </row>
      </sheetData>
      <sheetData sheetId="2435">
        <row r="2">
          <cell r="A2" t="str">
            <v>Complete</v>
          </cell>
        </row>
      </sheetData>
      <sheetData sheetId="2436">
        <row r="2">
          <cell r="A2" t="str">
            <v>Complete</v>
          </cell>
        </row>
      </sheetData>
      <sheetData sheetId="2437">
        <row r="2">
          <cell r="A2" t="str">
            <v>Complete</v>
          </cell>
        </row>
      </sheetData>
      <sheetData sheetId="2438">
        <row r="2">
          <cell r="A2" t="str">
            <v>Complete</v>
          </cell>
        </row>
      </sheetData>
      <sheetData sheetId="2439">
        <row r="2">
          <cell r="A2" t="str">
            <v>Complete</v>
          </cell>
        </row>
      </sheetData>
      <sheetData sheetId="2440">
        <row r="2">
          <cell r="A2" t="str">
            <v>Complete</v>
          </cell>
        </row>
      </sheetData>
      <sheetData sheetId="2441">
        <row r="2">
          <cell r="A2" t="str">
            <v>Complete</v>
          </cell>
        </row>
      </sheetData>
      <sheetData sheetId="2442">
        <row r="2">
          <cell r="A2" t="str">
            <v>Complete</v>
          </cell>
        </row>
      </sheetData>
      <sheetData sheetId="2443">
        <row r="2">
          <cell r="A2" t="str">
            <v>Complete</v>
          </cell>
        </row>
      </sheetData>
      <sheetData sheetId="2444">
        <row r="2">
          <cell r="A2" t="str">
            <v>Complete</v>
          </cell>
        </row>
      </sheetData>
      <sheetData sheetId="2445">
        <row r="2">
          <cell r="A2" t="str">
            <v>Complete</v>
          </cell>
        </row>
      </sheetData>
      <sheetData sheetId="2446">
        <row r="2">
          <cell r="A2" t="str">
            <v>Complete</v>
          </cell>
        </row>
      </sheetData>
      <sheetData sheetId="2447">
        <row r="2">
          <cell r="A2" t="str">
            <v>Complete</v>
          </cell>
        </row>
      </sheetData>
      <sheetData sheetId="2448">
        <row r="2">
          <cell r="A2" t="str">
            <v>Complete</v>
          </cell>
        </row>
      </sheetData>
      <sheetData sheetId="2449">
        <row r="2">
          <cell r="A2" t="str">
            <v>Complete</v>
          </cell>
        </row>
      </sheetData>
      <sheetData sheetId="2450">
        <row r="2">
          <cell r="A2" t="str">
            <v>Complete</v>
          </cell>
        </row>
      </sheetData>
      <sheetData sheetId="2451">
        <row r="2">
          <cell r="A2" t="str">
            <v>Complete</v>
          </cell>
        </row>
      </sheetData>
      <sheetData sheetId="2452">
        <row r="2">
          <cell r="A2" t="str">
            <v>Complete</v>
          </cell>
        </row>
      </sheetData>
      <sheetData sheetId="2453">
        <row r="2">
          <cell r="A2" t="str">
            <v>Complete</v>
          </cell>
        </row>
      </sheetData>
      <sheetData sheetId="2454">
        <row r="2">
          <cell r="A2" t="str">
            <v>Complete</v>
          </cell>
        </row>
      </sheetData>
      <sheetData sheetId="2455">
        <row r="2">
          <cell r="A2" t="str">
            <v>Complete</v>
          </cell>
        </row>
      </sheetData>
      <sheetData sheetId="2456">
        <row r="2">
          <cell r="A2" t="str">
            <v>Complete</v>
          </cell>
        </row>
      </sheetData>
      <sheetData sheetId="2457">
        <row r="2">
          <cell r="A2" t="str">
            <v>Complete</v>
          </cell>
        </row>
      </sheetData>
      <sheetData sheetId="2458">
        <row r="2">
          <cell r="A2" t="str">
            <v>Complete</v>
          </cell>
        </row>
      </sheetData>
      <sheetData sheetId="2459">
        <row r="2">
          <cell r="A2" t="str">
            <v>Complete</v>
          </cell>
        </row>
      </sheetData>
      <sheetData sheetId="2460">
        <row r="2">
          <cell r="A2" t="str">
            <v>Complete</v>
          </cell>
        </row>
      </sheetData>
      <sheetData sheetId="2461">
        <row r="2">
          <cell r="A2" t="str">
            <v>Complete</v>
          </cell>
        </row>
      </sheetData>
      <sheetData sheetId="2462">
        <row r="2">
          <cell r="A2" t="str">
            <v>Complete</v>
          </cell>
        </row>
      </sheetData>
      <sheetData sheetId="2463">
        <row r="2">
          <cell r="A2" t="str">
            <v>Complete</v>
          </cell>
        </row>
      </sheetData>
      <sheetData sheetId="2464">
        <row r="2">
          <cell r="A2" t="str">
            <v>Complete</v>
          </cell>
        </row>
      </sheetData>
      <sheetData sheetId="2465">
        <row r="2">
          <cell r="A2" t="str">
            <v>Complete</v>
          </cell>
        </row>
      </sheetData>
      <sheetData sheetId="2466">
        <row r="2">
          <cell r="A2" t="str">
            <v>Complete</v>
          </cell>
        </row>
      </sheetData>
      <sheetData sheetId="2467">
        <row r="2">
          <cell r="A2" t="str">
            <v>Complete</v>
          </cell>
        </row>
      </sheetData>
      <sheetData sheetId="2468">
        <row r="2">
          <cell r="A2" t="str">
            <v>Complete</v>
          </cell>
        </row>
      </sheetData>
      <sheetData sheetId="2469">
        <row r="2">
          <cell r="A2" t="str">
            <v>Complete</v>
          </cell>
        </row>
      </sheetData>
      <sheetData sheetId="2470">
        <row r="2">
          <cell r="A2" t="str">
            <v>Complete</v>
          </cell>
        </row>
      </sheetData>
      <sheetData sheetId="2471">
        <row r="2">
          <cell r="A2" t="str">
            <v>Complete</v>
          </cell>
        </row>
      </sheetData>
      <sheetData sheetId="2472">
        <row r="2">
          <cell r="A2" t="str">
            <v>Complete</v>
          </cell>
        </row>
      </sheetData>
      <sheetData sheetId="2473">
        <row r="2">
          <cell r="A2" t="str">
            <v>Complete</v>
          </cell>
        </row>
      </sheetData>
      <sheetData sheetId="2474">
        <row r="2">
          <cell r="A2" t="str">
            <v>Complete</v>
          </cell>
        </row>
      </sheetData>
      <sheetData sheetId="2475">
        <row r="2">
          <cell r="A2" t="str">
            <v>Complete</v>
          </cell>
        </row>
      </sheetData>
      <sheetData sheetId="2476">
        <row r="2">
          <cell r="A2" t="str">
            <v>Complete</v>
          </cell>
        </row>
      </sheetData>
      <sheetData sheetId="2477">
        <row r="2">
          <cell r="A2" t="str">
            <v>Complete</v>
          </cell>
        </row>
      </sheetData>
      <sheetData sheetId="2478">
        <row r="2">
          <cell r="A2" t="str">
            <v>Complete</v>
          </cell>
        </row>
      </sheetData>
      <sheetData sheetId="2479">
        <row r="2">
          <cell r="A2" t="str">
            <v>Complete</v>
          </cell>
        </row>
      </sheetData>
      <sheetData sheetId="2480">
        <row r="2">
          <cell r="A2" t="str">
            <v>Complete</v>
          </cell>
        </row>
      </sheetData>
      <sheetData sheetId="2481">
        <row r="2">
          <cell r="A2" t="str">
            <v>Complete</v>
          </cell>
        </row>
      </sheetData>
      <sheetData sheetId="2482">
        <row r="2">
          <cell r="A2" t="str">
            <v>Complete</v>
          </cell>
        </row>
      </sheetData>
      <sheetData sheetId="2483">
        <row r="2">
          <cell r="A2" t="str">
            <v>Complete</v>
          </cell>
        </row>
      </sheetData>
      <sheetData sheetId="2484">
        <row r="2">
          <cell r="A2" t="str">
            <v>Complete</v>
          </cell>
        </row>
      </sheetData>
      <sheetData sheetId="2485">
        <row r="2">
          <cell r="A2" t="str">
            <v>Complete</v>
          </cell>
        </row>
      </sheetData>
      <sheetData sheetId="2486">
        <row r="2">
          <cell r="A2" t="str">
            <v>Complete</v>
          </cell>
        </row>
      </sheetData>
      <sheetData sheetId="2487">
        <row r="2">
          <cell r="A2" t="str">
            <v>Complete</v>
          </cell>
        </row>
      </sheetData>
      <sheetData sheetId="2488">
        <row r="2">
          <cell r="A2" t="str">
            <v>Complete</v>
          </cell>
        </row>
      </sheetData>
      <sheetData sheetId="2489">
        <row r="2">
          <cell r="A2" t="str">
            <v>Complete</v>
          </cell>
        </row>
      </sheetData>
      <sheetData sheetId="2490">
        <row r="2">
          <cell r="A2" t="str">
            <v>Complete</v>
          </cell>
        </row>
      </sheetData>
      <sheetData sheetId="2491">
        <row r="2">
          <cell r="A2" t="str">
            <v>Complete</v>
          </cell>
        </row>
      </sheetData>
      <sheetData sheetId="2492">
        <row r="2">
          <cell r="A2" t="str">
            <v>Complete</v>
          </cell>
        </row>
      </sheetData>
      <sheetData sheetId="2493">
        <row r="2">
          <cell r="A2" t="str">
            <v>Complete</v>
          </cell>
        </row>
      </sheetData>
      <sheetData sheetId="2494">
        <row r="2">
          <cell r="A2" t="str">
            <v>Complete</v>
          </cell>
        </row>
      </sheetData>
      <sheetData sheetId="2495">
        <row r="2">
          <cell r="A2" t="str">
            <v>Complete</v>
          </cell>
        </row>
      </sheetData>
      <sheetData sheetId="2496">
        <row r="2">
          <cell r="A2" t="str">
            <v>Complete</v>
          </cell>
        </row>
      </sheetData>
      <sheetData sheetId="2497">
        <row r="2">
          <cell r="A2" t="str">
            <v>Complete</v>
          </cell>
        </row>
      </sheetData>
      <sheetData sheetId="2498">
        <row r="2">
          <cell r="A2" t="str">
            <v>Complete</v>
          </cell>
        </row>
      </sheetData>
      <sheetData sheetId="2499">
        <row r="2">
          <cell r="A2" t="str">
            <v>Complete</v>
          </cell>
        </row>
      </sheetData>
      <sheetData sheetId="2500">
        <row r="2">
          <cell r="A2" t="str">
            <v>Complete</v>
          </cell>
        </row>
      </sheetData>
      <sheetData sheetId="2501">
        <row r="2">
          <cell r="A2" t="str">
            <v>Complete</v>
          </cell>
        </row>
      </sheetData>
      <sheetData sheetId="2502">
        <row r="2">
          <cell r="A2" t="str">
            <v>Complete</v>
          </cell>
        </row>
      </sheetData>
      <sheetData sheetId="2503">
        <row r="2">
          <cell r="A2" t="str">
            <v>Complete</v>
          </cell>
        </row>
      </sheetData>
      <sheetData sheetId="2504">
        <row r="2">
          <cell r="A2" t="str">
            <v>Complete</v>
          </cell>
        </row>
      </sheetData>
      <sheetData sheetId="2505">
        <row r="2">
          <cell r="A2" t="str">
            <v>Complete</v>
          </cell>
        </row>
      </sheetData>
      <sheetData sheetId="2506">
        <row r="2">
          <cell r="A2" t="str">
            <v>Complete</v>
          </cell>
        </row>
      </sheetData>
      <sheetData sheetId="2507">
        <row r="2">
          <cell r="A2" t="str">
            <v>Complete</v>
          </cell>
        </row>
      </sheetData>
      <sheetData sheetId="2508">
        <row r="2">
          <cell r="A2" t="str">
            <v>Complete</v>
          </cell>
        </row>
      </sheetData>
      <sheetData sheetId="2509">
        <row r="2">
          <cell r="A2" t="str">
            <v>Complete</v>
          </cell>
        </row>
      </sheetData>
      <sheetData sheetId="2510">
        <row r="2">
          <cell r="A2" t="str">
            <v>Complete</v>
          </cell>
        </row>
      </sheetData>
      <sheetData sheetId="2511">
        <row r="2">
          <cell r="A2" t="str">
            <v>Complete</v>
          </cell>
        </row>
      </sheetData>
      <sheetData sheetId="2512">
        <row r="2">
          <cell r="A2" t="str">
            <v>Complete</v>
          </cell>
        </row>
      </sheetData>
      <sheetData sheetId="2513">
        <row r="2">
          <cell r="A2" t="str">
            <v>Complete</v>
          </cell>
        </row>
      </sheetData>
      <sheetData sheetId="2514">
        <row r="2">
          <cell r="A2" t="str">
            <v>Complete</v>
          </cell>
        </row>
      </sheetData>
      <sheetData sheetId="2515">
        <row r="2">
          <cell r="A2" t="str">
            <v>Complete</v>
          </cell>
        </row>
      </sheetData>
      <sheetData sheetId="2516">
        <row r="2">
          <cell r="A2" t="str">
            <v>Complete</v>
          </cell>
        </row>
      </sheetData>
      <sheetData sheetId="2517">
        <row r="2">
          <cell r="A2" t="str">
            <v>Complete</v>
          </cell>
        </row>
      </sheetData>
      <sheetData sheetId="2518">
        <row r="2">
          <cell r="A2" t="str">
            <v>Complete</v>
          </cell>
        </row>
      </sheetData>
      <sheetData sheetId="2519">
        <row r="2">
          <cell r="A2" t="str">
            <v>Complete</v>
          </cell>
        </row>
      </sheetData>
      <sheetData sheetId="2520">
        <row r="2">
          <cell r="A2" t="str">
            <v>Complete</v>
          </cell>
        </row>
      </sheetData>
      <sheetData sheetId="2521">
        <row r="2">
          <cell r="A2" t="str">
            <v>Complete</v>
          </cell>
        </row>
      </sheetData>
      <sheetData sheetId="2522">
        <row r="2">
          <cell r="A2" t="str">
            <v>Complete</v>
          </cell>
        </row>
      </sheetData>
      <sheetData sheetId="2523">
        <row r="2">
          <cell r="A2" t="str">
            <v>Complete</v>
          </cell>
        </row>
      </sheetData>
      <sheetData sheetId="2524">
        <row r="2">
          <cell r="A2" t="str">
            <v>Complete</v>
          </cell>
        </row>
      </sheetData>
      <sheetData sheetId="2525">
        <row r="2">
          <cell r="A2" t="str">
            <v>Complete</v>
          </cell>
        </row>
      </sheetData>
      <sheetData sheetId="2526">
        <row r="2">
          <cell r="A2" t="str">
            <v>Complete</v>
          </cell>
        </row>
      </sheetData>
      <sheetData sheetId="2527">
        <row r="2">
          <cell r="A2" t="str">
            <v>Complete</v>
          </cell>
        </row>
      </sheetData>
      <sheetData sheetId="2528">
        <row r="2">
          <cell r="A2" t="str">
            <v>Complete</v>
          </cell>
        </row>
      </sheetData>
      <sheetData sheetId="2529">
        <row r="2">
          <cell r="A2" t="str">
            <v>Complete</v>
          </cell>
        </row>
      </sheetData>
      <sheetData sheetId="2530">
        <row r="2">
          <cell r="A2" t="str">
            <v>Complete</v>
          </cell>
        </row>
      </sheetData>
      <sheetData sheetId="2531">
        <row r="2">
          <cell r="A2" t="str">
            <v>Complete</v>
          </cell>
        </row>
      </sheetData>
      <sheetData sheetId="2532">
        <row r="2">
          <cell r="A2" t="str">
            <v>Complete</v>
          </cell>
        </row>
      </sheetData>
      <sheetData sheetId="2533">
        <row r="2">
          <cell r="A2" t="str">
            <v>Complete</v>
          </cell>
        </row>
      </sheetData>
      <sheetData sheetId="2534">
        <row r="2">
          <cell r="A2" t="str">
            <v>Complete</v>
          </cell>
        </row>
      </sheetData>
      <sheetData sheetId="2535">
        <row r="2">
          <cell r="A2" t="str">
            <v>Complete</v>
          </cell>
        </row>
      </sheetData>
      <sheetData sheetId="2536">
        <row r="2">
          <cell r="A2" t="str">
            <v>Complete</v>
          </cell>
        </row>
      </sheetData>
      <sheetData sheetId="2537">
        <row r="2">
          <cell r="A2" t="str">
            <v>Complete</v>
          </cell>
        </row>
      </sheetData>
      <sheetData sheetId="2538">
        <row r="2">
          <cell r="A2" t="str">
            <v>Complete</v>
          </cell>
        </row>
      </sheetData>
      <sheetData sheetId="2539">
        <row r="2">
          <cell r="A2" t="str">
            <v>Complete</v>
          </cell>
        </row>
      </sheetData>
      <sheetData sheetId="2540">
        <row r="2">
          <cell r="A2" t="str">
            <v>Complete</v>
          </cell>
        </row>
      </sheetData>
      <sheetData sheetId="2541">
        <row r="2">
          <cell r="A2" t="str">
            <v>Complete</v>
          </cell>
        </row>
      </sheetData>
      <sheetData sheetId="2542">
        <row r="2">
          <cell r="A2" t="str">
            <v>Complete</v>
          </cell>
        </row>
      </sheetData>
      <sheetData sheetId="2543">
        <row r="2">
          <cell r="A2" t="str">
            <v>Complete</v>
          </cell>
        </row>
      </sheetData>
      <sheetData sheetId="2544">
        <row r="2">
          <cell r="A2" t="str">
            <v>Complete</v>
          </cell>
        </row>
      </sheetData>
      <sheetData sheetId="2545">
        <row r="2">
          <cell r="A2" t="str">
            <v>Complete</v>
          </cell>
        </row>
      </sheetData>
      <sheetData sheetId="2546">
        <row r="2">
          <cell r="A2" t="str">
            <v>Complete</v>
          </cell>
        </row>
      </sheetData>
      <sheetData sheetId="2547">
        <row r="2">
          <cell r="A2" t="str">
            <v>Complete</v>
          </cell>
        </row>
      </sheetData>
      <sheetData sheetId="2548">
        <row r="2">
          <cell r="A2" t="str">
            <v>Complete</v>
          </cell>
        </row>
      </sheetData>
      <sheetData sheetId="2549">
        <row r="2">
          <cell r="A2" t="str">
            <v>Complete</v>
          </cell>
        </row>
      </sheetData>
      <sheetData sheetId="2550">
        <row r="2">
          <cell r="A2" t="str">
            <v>Complete</v>
          </cell>
        </row>
      </sheetData>
      <sheetData sheetId="2551">
        <row r="2">
          <cell r="A2" t="str">
            <v>Complete</v>
          </cell>
        </row>
      </sheetData>
      <sheetData sheetId="2552">
        <row r="2">
          <cell r="A2" t="str">
            <v>Complete</v>
          </cell>
        </row>
      </sheetData>
      <sheetData sheetId="2553">
        <row r="2">
          <cell r="A2" t="str">
            <v>Complete</v>
          </cell>
        </row>
      </sheetData>
      <sheetData sheetId="2554">
        <row r="2">
          <cell r="A2" t="str">
            <v>Complete</v>
          </cell>
        </row>
      </sheetData>
      <sheetData sheetId="2555">
        <row r="2">
          <cell r="A2" t="str">
            <v>Complete</v>
          </cell>
        </row>
      </sheetData>
      <sheetData sheetId="2556">
        <row r="2">
          <cell r="A2" t="str">
            <v>Complete</v>
          </cell>
        </row>
      </sheetData>
      <sheetData sheetId="2557">
        <row r="2">
          <cell r="A2" t="str">
            <v>Complete</v>
          </cell>
        </row>
      </sheetData>
      <sheetData sheetId="2558">
        <row r="2">
          <cell r="A2" t="str">
            <v>Complete</v>
          </cell>
        </row>
      </sheetData>
      <sheetData sheetId="2559">
        <row r="2">
          <cell r="A2" t="str">
            <v>Complete</v>
          </cell>
        </row>
      </sheetData>
      <sheetData sheetId="2560">
        <row r="2">
          <cell r="A2" t="str">
            <v>Complete</v>
          </cell>
        </row>
      </sheetData>
      <sheetData sheetId="2561">
        <row r="2">
          <cell r="A2" t="str">
            <v>Complete</v>
          </cell>
        </row>
      </sheetData>
      <sheetData sheetId="2562">
        <row r="2">
          <cell r="A2" t="str">
            <v>Complete</v>
          </cell>
        </row>
      </sheetData>
      <sheetData sheetId="2563">
        <row r="2">
          <cell r="A2" t="str">
            <v>Complete</v>
          </cell>
        </row>
      </sheetData>
      <sheetData sheetId="2564">
        <row r="2">
          <cell r="A2" t="str">
            <v>Complete</v>
          </cell>
        </row>
      </sheetData>
      <sheetData sheetId="2565">
        <row r="2">
          <cell r="A2" t="str">
            <v>Complete</v>
          </cell>
        </row>
      </sheetData>
      <sheetData sheetId="2566">
        <row r="2">
          <cell r="A2" t="str">
            <v>Complete</v>
          </cell>
        </row>
      </sheetData>
      <sheetData sheetId="2567">
        <row r="2">
          <cell r="A2" t="str">
            <v>Complete</v>
          </cell>
        </row>
      </sheetData>
      <sheetData sheetId="2568">
        <row r="2">
          <cell r="A2" t="str">
            <v>Complete</v>
          </cell>
        </row>
      </sheetData>
      <sheetData sheetId="2569">
        <row r="2">
          <cell r="A2" t="str">
            <v>Complete</v>
          </cell>
        </row>
      </sheetData>
      <sheetData sheetId="2570">
        <row r="2">
          <cell r="A2" t="str">
            <v>Complete</v>
          </cell>
        </row>
      </sheetData>
      <sheetData sheetId="2571">
        <row r="2">
          <cell r="A2" t="str">
            <v>Complete</v>
          </cell>
        </row>
      </sheetData>
      <sheetData sheetId="2572">
        <row r="2">
          <cell r="A2" t="str">
            <v>Complete</v>
          </cell>
        </row>
      </sheetData>
      <sheetData sheetId="2573">
        <row r="2">
          <cell r="A2" t="str">
            <v>Complete</v>
          </cell>
        </row>
      </sheetData>
      <sheetData sheetId="2574">
        <row r="2">
          <cell r="A2" t="str">
            <v>Complete</v>
          </cell>
        </row>
      </sheetData>
      <sheetData sheetId="2575">
        <row r="2">
          <cell r="A2" t="str">
            <v>Complete</v>
          </cell>
        </row>
      </sheetData>
      <sheetData sheetId="2576">
        <row r="2">
          <cell r="A2" t="str">
            <v>Complete</v>
          </cell>
        </row>
      </sheetData>
      <sheetData sheetId="2577">
        <row r="2">
          <cell r="A2" t="str">
            <v>Complete</v>
          </cell>
        </row>
      </sheetData>
      <sheetData sheetId="2578">
        <row r="2">
          <cell r="A2" t="str">
            <v>Complete</v>
          </cell>
        </row>
      </sheetData>
      <sheetData sheetId="2579">
        <row r="2">
          <cell r="A2" t="str">
            <v>Complete</v>
          </cell>
        </row>
      </sheetData>
      <sheetData sheetId="2580">
        <row r="2">
          <cell r="A2" t="str">
            <v>Complete</v>
          </cell>
        </row>
      </sheetData>
      <sheetData sheetId="2581">
        <row r="2">
          <cell r="A2" t="str">
            <v>Complete</v>
          </cell>
        </row>
      </sheetData>
      <sheetData sheetId="2582">
        <row r="2">
          <cell r="A2" t="str">
            <v>Complete</v>
          </cell>
        </row>
      </sheetData>
      <sheetData sheetId="2583">
        <row r="2">
          <cell r="A2" t="str">
            <v>Complete</v>
          </cell>
        </row>
      </sheetData>
      <sheetData sheetId="2584">
        <row r="2">
          <cell r="A2" t="str">
            <v>Complete</v>
          </cell>
        </row>
      </sheetData>
      <sheetData sheetId="2585">
        <row r="2">
          <cell r="A2" t="str">
            <v>Complete</v>
          </cell>
        </row>
      </sheetData>
      <sheetData sheetId="2586">
        <row r="2">
          <cell r="A2" t="str">
            <v>Complete</v>
          </cell>
        </row>
      </sheetData>
      <sheetData sheetId="2587">
        <row r="2">
          <cell r="A2" t="str">
            <v>Complete</v>
          </cell>
        </row>
      </sheetData>
      <sheetData sheetId="2588">
        <row r="2">
          <cell r="A2" t="str">
            <v>Complete</v>
          </cell>
        </row>
      </sheetData>
      <sheetData sheetId="2589">
        <row r="2">
          <cell r="A2" t="str">
            <v>Complete</v>
          </cell>
        </row>
      </sheetData>
      <sheetData sheetId="2590">
        <row r="2">
          <cell r="A2" t="str">
            <v>Complete</v>
          </cell>
        </row>
      </sheetData>
      <sheetData sheetId="2591">
        <row r="2">
          <cell r="A2" t="str">
            <v>Complete</v>
          </cell>
        </row>
      </sheetData>
      <sheetData sheetId="2592">
        <row r="2">
          <cell r="A2" t="str">
            <v>Complete</v>
          </cell>
        </row>
      </sheetData>
      <sheetData sheetId="2593">
        <row r="2">
          <cell r="A2" t="str">
            <v>Complete</v>
          </cell>
        </row>
      </sheetData>
      <sheetData sheetId="2594">
        <row r="2">
          <cell r="A2" t="str">
            <v>Complete</v>
          </cell>
        </row>
      </sheetData>
      <sheetData sheetId="2595">
        <row r="2">
          <cell r="A2" t="str">
            <v>Complete</v>
          </cell>
        </row>
      </sheetData>
      <sheetData sheetId="2596">
        <row r="2">
          <cell r="A2" t="str">
            <v>Complete</v>
          </cell>
        </row>
      </sheetData>
      <sheetData sheetId="2597">
        <row r="2">
          <cell r="A2" t="str">
            <v>Complete</v>
          </cell>
        </row>
      </sheetData>
      <sheetData sheetId="2598">
        <row r="2">
          <cell r="A2" t="str">
            <v>Complete</v>
          </cell>
        </row>
      </sheetData>
      <sheetData sheetId="2599">
        <row r="2">
          <cell r="A2" t="str">
            <v>Complete</v>
          </cell>
        </row>
      </sheetData>
      <sheetData sheetId="2600">
        <row r="2">
          <cell r="A2" t="str">
            <v>Complete</v>
          </cell>
        </row>
      </sheetData>
      <sheetData sheetId="2601">
        <row r="2">
          <cell r="A2" t="str">
            <v>Complete</v>
          </cell>
        </row>
      </sheetData>
      <sheetData sheetId="2602">
        <row r="2">
          <cell r="A2" t="str">
            <v>Complete</v>
          </cell>
        </row>
      </sheetData>
      <sheetData sheetId="2603">
        <row r="2">
          <cell r="A2" t="str">
            <v>Complete</v>
          </cell>
        </row>
      </sheetData>
      <sheetData sheetId="2604">
        <row r="2">
          <cell r="A2" t="str">
            <v>Complete</v>
          </cell>
        </row>
      </sheetData>
      <sheetData sheetId="2605">
        <row r="2">
          <cell r="A2" t="str">
            <v>Complete</v>
          </cell>
        </row>
      </sheetData>
      <sheetData sheetId="2606">
        <row r="2">
          <cell r="A2" t="str">
            <v>Complete</v>
          </cell>
        </row>
      </sheetData>
      <sheetData sheetId="2607">
        <row r="2">
          <cell r="A2" t="str">
            <v>Complete</v>
          </cell>
        </row>
      </sheetData>
      <sheetData sheetId="2608">
        <row r="2">
          <cell r="A2" t="str">
            <v>Complete</v>
          </cell>
        </row>
      </sheetData>
      <sheetData sheetId="2609">
        <row r="2">
          <cell r="A2" t="str">
            <v>Complete</v>
          </cell>
        </row>
      </sheetData>
      <sheetData sheetId="2610">
        <row r="2">
          <cell r="A2" t="str">
            <v>Complete</v>
          </cell>
        </row>
      </sheetData>
      <sheetData sheetId="2611">
        <row r="2">
          <cell r="A2" t="str">
            <v>Complete</v>
          </cell>
        </row>
      </sheetData>
      <sheetData sheetId="2612">
        <row r="2">
          <cell r="A2" t="str">
            <v>Complete</v>
          </cell>
        </row>
      </sheetData>
      <sheetData sheetId="2613">
        <row r="2">
          <cell r="A2" t="str">
            <v>Complete</v>
          </cell>
        </row>
      </sheetData>
      <sheetData sheetId="2614">
        <row r="2">
          <cell r="A2" t="str">
            <v>Complete</v>
          </cell>
        </row>
      </sheetData>
      <sheetData sheetId="2615">
        <row r="2">
          <cell r="A2" t="str">
            <v>Complete</v>
          </cell>
        </row>
      </sheetData>
      <sheetData sheetId="2616">
        <row r="2">
          <cell r="A2" t="str">
            <v>Complete</v>
          </cell>
        </row>
      </sheetData>
      <sheetData sheetId="2617">
        <row r="2">
          <cell r="A2" t="str">
            <v>Complete</v>
          </cell>
        </row>
      </sheetData>
      <sheetData sheetId="2618">
        <row r="2">
          <cell r="A2" t="str">
            <v>Complete</v>
          </cell>
        </row>
      </sheetData>
      <sheetData sheetId="2619">
        <row r="2">
          <cell r="A2" t="str">
            <v>Complete</v>
          </cell>
        </row>
      </sheetData>
      <sheetData sheetId="2620">
        <row r="2">
          <cell r="A2" t="str">
            <v>Complete</v>
          </cell>
        </row>
      </sheetData>
      <sheetData sheetId="2621">
        <row r="2">
          <cell r="A2" t="str">
            <v>Complete</v>
          </cell>
        </row>
      </sheetData>
      <sheetData sheetId="2622">
        <row r="2">
          <cell r="A2" t="str">
            <v>Complete</v>
          </cell>
        </row>
      </sheetData>
      <sheetData sheetId="2623">
        <row r="2">
          <cell r="A2" t="str">
            <v>Complete</v>
          </cell>
        </row>
      </sheetData>
      <sheetData sheetId="2624">
        <row r="2">
          <cell r="A2" t="str">
            <v>Complete</v>
          </cell>
        </row>
      </sheetData>
      <sheetData sheetId="2625">
        <row r="2">
          <cell r="A2" t="str">
            <v>Complete</v>
          </cell>
        </row>
      </sheetData>
      <sheetData sheetId="2626">
        <row r="2">
          <cell r="A2" t="str">
            <v>Complete</v>
          </cell>
        </row>
      </sheetData>
      <sheetData sheetId="2627">
        <row r="2">
          <cell r="A2" t="str">
            <v>Complete</v>
          </cell>
        </row>
      </sheetData>
      <sheetData sheetId="2628">
        <row r="2">
          <cell r="A2" t="str">
            <v>Complete</v>
          </cell>
        </row>
      </sheetData>
      <sheetData sheetId="2629">
        <row r="2">
          <cell r="A2" t="str">
            <v>Complete</v>
          </cell>
        </row>
      </sheetData>
      <sheetData sheetId="2630">
        <row r="2">
          <cell r="A2" t="str">
            <v>Complete</v>
          </cell>
        </row>
      </sheetData>
      <sheetData sheetId="2631">
        <row r="2">
          <cell r="A2" t="str">
            <v>Complete</v>
          </cell>
        </row>
      </sheetData>
      <sheetData sheetId="2632">
        <row r="2">
          <cell r="A2" t="str">
            <v>Complete</v>
          </cell>
        </row>
      </sheetData>
      <sheetData sheetId="2633">
        <row r="2">
          <cell r="A2" t="str">
            <v>Complete</v>
          </cell>
        </row>
      </sheetData>
      <sheetData sheetId="2634">
        <row r="2">
          <cell r="A2" t="str">
            <v>Complete</v>
          </cell>
        </row>
      </sheetData>
      <sheetData sheetId="2635">
        <row r="2">
          <cell r="A2" t="str">
            <v>Complete</v>
          </cell>
        </row>
      </sheetData>
      <sheetData sheetId="2636">
        <row r="2">
          <cell r="A2" t="str">
            <v>Complete</v>
          </cell>
        </row>
      </sheetData>
      <sheetData sheetId="2637">
        <row r="2">
          <cell r="A2" t="str">
            <v>Complete</v>
          </cell>
        </row>
      </sheetData>
      <sheetData sheetId="2638">
        <row r="2">
          <cell r="A2" t="str">
            <v>Complete</v>
          </cell>
        </row>
      </sheetData>
      <sheetData sheetId="2639">
        <row r="2">
          <cell r="A2" t="str">
            <v>Complete</v>
          </cell>
        </row>
      </sheetData>
      <sheetData sheetId="2640">
        <row r="2">
          <cell r="A2" t="str">
            <v>Complete</v>
          </cell>
        </row>
      </sheetData>
      <sheetData sheetId="2641">
        <row r="2">
          <cell r="A2" t="str">
            <v>Complete</v>
          </cell>
        </row>
      </sheetData>
      <sheetData sheetId="2642">
        <row r="2">
          <cell r="A2" t="str">
            <v>Complete</v>
          </cell>
        </row>
      </sheetData>
      <sheetData sheetId="2643">
        <row r="2">
          <cell r="A2" t="str">
            <v>Complete</v>
          </cell>
        </row>
      </sheetData>
      <sheetData sheetId="2644">
        <row r="2">
          <cell r="A2" t="str">
            <v>Complete</v>
          </cell>
        </row>
      </sheetData>
      <sheetData sheetId="2645">
        <row r="2">
          <cell r="A2" t="str">
            <v>Complete</v>
          </cell>
        </row>
      </sheetData>
      <sheetData sheetId="2646">
        <row r="2">
          <cell r="A2" t="str">
            <v>Complete</v>
          </cell>
        </row>
      </sheetData>
      <sheetData sheetId="2647">
        <row r="2">
          <cell r="A2" t="str">
            <v>Complete</v>
          </cell>
        </row>
      </sheetData>
      <sheetData sheetId="2648">
        <row r="2">
          <cell r="A2" t="str">
            <v>Complete</v>
          </cell>
        </row>
      </sheetData>
      <sheetData sheetId="2649">
        <row r="2">
          <cell r="A2" t="str">
            <v>Complete</v>
          </cell>
        </row>
      </sheetData>
      <sheetData sheetId="2650">
        <row r="2">
          <cell r="A2" t="str">
            <v>Complete</v>
          </cell>
        </row>
      </sheetData>
      <sheetData sheetId="2651">
        <row r="2">
          <cell r="A2" t="str">
            <v>Complete</v>
          </cell>
        </row>
      </sheetData>
      <sheetData sheetId="2652">
        <row r="2">
          <cell r="A2" t="str">
            <v>Complete</v>
          </cell>
        </row>
      </sheetData>
      <sheetData sheetId="2653">
        <row r="2">
          <cell r="A2" t="str">
            <v>Complete</v>
          </cell>
        </row>
      </sheetData>
      <sheetData sheetId="2654">
        <row r="2">
          <cell r="A2" t="str">
            <v>Complete</v>
          </cell>
        </row>
      </sheetData>
      <sheetData sheetId="2655">
        <row r="2">
          <cell r="A2" t="str">
            <v>Complete</v>
          </cell>
        </row>
      </sheetData>
      <sheetData sheetId="2656">
        <row r="2">
          <cell r="A2" t="str">
            <v>Complete</v>
          </cell>
        </row>
      </sheetData>
      <sheetData sheetId="2657">
        <row r="2">
          <cell r="A2" t="str">
            <v>Complete</v>
          </cell>
        </row>
      </sheetData>
      <sheetData sheetId="2658">
        <row r="2">
          <cell r="A2" t="str">
            <v>Complete</v>
          </cell>
        </row>
      </sheetData>
      <sheetData sheetId="2659">
        <row r="2">
          <cell r="A2" t="str">
            <v>Complete</v>
          </cell>
        </row>
      </sheetData>
      <sheetData sheetId="2660">
        <row r="2">
          <cell r="A2" t="str">
            <v>Complete</v>
          </cell>
        </row>
      </sheetData>
      <sheetData sheetId="2661">
        <row r="2">
          <cell r="A2" t="str">
            <v>Complete</v>
          </cell>
        </row>
      </sheetData>
      <sheetData sheetId="2662">
        <row r="2">
          <cell r="A2" t="str">
            <v>Complete</v>
          </cell>
        </row>
      </sheetData>
      <sheetData sheetId="2663">
        <row r="2">
          <cell r="A2" t="str">
            <v>Complete</v>
          </cell>
        </row>
      </sheetData>
      <sheetData sheetId="2664">
        <row r="2">
          <cell r="A2" t="str">
            <v>Complete</v>
          </cell>
        </row>
      </sheetData>
      <sheetData sheetId="2665">
        <row r="2">
          <cell r="A2" t="str">
            <v>Complete</v>
          </cell>
        </row>
      </sheetData>
      <sheetData sheetId="2666">
        <row r="2">
          <cell r="A2" t="str">
            <v>Complete</v>
          </cell>
        </row>
      </sheetData>
      <sheetData sheetId="2667">
        <row r="2">
          <cell r="A2" t="str">
            <v>Complete</v>
          </cell>
        </row>
      </sheetData>
      <sheetData sheetId="2668">
        <row r="2">
          <cell r="A2" t="str">
            <v>Complete</v>
          </cell>
        </row>
      </sheetData>
      <sheetData sheetId="2669">
        <row r="2">
          <cell r="A2" t="str">
            <v>Complete</v>
          </cell>
        </row>
      </sheetData>
      <sheetData sheetId="2670">
        <row r="2">
          <cell r="A2" t="str">
            <v>Complete</v>
          </cell>
        </row>
      </sheetData>
      <sheetData sheetId="2671">
        <row r="2">
          <cell r="A2" t="str">
            <v>Complete</v>
          </cell>
        </row>
      </sheetData>
      <sheetData sheetId="2672">
        <row r="2">
          <cell r="A2" t="str">
            <v>Complete</v>
          </cell>
        </row>
      </sheetData>
      <sheetData sheetId="2673">
        <row r="2">
          <cell r="A2" t="str">
            <v>Complete</v>
          </cell>
        </row>
      </sheetData>
      <sheetData sheetId="2674">
        <row r="2">
          <cell r="A2" t="str">
            <v>Complete</v>
          </cell>
        </row>
      </sheetData>
      <sheetData sheetId="2675">
        <row r="2">
          <cell r="A2" t="str">
            <v>Complete</v>
          </cell>
        </row>
      </sheetData>
      <sheetData sheetId="2676">
        <row r="2">
          <cell r="A2" t="str">
            <v>Complete</v>
          </cell>
        </row>
      </sheetData>
      <sheetData sheetId="2677">
        <row r="2">
          <cell r="A2" t="str">
            <v>Complete</v>
          </cell>
        </row>
      </sheetData>
      <sheetData sheetId="2678">
        <row r="2">
          <cell r="A2" t="str">
            <v>Complete</v>
          </cell>
        </row>
      </sheetData>
      <sheetData sheetId="2679">
        <row r="2">
          <cell r="A2" t="str">
            <v>Complete</v>
          </cell>
        </row>
      </sheetData>
      <sheetData sheetId="2680">
        <row r="2">
          <cell r="A2" t="str">
            <v>Complete</v>
          </cell>
        </row>
      </sheetData>
      <sheetData sheetId="2681">
        <row r="2">
          <cell r="A2" t="str">
            <v>Complete</v>
          </cell>
        </row>
      </sheetData>
      <sheetData sheetId="2682">
        <row r="2">
          <cell r="A2" t="str">
            <v>Complete</v>
          </cell>
        </row>
      </sheetData>
      <sheetData sheetId="2683">
        <row r="2">
          <cell r="A2" t="str">
            <v>Complete</v>
          </cell>
        </row>
      </sheetData>
      <sheetData sheetId="2684">
        <row r="2">
          <cell r="A2" t="str">
            <v>Complete</v>
          </cell>
        </row>
      </sheetData>
      <sheetData sheetId="2685">
        <row r="2">
          <cell r="A2" t="str">
            <v>Complete</v>
          </cell>
        </row>
      </sheetData>
      <sheetData sheetId="2686">
        <row r="2">
          <cell r="A2" t="str">
            <v>Complete</v>
          </cell>
        </row>
      </sheetData>
      <sheetData sheetId="2687">
        <row r="2">
          <cell r="A2" t="str">
            <v>Complete</v>
          </cell>
        </row>
      </sheetData>
      <sheetData sheetId="2688">
        <row r="2">
          <cell r="A2" t="str">
            <v>Complete</v>
          </cell>
        </row>
      </sheetData>
      <sheetData sheetId="2689">
        <row r="2">
          <cell r="A2" t="str">
            <v>Complete</v>
          </cell>
        </row>
      </sheetData>
      <sheetData sheetId="2690">
        <row r="2">
          <cell r="A2" t="str">
            <v>Complete</v>
          </cell>
        </row>
      </sheetData>
      <sheetData sheetId="2691">
        <row r="2">
          <cell r="A2" t="str">
            <v>Complete</v>
          </cell>
        </row>
      </sheetData>
      <sheetData sheetId="2692">
        <row r="2">
          <cell r="A2" t="str">
            <v>Complete</v>
          </cell>
        </row>
      </sheetData>
      <sheetData sheetId="2693">
        <row r="2">
          <cell r="A2" t="str">
            <v>Complete</v>
          </cell>
        </row>
      </sheetData>
      <sheetData sheetId="2694">
        <row r="2">
          <cell r="A2" t="str">
            <v>Complete</v>
          </cell>
        </row>
      </sheetData>
      <sheetData sheetId="2695">
        <row r="2">
          <cell r="A2" t="str">
            <v>Complete</v>
          </cell>
        </row>
      </sheetData>
      <sheetData sheetId="2696">
        <row r="2">
          <cell r="A2" t="str">
            <v>Complete</v>
          </cell>
        </row>
      </sheetData>
      <sheetData sheetId="2697">
        <row r="2">
          <cell r="A2" t="str">
            <v>Complete</v>
          </cell>
        </row>
      </sheetData>
      <sheetData sheetId="2698">
        <row r="2">
          <cell r="A2" t="str">
            <v>Complete</v>
          </cell>
        </row>
      </sheetData>
      <sheetData sheetId="2699">
        <row r="2">
          <cell r="A2" t="str">
            <v>Complete</v>
          </cell>
        </row>
      </sheetData>
      <sheetData sheetId="2700">
        <row r="2">
          <cell r="A2" t="str">
            <v>Complete</v>
          </cell>
        </row>
      </sheetData>
      <sheetData sheetId="2701">
        <row r="2">
          <cell r="A2" t="str">
            <v>Complete</v>
          </cell>
        </row>
      </sheetData>
      <sheetData sheetId="2702">
        <row r="2">
          <cell r="A2" t="str">
            <v>Complete</v>
          </cell>
        </row>
      </sheetData>
      <sheetData sheetId="2703">
        <row r="2">
          <cell r="A2" t="str">
            <v>Complete</v>
          </cell>
        </row>
      </sheetData>
      <sheetData sheetId="2704">
        <row r="2">
          <cell r="A2" t="str">
            <v>Complete</v>
          </cell>
        </row>
      </sheetData>
      <sheetData sheetId="2705">
        <row r="2">
          <cell r="A2" t="str">
            <v>Complete</v>
          </cell>
        </row>
      </sheetData>
      <sheetData sheetId="2706">
        <row r="2">
          <cell r="A2" t="str">
            <v>Complete</v>
          </cell>
        </row>
      </sheetData>
      <sheetData sheetId="2707">
        <row r="2">
          <cell r="A2" t="str">
            <v>Complete</v>
          </cell>
        </row>
      </sheetData>
      <sheetData sheetId="2708">
        <row r="2">
          <cell r="A2" t="str">
            <v>Complete</v>
          </cell>
        </row>
      </sheetData>
      <sheetData sheetId="2709">
        <row r="2">
          <cell r="A2" t="str">
            <v>Complete</v>
          </cell>
        </row>
      </sheetData>
      <sheetData sheetId="2710">
        <row r="2">
          <cell r="A2" t="str">
            <v>Complete</v>
          </cell>
        </row>
      </sheetData>
      <sheetData sheetId="2711">
        <row r="2">
          <cell r="A2" t="str">
            <v>Complete</v>
          </cell>
        </row>
      </sheetData>
      <sheetData sheetId="2712">
        <row r="2">
          <cell r="A2" t="str">
            <v>Complete</v>
          </cell>
        </row>
      </sheetData>
      <sheetData sheetId="2713">
        <row r="2">
          <cell r="A2" t="str">
            <v>Complete</v>
          </cell>
        </row>
      </sheetData>
      <sheetData sheetId="2714">
        <row r="2">
          <cell r="A2" t="str">
            <v>Complete</v>
          </cell>
        </row>
      </sheetData>
      <sheetData sheetId="2715">
        <row r="2">
          <cell r="A2" t="str">
            <v>Complete</v>
          </cell>
        </row>
      </sheetData>
      <sheetData sheetId="2716">
        <row r="2">
          <cell r="A2" t="str">
            <v>Complete</v>
          </cell>
        </row>
      </sheetData>
      <sheetData sheetId="2717">
        <row r="2">
          <cell r="A2" t="str">
            <v>Complete</v>
          </cell>
        </row>
      </sheetData>
      <sheetData sheetId="2718">
        <row r="2">
          <cell r="A2" t="str">
            <v>Complete</v>
          </cell>
        </row>
      </sheetData>
      <sheetData sheetId="2719">
        <row r="2">
          <cell r="A2" t="str">
            <v>Complete</v>
          </cell>
        </row>
      </sheetData>
      <sheetData sheetId="2720">
        <row r="2">
          <cell r="A2" t="str">
            <v>Complete</v>
          </cell>
        </row>
      </sheetData>
      <sheetData sheetId="2721">
        <row r="2">
          <cell r="A2" t="str">
            <v>Complete</v>
          </cell>
        </row>
      </sheetData>
      <sheetData sheetId="2722">
        <row r="2">
          <cell r="A2" t="str">
            <v>Complete</v>
          </cell>
        </row>
      </sheetData>
      <sheetData sheetId="2723">
        <row r="2">
          <cell r="A2" t="str">
            <v>Complete</v>
          </cell>
        </row>
      </sheetData>
      <sheetData sheetId="2724">
        <row r="2">
          <cell r="A2" t="str">
            <v>Complete</v>
          </cell>
        </row>
      </sheetData>
      <sheetData sheetId="2725">
        <row r="2">
          <cell r="A2" t="str">
            <v>Complete</v>
          </cell>
        </row>
      </sheetData>
      <sheetData sheetId="2726">
        <row r="2">
          <cell r="A2" t="str">
            <v>Complete</v>
          </cell>
        </row>
      </sheetData>
      <sheetData sheetId="2727">
        <row r="2">
          <cell r="A2" t="str">
            <v>Complete</v>
          </cell>
        </row>
      </sheetData>
      <sheetData sheetId="2728">
        <row r="2">
          <cell r="A2" t="str">
            <v>Complete</v>
          </cell>
        </row>
      </sheetData>
      <sheetData sheetId="2729">
        <row r="2">
          <cell r="A2" t="str">
            <v>Complete</v>
          </cell>
        </row>
      </sheetData>
      <sheetData sheetId="2730">
        <row r="2">
          <cell r="A2" t="str">
            <v>Complete</v>
          </cell>
        </row>
      </sheetData>
      <sheetData sheetId="2731">
        <row r="2">
          <cell r="A2" t="str">
            <v>Complete</v>
          </cell>
        </row>
      </sheetData>
      <sheetData sheetId="2732">
        <row r="2">
          <cell r="A2" t="str">
            <v>Complete</v>
          </cell>
        </row>
      </sheetData>
      <sheetData sheetId="2733">
        <row r="2">
          <cell r="A2" t="str">
            <v>Complete</v>
          </cell>
        </row>
      </sheetData>
      <sheetData sheetId="2734">
        <row r="2">
          <cell r="A2" t="str">
            <v>Complete</v>
          </cell>
        </row>
      </sheetData>
      <sheetData sheetId="2735">
        <row r="2">
          <cell r="A2" t="str">
            <v>Complete</v>
          </cell>
        </row>
      </sheetData>
      <sheetData sheetId="2736">
        <row r="2">
          <cell r="A2" t="str">
            <v>Complete</v>
          </cell>
        </row>
      </sheetData>
      <sheetData sheetId="2737">
        <row r="2">
          <cell r="A2" t="str">
            <v>Complete</v>
          </cell>
        </row>
      </sheetData>
      <sheetData sheetId="2738">
        <row r="2">
          <cell r="A2" t="str">
            <v>Complete</v>
          </cell>
        </row>
      </sheetData>
      <sheetData sheetId="2739">
        <row r="2">
          <cell r="A2" t="str">
            <v>Complete</v>
          </cell>
        </row>
      </sheetData>
      <sheetData sheetId="2740">
        <row r="2">
          <cell r="A2" t="str">
            <v>Complete</v>
          </cell>
        </row>
      </sheetData>
      <sheetData sheetId="2741">
        <row r="2">
          <cell r="A2" t="str">
            <v>Complete</v>
          </cell>
        </row>
      </sheetData>
      <sheetData sheetId="2742">
        <row r="2">
          <cell r="A2" t="str">
            <v>Complete</v>
          </cell>
        </row>
      </sheetData>
      <sheetData sheetId="2743">
        <row r="2">
          <cell r="A2" t="str">
            <v>Complete</v>
          </cell>
        </row>
      </sheetData>
      <sheetData sheetId="2744">
        <row r="2">
          <cell r="A2" t="str">
            <v>Complete</v>
          </cell>
        </row>
      </sheetData>
      <sheetData sheetId="2745">
        <row r="2">
          <cell r="A2" t="str">
            <v>Complete</v>
          </cell>
        </row>
      </sheetData>
      <sheetData sheetId="2746">
        <row r="2">
          <cell r="A2" t="str">
            <v>Complete</v>
          </cell>
        </row>
      </sheetData>
      <sheetData sheetId="2747">
        <row r="2">
          <cell r="A2" t="str">
            <v>Complete</v>
          </cell>
        </row>
      </sheetData>
      <sheetData sheetId="2748">
        <row r="2">
          <cell r="A2" t="str">
            <v>Complete</v>
          </cell>
        </row>
      </sheetData>
      <sheetData sheetId="2749">
        <row r="2">
          <cell r="A2" t="str">
            <v>Complete</v>
          </cell>
        </row>
      </sheetData>
      <sheetData sheetId="2750">
        <row r="2">
          <cell r="A2" t="str">
            <v>Complete</v>
          </cell>
        </row>
      </sheetData>
      <sheetData sheetId="2751">
        <row r="2">
          <cell r="A2" t="str">
            <v>Complete</v>
          </cell>
        </row>
      </sheetData>
      <sheetData sheetId="2752">
        <row r="2">
          <cell r="A2" t="str">
            <v>Complete</v>
          </cell>
        </row>
      </sheetData>
      <sheetData sheetId="2753">
        <row r="2">
          <cell r="A2" t="str">
            <v>Complete</v>
          </cell>
        </row>
      </sheetData>
      <sheetData sheetId="2754">
        <row r="2">
          <cell r="A2" t="str">
            <v>Complete</v>
          </cell>
        </row>
      </sheetData>
      <sheetData sheetId="2755">
        <row r="2">
          <cell r="A2" t="str">
            <v>Complete</v>
          </cell>
        </row>
      </sheetData>
      <sheetData sheetId="2756">
        <row r="2">
          <cell r="A2" t="str">
            <v>Complete</v>
          </cell>
        </row>
      </sheetData>
      <sheetData sheetId="2757">
        <row r="2">
          <cell r="A2" t="str">
            <v>Complete</v>
          </cell>
        </row>
      </sheetData>
      <sheetData sheetId="2758">
        <row r="2">
          <cell r="A2" t="str">
            <v>Complete</v>
          </cell>
        </row>
      </sheetData>
      <sheetData sheetId="2759">
        <row r="2">
          <cell r="A2" t="str">
            <v>Complete</v>
          </cell>
        </row>
      </sheetData>
      <sheetData sheetId="2760">
        <row r="2">
          <cell r="A2" t="str">
            <v>Complete</v>
          </cell>
        </row>
      </sheetData>
      <sheetData sheetId="2761">
        <row r="2">
          <cell r="A2" t="str">
            <v>Complete</v>
          </cell>
        </row>
      </sheetData>
      <sheetData sheetId="2762">
        <row r="2">
          <cell r="A2" t="str">
            <v>Complete</v>
          </cell>
        </row>
      </sheetData>
      <sheetData sheetId="2763">
        <row r="2">
          <cell r="A2" t="str">
            <v>Complete</v>
          </cell>
        </row>
      </sheetData>
      <sheetData sheetId="2764">
        <row r="2">
          <cell r="A2" t="str">
            <v>Complete</v>
          </cell>
        </row>
      </sheetData>
      <sheetData sheetId="2765">
        <row r="2">
          <cell r="A2" t="str">
            <v>Complete</v>
          </cell>
        </row>
      </sheetData>
      <sheetData sheetId="2766">
        <row r="2">
          <cell r="A2" t="str">
            <v>Complete</v>
          </cell>
        </row>
      </sheetData>
      <sheetData sheetId="2767">
        <row r="2">
          <cell r="A2" t="str">
            <v>Complete</v>
          </cell>
        </row>
      </sheetData>
      <sheetData sheetId="2768">
        <row r="2">
          <cell r="A2" t="str">
            <v>Complete</v>
          </cell>
        </row>
      </sheetData>
      <sheetData sheetId="2769">
        <row r="2">
          <cell r="A2" t="str">
            <v>Complete</v>
          </cell>
        </row>
      </sheetData>
      <sheetData sheetId="2770">
        <row r="2">
          <cell r="A2" t="str">
            <v>Complete</v>
          </cell>
        </row>
      </sheetData>
      <sheetData sheetId="2771">
        <row r="2">
          <cell r="A2" t="str">
            <v>Complete</v>
          </cell>
        </row>
      </sheetData>
      <sheetData sheetId="2772">
        <row r="2">
          <cell r="A2" t="str">
            <v>Complete</v>
          </cell>
        </row>
      </sheetData>
      <sheetData sheetId="2773">
        <row r="2">
          <cell r="A2" t="str">
            <v>Complete</v>
          </cell>
        </row>
      </sheetData>
      <sheetData sheetId="2774">
        <row r="2">
          <cell r="A2" t="str">
            <v>Complete</v>
          </cell>
        </row>
      </sheetData>
      <sheetData sheetId="2775">
        <row r="2">
          <cell r="A2" t="str">
            <v>Complete</v>
          </cell>
        </row>
      </sheetData>
      <sheetData sheetId="2776">
        <row r="2">
          <cell r="A2" t="str">
            <v>Complete</v>
          </cell>
        </row>
      </sheetData>
      <sheetData sheetId="2777">
        <row r="2">
          <cell r="A2" t="str">
            <v>Complete</v>
          </cell>
        </row>
      </sheetData>
      <sheetData sheetId="2778">
        <row r="2">
          <cell r="A2" t="str">
            <v>Complete</v>
          </cell>
        </row>
      </sheetData>
      <sheetData sheetId="2779">
        <row r="2">
          <cell r="A2" t="str">
            <v>Complete</v>
          </cell>
        </row>
      </sheetData>
      <sheetData sheetId="2780">
        <row r="2">
          <cell r="A2" t="str">
            <v>Complete</v>
          </cell>
        </row>
      </sheetData>
      <sheetData sheetId="2781">
        <row r="2">
          <cell r="A2" t="str">
            <v>Complete</v>
          </cell>
        </row>
      </sheetData>
      <sheetData sheetId="2782">
        <row r="2">
          <cell r="A2" t="str">
            <v>Complete</v>
          </cell>
        </row>
      </sheetData>
      <sheetData sheetId="2783">
        <row r="2">
          <cell r="A2" t="str">
            <v>Complete</v>
          </cell>
        </row>
      </sheetData>
      <sheetData sheetId="2784">
        <row r="2">
          <cell r="A2" t="str">
            <v>Complete</v>
          </cell>
        </row>
      </sheetData>
      <sheetData sheetId="2785">
        <row r="2">
          <cell r="A2" t="str">
            <v>Complete</v>
          </cell>
        </row>
      </sheetData>
      <sheetData sheetId="2786">
        <row r="2">
          <cell r="A2" t="str">
            <v>Complete</v>
          </cell>
        </row>
      </sheetData>
      <sheetData sheetId="2787">
        <row r="2">
          <cell r="A2" t="str">
            <v>Complete</v>
          </cell>
        </row>
      </sheetData>
      <sheetData sheetId="2788">
        <row r="2">
          <cell r="A2" t="str">
            <v>Complete</v>
          </cell>
        </row>
      </sheetData>
      <sheetData sheetId="2789">
        <row r="2">
          <cell r="A2" t="str">
            <v>Complete</v>
          </cell>
        </row>
      </sheetData>
      <sheetData sheetId="2790">
        <row r="2">
          <cell r="A2" t="str">
            <v>Complete</v>
          </cell>
        </row>
      </sheetData>
      <sheetData sheetId="2791">
        <row r="2">
          <cell r="A2" t="str">
            <v>Complete</v>
          </cell>
        </row>
      </sheetData>
      <sheetData sheetId="2792">
        <row r="2">
          <cell r="A2" t="str">
            <v>Complete</v>
          </cell>
        </row>
      </sheetData>
      <sheetData sheetId="2793">
        <row r="2">
          <cell r="A2" t="str">
            <v>Complete</v>
          </cell>
        </row>
      </sheetData>
      <sheetData sheetId="2794">
        <row r="2">
          <cell r="A2" t="str">
            <v>Complete</v>
          </cell>
        </row>
      </sheetData>
      <sheetData sheetId="2795">
        <row r="2">
          <cell r="A2" t="str">
            <v>Complete</v>
          </cell>
        </row>
      </sheetData>
      <sheetData sheetId="2796">
        <row r="2">
          <cell r="A2" t="str">
            <v>Complete</v>
          </cell>
        </row>
      </sheetData>
      <sheetData sheetId="2797">
        <row r="2">
          <cell r="A2" t="str">
            <v>Complete</v>
          </cell>
        </row>
      </sheetData>
      <sheetData sheetId="2798">
        <row r="2">
          <cell r="A2" t="str">
            <v>Complete</v>
          </cell>
        </row>
      </sheetData>
      <sheetData sheetId="2799">
        <row r="2">
          <cell r="A2" t="str">
            <v>Complete</v>
          </cell>
        </row>
      </sheetData>
      <sheetData sheetId="2800">
        <row r="2">
          <cell r="A2" t="str">
            <v>Complete</v>
          </cell>
        </row>
      </sheetData>
      <sheetData sheetId="2801">
        <row r="2">
          <cell r="A2" t="str">
            <v>Complete</v>
          </cell>
        </row>
      </sheetData>
      <sheetData sheetId="2802">
        <row r="2">
          <cell r="A2" t="str">
            <v>Complete</v>
          </cell>
        </row>
      </sheetData>
      <sheetData sheetId="2803">
        <row r="2">
          <cell r="A2" t="str">
            <v>Complete</v>
          </cell>
        </row>
      </sheetData>
      <sheetData sheetId="2804">
        <row r="2">
          <cell r="A2" t="str">
            <v>Complete</v>
          </cell>
        </row>
      </sheetData>
      <sheetData sheetId="2805">
        <row r="2">
          <cell r="A2" t="str">
            <v>Complete</v>
          </cell>
        </row>
      </sheetData>
      <sheetData sheetId="2806">
        <row r="2">
          <cell r="A2" t="str">
            <v>Complete</v>
          </cell>
        </row>
      </sheetData>
      <sheetData sheetId="2807">
        <row r="2">
          <cell r="A2" t="str">
            <v>Complete</v>
          </cell>
        </row>
      </sheetData>
      <sheetData sheetId="2808">
        <row r="2">
          <cell r="A2" t="str">
            <v>Complete</v>
          </cell>
        </row>
      </sheetData>
      <sheetData sheetId="2809">
        <row r="2">
          <cell r="A2" t="str">
            <v>Complete</v>
          </cell>
        </row>
      </sheetData>
      <sheetData sheetId="2810">
        <row r="2">
          <cell r="A2" t="str">
            <v>Complete</v>
          </cell>
        </row>
      </sheetData>
      <sheetData sheetId="2811">
        <row r="2">
          <cell r="A2" t="str">
            <v>Complete</v>
          </cell>
        </row>
      </sheetData>
      <sheetData sheetId="2812">
        <row r="2">
          <cell r="A2" t="str">
            <v>Complete</v>
          </cell>
        </row>
      </sheetData>
      <sheetData sheetId="2813">
        <row r="2">
          <cell r="A2" t="str">
            <v>Complete</v>
          </cell>
        </row>
      </sheetData>
      <sheetData sheetId="2814">
        <row r="2">
          <cell r="A2" t="str">
            <v>Complete</v>
          </cell>
        </row>
      </sheetData>
      <sheetData sheetId="2815">
        <row r="2">
          <cell r="A2" t="str">
            <v>Complete</v>
          </cell>
        </row>
      </sheetData>
      <sheetData sheetId="2816">
        <row r="2">
          <cell r="A2" t="str">
            <v>Complete</v>
          </cell>
        </row>
      </sheetData>
      <sheetData sheetId="2817">
        <row r="2">
          <cell r="A2" t="str">
            <v>Complete</v>
          </cell>
        </row>
      </sheetData>
      <sheetData sheetId="2818">
        <row r="2">
          <cell r="A2" t="str">
            <v>Complete</v>
          </cell>
        </row>
      </sheetData>
      <sheetData sheetId="2819">
        <row r="2">
          <cell r="A2" t="str">
            <v>Complete</v>
          </cell>
        </row>
      </sheetData>
      <sheetData sheetId="2820">
        <row r="2">
          <cell r="A2" t="str">
            <v>Complete</v>
          </cell>
        </row>
      </sheetData>
      <sheetData sheetId="2821">
        <row r="2">
          <cell r="A2" t="str">
            <v>Complete</v>
          </cell>
        </row>
      </sheetData>
      <sheetData sheetId="2822">
        <row r="2">
          <cell r="A2" t="str">
            <v>Complete</v>
          </cell>
        </row>
      </sheetData>
      <sheetData sheetId="2823">
        <row r="2">
          <cell r="A2" t="str">
            <v>Complete</v>
          </cell>
        </row>
      </sheetData>
      <sheetData sheetId="2824">
        <row r="2">
          <cell r="A2" t="str">
            <v>Complete</v>
          </cell>
        </row>
      </sheetData>
      <sheetData sheetId="2825">
        <row r="2">
          <cell r="A2" t="str">
            <v>Complete</v>
          </cell>
        </row>
      </sheetData>
      <sheetData sheetId="2826">
        <row r="2">
          <cell r="A2" t="str">
            <v>Complete</v>
          </cell>
        </row>
      </sheetData>
      <sheetData sheetId="2827">
        <row r="2">
          <cell r="A2" t="str">
            <v>Complete</v>
          </cell>
        </row>
      </sheetData>
      <sheetData sheetId="2828">
        <row r="2">
          <cell r="A2" t="str">
            <v>Complete</v>
          </cell>
        </row>
      </sheetData>
      <sheetData sheetId="2829">
        <row r="2">
          <cell r="A2" t="str">
            <v>Complete</v>
          </cell>
        </row>
      </sheetData>
      <sheetData sheetId="2830">
        <row r="2">
          <cell r="A2" t="str">
            <v>Complete</v>
          </cell>
        </row>
      </sheetData>
      <sheetData sheetId="2831">
        <row r="2">
          <cell r="A2" t="str">
            <v>Complete</v>
          </cell>
        </row>
      </sheetData>
      <sheetData sheetId="2832">
        <row r="2">
          <cell r="A2" t="str">
            <v>Complete</v>
          </cell>
        </row>
      </sheetData>
      <sheetData sheetId="2833">
        <row r="2">
          <cell r="A2" t="str">
            <v>Complete</v>
          </cell>
        </row>
      </sheetData>
      <sheetData sheetId="2834">
        <row r="2">
          <cell r="A2" t="str">
            <v>Complete</v>
          </cell>
        </row>
      </sheetData>
      <sheetData sheetId="2835">
        <row r="2">
          <cell r="A2" t="str">
            <v>Complete</v>
          </cell>
        </row>
      </sheetData>
      <sheetData sheetId="2836">
        <row r="2">
          <cell r="A2" t="str">
            <v>Complete</v>
          </cell>
        </row>
      </sheetData>
      <sheetData sheetId="2837">
        <row r="2">
          <cell r="A2" t="str">
            <v>Complete</v>
          </cell>
        </row>
      </sheetData>
      <sheetData sheetId="2838">
        <row r="2">
          <cell r="A2" t="str">
            <v>Complete</v>
          </cell>
        </row>
      </sheetData>
      <sheetData sheetId="2839">
        <row r="2">
          <cell r="A2" t="str">
            <v>Complete</v>
          </cell>
        </row>
      </sheetData>
      <sheetData sheetId="2840">
        <row r="2">
          <cell r="A2" t="str">
            <v>Complete</v>
          </cell>
        </row>
      </sheetData>
      <sheetData sheetId="2841">
        <row r="2">
          <cell r="A2" t="str">
            <v>Complete</v>
          </cell>
        </row>
      </sheetData>
      <sheetData sheetId="2842">
        <row r="2">
          <cell r="A2" t="str">
            <v>Complete</v>
          </cell>
        </row>
      </sheetData>
      <sheetData sheetId="2843">
        <row r="2">
          <cell r="A2" t="str">
            <v>Complete</v>
          </cell>
        </row>
      </sheetData>
      <sheetData sheetId="2844">
        <row r="2">
          <cell r="A2" t="str">
            <v>Complete</v>
          </cell>
        </row>
      </sheetData>
      <sheetData sheetId="2845">
        <row r="2">
          <cell r="A2" t="str">
            <v>Complete</v>
          </cell>
        </row>
      </sheetData>
      <sheetData sheetId="2846">
        <row r="2">
          <cell r="A2" t="str">
            <v>Complete</v>
          </cell>
        </row>
      </sheetData>
      <sheetData sheetId="2847">
        <row r="2">
          <cell r="A2" t="str">
            <v>Complete</v>
          </cell>
        </row>
      </sheetData>
      <sheetData sheetId="2848">
        <row r="2">
          <cell r="A2" t="str">
            <v>Complete</v>
          </cell>
        </row>
      </sheetData>
      <sheetData sheetId="2849">
        <row r="2">
          <cell r="A2" t="str">
            <v>Complete</v>
          </cell>
        </row>
      </sheetData>
      <sheetData sheetId="2850">
        <row r="2">
          <cell r="A2" t="str">
            <v>Complete</v>
          </cell>
        </row>
      </sheetData>
      <sheetData sheetId="2851">
        <row r="2">
          <cell r="A2" t="str">
            <v>Complete</v>
          </cell>
        </row>
      </sheetData>
      <sheetData sheetId="2852">
        <row r="2">
          <cell r="A2" t="str">
            <v>Complete</v>
          </cell>
        </row>
      </sheetData>
      <sheetData sheetId="2853">
        <row r="2">
          <cell r="A2" t="str">
            <v>Complete</v>
          </cell>
        </row>
      </sheetData>
      <sheetData sheetId="2854">
        <row r="2">
          <cell r="A2" t="str">
            <v>Complete</v>
          </cell>
        </row>
      </sheetData>
      <sheetData sheetId="2855">
        <row r="2">
          <cell r="A2" t="str">
            <v>Complete</v>
          </cell>
        </row>
      </sheetData>
      <sheetData sheetId="2856">
        <row r="2">
          <cell r="A2" t="str">
            <v>Complete</v>
          </cell>
        </row>
      </sheetData>
      <sheetData sheetId="2857">
        <row r="2">
          <cell r="A2" t="str">
            <v>Complete</v>
          </cell>
        </row>
      </sheetData>
      <sheetData sheetId="2858">
        <row r="2">
          <cell r="A2" t="str">
            <v>Complete</v>
          </cell>
        </row>
      </sheetData>
      <sheetData sheetId="2859">
        <row r="2">
          <cell r="A2" t="str">
            <v>Complete</v>
          </cell>
        </row>
      </sheetData>
      <sheetData sheetId="2860">
        <row r="2">
          <cell r="A2" t="str">
            <v>Complete</v>
          </cell>
        </row>
      </sheetData>
      <sheetData sheetId="2861">
        <row r="2">
          <cell r="A2" t="str">
            <v>Complete</v>
          </cell>
        </row>
      </sheetData>
      <sheetData sheetId="2862">
        <row r="2">
          <cell r="A2" t="str">
            <v>Complete</v>
          </cell>
        </row>
      </sheetData>
      <sheetData sheetId="2863">
        <row r="2">
          <cell r="A2" t="str">
            <v>Complete</v>
          </cell>
        </row>
      </sheetData>
      <sheetData sheetId="2864">
        <row r="2">
          <cell r="A2" t="str">
            <v>Complete</v>
          </cell>
        </row>
      </sheetData>
      <sheetData sheetId="2865">
        <row r="2">
          <cell r="A2" t="str">
            <v>Complete</v>
          </cell>
        </row>
      </sheetData>
      <sheetData sheetId="2866">
        <row r="2">
          <cell r="A2" t="str">
            <v>Complete</v>
          </cell>
        </row>
      </sheetData>
      <sheetData sheetId="2867">
        <row r="2">
          <cell r="A2" t="str">
            <v>Complete</v>
          </cell>
        </row>
      </sheetData>
      <sheetData sheetId="2868">
        <row r="2">
          <cell r="A2" t="str">
            <v>Complete</v>
          </cell>
        </row>
      </sheetData>
      <sheetData sheetId="2869">
        <row r="2">
          <cell r="A2" t="str">
            <v>Complete</v>
          </cell>
        </row>
      </sheetData>
      <sheetData sheetId="2870">
        <row r="2">
          <cell r="A2" t="str">
            <v>Complete</v>
          </cell>
        </row>
      </sheetData>
      <sheetData sheetId="2871">
        <row r="2">
          <cell r="A2" t="str">
            <v>Complete</v>
          </cell>
        </row>
      </sheetData>
      <sheetData sheetId="2872">
        <row r="2">
          <cell r="A2" t="str">
            <v>Complete</v>
          </cell>
        </row>
      </sheetData>
      <sheetData sheetId="2873">
        <row r="2">
          <cell r="A2" t="str">
            <v>Complete</v>
          </cell>
        </row>
      </sheetData>
      <sheetData sheetId="2874">
        <row r="2">
          <cell r="A2" t="str">
            <v>Complete</v>
          </cell>
        </row>
      </sheetData>
      <sheetData sheetId="2875">
        <row r="2">
          <cell r="A2" t="str">
            <v>Complete</v>
          </cell>
        </row>
      </sheetData>
      <sheetData sheetId="2876">
        <row r="2">
          <cell r="A2" t="str">
            <v>Complete</v>
          </cell>
        </row>
      </sheetData>
      <sheetData sheetId="2877">
        <row r="2">
          <cell r="A2" t="str">
            <v>Complete</v>
          </cell>
        </row>
      </sheetData>
      <sheetData sheetId="2878">
        <row r="2">
          <cell r="A2" t="str">
            <v>Complete</v>
          </cell>
        </row>
      </sheetData>
      <sheetData sheetId="2879">
        <row r="2">
          <cell r="A2">
            <v>43462</v>
          </cell>
        </row>
      </sheetData>
      <sheetData sheetId="2880">
        <row r="2">
          <cell r="A2" t="str">
            <v>Complete</v>
          </cell>
        </row>
      </sheetData>
      <sheetData sheetId="2881">
        <row r="2">
          <cell r="A2" t="str">
            <v>Complete</v>
          </cell>
        </row>
      </sheetData>
      <sheetData sheetId="2882">
        <row r="2">
          <cell r="A2">
            <v>43462</v>
          </cell>
        </row>
      </sheetData>
      <sheetData sheetId="2883">
        <row r="2">
          <cell r="A2">
            <v>43462</v>
          </cell>
        </row>
      </sheetData>
      <sheetData sheetId="2884">
        <row r="2">
          <cell r="A2" t="str">
            <v>Complete</v>
          </cell>
        </row>
      </sheetData>
      <sheetData sheetId="2885">
        <row r="2">
          <cell r="A2">
            <v>43462</v>
          </cell>
        </row>
      </sheetData>
      <sheetData sheetId="2886">
        <row r="2">
          <cell r="A2">
            <v>43462</v>
          </cell>
        </row>
      </sheetData>
      <sheetData sheetId="2887">
        <row r="2">
          <cell r="A2">
            <v>43462</v>
          </cell>
        </row>
      </sheetData>
      <sheetData sheetId="2888">
        <row r="2">
          <cell r="A2" t="str">
            <v>Complete</v>
          </cell>
        </row>
      </sheetData>
      <sheetData sheetId="2889">
        <row r="2">
          <cell r="A2">
            <v>43462</v>
          </cell>
        </row>
      </sheetData>
      <sheetData sheetId="2890">
        <row r="2">
          <cell r="A2">
            <v>43462</v>
          </cell>
        </row>
      </sheetData>
      <sheetData sheetId="2891">
        <row r="2">
          <cell r="A2">
            <v>43462</v>
          </cell>
        </row>
      </sheetData>
      <sheetData sheetId="2892">
        <row r="2">
          <cell r="A2" t="str">
            <v>Complete</v>
          </cell>
        </row>
      </sheetData>
      <sheetData sheetId="2893">
        <row r="2">
          <cell r="A2">
            <v>43462</v>
          </cell>
        </row>
      </sheetData>
      <sheetData sheetId="2894">
        <row r="2">
          <cell r="A2">
            <v>43462</v>
          </cell>
        </row>
      </sheetData>
      <sheetData sheetId="2895">
        <row r="2">
          <cell r="A2">
            <v>43462</v>
          </cell>
        </row>
      </sheetData>
      <sheetData sheetId="2896">
        <row r="2">
          <cell r="A2" t="str">
            <v>Complete</v>
          </cell>
        </row>
      </sheetData>
      <sheetData sheetId="2897">
        <row r="2">
          <cell r="A2">
            <v>43462</v>
          </cell>
        </row>
      </sheetData>
      <sheetData sheetId="2898">
        <row r="2">
          <cell r="A2">
            <v>43462</v>
          </cell>
        </row>
      </sheetData>
      <sheetData sheetId="2899">
        <row r="2">
          <cell r="A2">
            <v>43462</v>
          </cell>
        </row>
      </sheetData>
      <sheetData sheetId="2900">
        <row r="2">
          <cell r="A2" t="str">
            <v>Complete</v>
          </cell>
        </row>
      </sheetData>
      <sheetData sheetId="2901">
        <row r="2">
          <cell r="A2">
            <v>43462</v>
          </cell>
        </row>
      </sheetData>
      <sheetData sheetId="2902">
        <row r="2">
          <cell r="A2">
            <v>43462</v>
          </cell>
        </row>
      </sheetData>
      <sheetData sheetId="2903">
        <row r="2">
          <cell r="A2">
            <v>43462</v>
          </cell>
        </row>
      </sheetData>
      <sheetData sheetId="2904">
        <row r="2">
          <cell r="A2" t="str">
            <v>Complete</v>
          </cell>
        </row>
      </sheetData>
      <sheetData sheetId="2905">
        <row r="2">
          <cell r="A2">
            <v>43462</v>
          </cell>
        </row>
      </sheetData>
      <sheetData sheetId="2906">
        <row r="2">
          <cell r="A2">
            <v>43462</v>
          </cell>
        </row>
      </sheetData>
      <sheetData sheetId="2907">
        <row r="2">
          <cell r="A2">
            <v>43462</v>
          </cell>
        </row>
      </sheetData>
      <sheetData sheetId="2908">
        <row r="2">
          <cell r="A2" t="str">
            <v>Complete</v>
          </cell>
        </row>
      </sheetData>
      <sheetData sheetId="2909">
        <row r="2">
          <cell r="A2">
            <v>43462</v>
          </cell>
        </row>
      </sheetData>
      <sheetData sheetId="2910">
        <row r="2">
          <cell r="A2">
            <v>43462</v>
          </cell>
        </row>
      </sheetData>
      <sheetData sheetId="2911">
        <row r="2">
          <cell r="A2">
            <v>43462</v>
          </cell>
        </row>
      </sheetData>
      <sheetData sheetId="2912">
        <row r="2">
          <cell r="A2" t="str">
            <v>Complete</v>
          </cell>
        </row>
      </sheetData>
      <sheetData sheetId="2913">
        <row r="2">
          <cell r="A2" t="str">
            <v>Complete</v>
          </cell>
        </row>
      </sheetData>
      <sheetData sheetId="2914">
        <row r="2">
          <cell r="A2">
            <v>43462</v>
          </cell>
        </row>
      </sheetData>
      <sheetData sheetId="2915">
        <row r="2">
          <cell r="A2">
            <v>43462</v>
          </cell>
        </row>
      </sheetData>
      <sheetData sheetId="2916">
        <row r="2">
          <cell r="A2" t="str">
            <v>Complete</v>
          </cell>
        </row>
      </sheetData>
      <sheetData sheetId="2917">
        <row r="2">
          <cell r="A2" t="str">
            <v>Complete</v>
          </cell>
        </row>
      </sheetData>
      <sheetData sheetId="2918">
        <row r="2">
          <cell r="A2">
            <v>43462</v>
          </cell>
        </row>
      </sheetData>
      <sheetData sheetId="2919">
        <row r="2">
          <cell r="A2">
            <v>43462</v>
          </cell>
        </row>
      </sheetData>
      <sheetData sheetId="2920">
        <row r="2">
          <cell r="A2" t="str">
            <v>Complete</v>
          </cell>
        </row>
      </sheetData>
      <sheetData sheetId="2921">
        <row r="2">
          <cell r="A2" t="str">
            <v>Complete</v>
          </cell>
        </row>
      </sheetData>
      <sheetData sheetId="2922">
        <row r="2">
          <cell r="A2">
            <v>43462</v>
          </cell>
        </row>
      </sheetData>
      <sheetData sheetId="2923">
        <row r="2">
          <cell r="A2">
            <v>43462</v>
          </cell>
        </row>
      </sheetData>
      <sheetData sheetId="2924">
        <row r="2">
          <cell r="A2" t="str">
            <v>Complete</v>
          </cell>
        </row>
      </sheetData>
      <sheetData sheetId="2925">
        <row r="2">
          <cell r="A2" t="str">
            <v>Complete</v>
          </cell>
        </row>
      </sheetData>
      <sheetData sheetId="2926">
        <row r="2">
          <cell r="A2">
            <v>43462</v>
          </cell>
        </row>
      </sheetData>
      <sheetData sheetId="2927">
        <row r="2">
          <cell r="A2">
            <v>43462</v>
          </cell>
        </row>
      </sheetData>
      <sheetData sheetId="2928">
        <row r="2">
          <cell r="A2" t="str">
            <v>Complete</v>
          </cell>
        </row>
      </sheetData>
      <sheetData sheetId="2929">
        <row r="2">
          <cell r="A2" t="str">
            <v>Complete</v>
          </cell>
        </row>
      </sheetData>
      <sheetData sheetId="2930">
        <row r="2">
          <cell r="A2">
            <v>43462</v>
          </cell>
        </row>
      </sheetData>
      <sheetData sheetId="2931">
        <row r="2">
          <cell r="A2">
            <v>43462</v>
          </cell>
        </row>
      </sheetData>
      <sheetData sheetId="2932">
        <row r="2">
          <cell r="A2" t="str">
            <v>Complete</v>
          </cell>
        </row>
      </sheetData>
      <sheetData sheetId="2933">
        <row r="2">
          <cell r="A2" t="str">
            <v>Complete</v>
          </cell>
        </row>
      </sheetData>
      <sheetData sheetId="2934">
        <row r="2">
          <cell r="A2">
            <v>43462</v>
          </cell>
        </row>
      </sheetData>
      <sheetData sheetId="2935">
        <row r="2">
          <cell r="A2">
            <v>43462</v>
          </cell>
        </row>
      </sheetData>
      <sheetData sheetId="2936">
        <row r="2">
          <cell r="A2" t="str">
            <v>Complete</v>
          </cell>
        </row>
      </sheetData>
      <sheetData sheetId="2937">
        <row r="2">
          <cell r="A2">
            <v>43462</v>
          </cell>
        </row>
      </sheetData>
      <sheetData sheetId="2938">
        <row r="2">
          <cell r="A2">
            <v>43462</v>
          </cell>
        </row>
      </sheetData>
      <sheetData sheetId="2939">
        <row r="2">
          <cell r="A2">
            <v>43462</v>
          </cell>
        </row>
      </sheetData>
      <sheetData sheetId="2940">
        <row r="2">
          <cell r="A2" t="str">
            <v>Complete</v>
          </cell>
        </row>
      </sheetData>
      <sheetData sheetId="2941">
        <row r="2">
          <cell r="A2">
            <v>43462</v>
          </cell>
        </row>
      </sheetData>
      <sheetData sheetId="2942">
        <row r="2">
          <cell r="A2">
            <v>43462</v>
          </cell>
        </row>
      </sheetData>
      <sheetData sheetId="2943">
        <row r="2">
          <cell r="A2">
            <v>43462</v>
          </cell>
        </row>
      </sheetData>
      <sheetData sheetId="2944">
        <row r="2">
          <cell r="A2" t="str">
            <v>Complete</v>
          </cell>
        </row>
      </sheetData>
      <sheetData sheetId="2945">
        <row r="2">
          <cell r="A2">
            <v>43462</v>
          </cell>
        </row>
      </sheetData>
      <sheetData sheetId="2946">
        <row r="2">
          <cell r="A2">
            <v>43462</v>
          </cell>
        </row>
      </sheetData>
      <sheetData sheetId="2947">
        <row r="2">
          <cell r="A2">
            <v>43462</v>
          </cell>
        </row>
      </sheetData>
      <sheetData sheetId="2948">
        <row r="2">
          <cell r="A2" t="str">
            <v>Complete</v>
          </cell>
        </row>
      </sheetData>
      <sheetData sheetId="2949">
        <row r="2">
          <cell r="A2">
            <v>43462</v>
          </cell>
        </row>
      </sheetData>
      <sheetData sheetId="2950">
        <row r="2">
          <cell r="A2">
            <v>43462</v>
          </cell>
        </row>
      </sheetData>
      <sheetData sheetId="2951">
        <row r="2">
          <cell r="A2">
            <v>43462</v>
          </cell>
        </row>
      </sheetData>
      <sheetData sheetId="2952">
        <row r="2">
          <cell r="A2" t="str">
            <v>Complete</v>
          </cell>
        </row>
      </sheetData>
      <sheetData sheetId="2953">
        <row r="2">
          <cell r="A2">
            <v>43462</v>
          </cell>
        </row>
      </sheetData>
      <sheetData sheetId="2954">
        <row r="2">
          <cell r="A2">
            <v>43462</v>
          </cell>
        </row>
      </sheetData>
      <sheetData sheetId="2955">
        <row r="2">
          <cell r="A2">
            <v>43462</v>
          </cell>
        </row>
      </sheetData>
      <sheetData sheetId="2956">
        <row r="2">
          <cell r="A2" t="str">
            <v>Complete</v>
          </cell>
        </row>
      </sheetData>
      <sheetData sheetId="2957">
        <row r="2">
          <cell r="A2" t="str">
            <v>Complete</v>
          </cell>
        </row>
      </sheetData>
      <sheetData sheetId="2958">
        <row r="2">
          <cell r="A2" t="str">
            <v>Complete</v>
          </cell>
        </row>
      </sheetData>
      <sheetData sheetId="2959">
        <row r="2">
          <cell r="A2">
            <v>43462</v>
          </cell>
        </row>
      </sheetData>
      <sheetData sheetId="2960">
        <row r="2">
          <cell r="A2" t="str">
            <v>Complete</v>
          </cell>
        </row>
      </sheetData>
      <sheetData sheetId="2961">
        <row r="2">
          <cell r="A2" t="str">
            <v>Complete</v>
          </cell>
        </row>
      </sheetData>
      <sheetData sheetId="2962">
        <row r="2">
          <cell r="A2">
            <v>43462</v>
          </cell>
        </row>
      </sheetData>
      <sheetData sheetId="2963">
        <row r="2">
          <cell r="A2">
            <v>43462</v>
          </cell>
        </row>
      </sheetData>
      <sheetData sheetId="2964">
        <row r="2">
          <cell r="A2" t="str">
            <v>Complete</v>
          </cell>
        </row>
      </sheetData>
      <sheetData sheetId="2965">
        <row r="2">
          <cell r="A2" t="str">
            <v>Complete</v>
          </cell>
        </row>
      </sheetData>
      <sheetData sheetId="2966">
        <row r="2">
          <cell r="A2" t="str">
            <v>Complete</v>
          </cell>
        </row>
      </sheetData>
      <sheetData sheetId="2967">
        <row r="2">
          <cell r="A2" t="str">
            <v>Complete</v>
          </cell>
        </row>
      </sheetData>
      <sheetData sheetId="2968">
        <row r="2">
          <cell r="A2" t="str">
            <v>Complete</v>
          </cell>
        </row>
      </sheetData>
      <sheetData sheetId="2969">
        <row r="2">
          <cell r="A2" t="str">
            <v>Complete</v>
          </cell>
        </row>
      </sheetData>
      <sheetData sheetId="2970">
        <row r="2">
          <cell r="A2" t="str">
            <v>Complete</v>
          </cell>
        </row>
      </sheetData>
      <sheetData sheetId="2971">
        <row r="2">
          <cell r="A2" t="str">
            <v>Complete</v>
          </cell>
        </row>
      </sheetData>
      <sheetData sheetId="2972">
        <row r="2">
          <cell r="A2" t="str">
            <v>Complete</v>
          </cell>
        </row>
      </sheetData>
      <sheetData sheetId="2973">
        <row r="2">
          <cell r="A2" t="str">
            <v>Complete</v>
          </cell>
        </row>
      </sheetData>
      <sheetData sheetId="2974">
        <row r="2">
          <cell r="A2" t="str">
            <v>Complete</v>
          </cell>
        </row>
      </sheetData>
      <sheetData sheetId="2975">
        <row r="2">
          <cell r="A2" t="str">
            <v>Complete</v>
          </cell>
        </row>
      </sheetData>
      <sheetData sheetId="2976">
        <row r="2">
          <cell r="A2" t="str">
            <v>Complete</v>
          </cell>
        </row>
      </sheetData>
      <sheetData sheetId="2977">
        <row r="2">
          <cell r="A2" t="str">
            <v>Complete</v>
          </cell>
        </row>
      </sheetData>
      <sheetData sheetId="2978">
        <row r="2">
          <cell r="A2">
            <v>43462</v>
          </cell>
        </row>
      </sheetData>
      <sheetData sheetId="2979">
        <row r="2">
          <cell r="A2">
            <v>43462</v>
          </cell>
        </row>
      </sheetData>
      <sheetData sheetId="2980">
        <row r="2">
          <cell r="A2">
            <v>43462</v>
          </cell>
        </row>
      </sheetData>
      <sheetData sheetId="2981">
        <row r="2">
          <cell r="A2">
            <v>43462</v>
          </cell>
        </row>
      </sheetData>
      <sheetData sheetId="2982">
        <row r="2">
          <cell r="A2">
            <v>43462</v>
          </cell>
        </row>
      </sheetData>
      <sheetData sheetId="2983">
        <row r="2">
          <cell r="A2">
            <v>43462</v>
          </cell>
        </row>
      </sheetData>
      <sheetData sheetId="2984">
        <row r="2">
          <cell r="A2">
            <v>43462</v>
          </cell>
        </row>
      </sheetData>
      <sheetData sheetId="2985">
        <row r="2">
          <cell r="A2">
            <v>43462</v>
          </cell>
        </row>
      </sheetData>
      <sheetData sheetId="2986">
        <row r="2">
          <cell r="A2">
            <v>43462</v>
          </cell>
        </row>
      </sheetData>
      <sheetData sheetId="2987">
        <row r="2">
          <cell r="A2">
            <v>43462</v>
          </cell>
        </row>
      </sheetData>
      <sheetData sheetId="2988">
        <row r="2">
          <cell r="A2">
            <v>43462</v>
          </cell>
        </row>
      </sheetData>
      <sheetData sheetId="2989">
        <row r="2">
          <cell r="A2">
            <v>43462</v>
          </cell>
        </row>
      </sheetData>
      <sheetData sheetId="2990">
        <row r="2">
          <cell r="A2">
            <v>43462</v>
          </cell>
        </row>
      </sheetData>
      <sheetData sheetId="2991">
        <row r="2">
          <cell r="A2">
            <v>43462</v>
          </cell>
        </row>
      </sheetData>
      <sheetData sheetId="2992">
        <row r="2">
          <cell r="A2">
            <v>43462</v>
          </cell>
        </row>
      </sheetData>
      <sheetData sheetId="2993">
        <row r="2">
          <cell r="A2" t="str">
            <v>Complete</v>
          </cell>
        </row>
      </sheetData>
      <sheetData sheetId="2994">
        <row r="2">
          <cell r="A2">
            <v>43462</v>
          </cell>
        </row>
      </sheetData>
      <sheetData sheetId="2995">
        <row r="2">
          <cell r="A2">
            <v>43462</v>
          </cell>
        </row>
      </sheetData>
      <sheetData sheetId="2996">
        <row r="2">
          <cell r="A2">
            <v>43462</v>
          </cell>
        </row>
      </sheetData>
      <sheetData sheetId="2997">
        <row r="2">
          <cell r="A2" t="str">
            <v>Complete</v>
          </cell>
        </row>
      </sheetData>
      <sheetData sheetId="2998">
        <row r="2">
          <cell r="A2" t="str">
            <v>Complete</v>
          </cell>
        </row>
      </sheetData>
      <sheetData sheetId="2999">
        <row r="2">
          <cell r="A2">
            <v>43462</v>
          </cell>
        </row>
      </sheetData>
      <sheetData sheetId="3000">
        <row r="2">
          <cell r="A2">
            <v>43462</v>
          </cell>
        </row>
      </sheetData>
      <sheetData sheetId="3001">
        <row r="2">
          <cell r="A2" t="str">
            <v>Complete</v>
          </cell>
        </row>
      </sheetData>
      <sheetData sheetId="3002">
        <row r="2">
          <cell r="A2" t="str">
            <v>Complete</v>
          </cell>
        </row>
      </sheetData>
      <sheetData sheetId="3003">
        <row r="2">
          <cell r="A2">
            <v>43462</v>
          </cell>
        </row>
      </sheetData>
      <sheetData sheetId="3004">
        <row r="2">
          <cell r="A2">
            <v>43462</v>
          </cell>
        </row>
      </sheetData>
      <sheetData sheetId="3005">
        <row r="2">
          <cell r="A2" t="str">
            <v>Complete</v>
          </cell>
        </row>
      </sheetData>
      <sheetData sheetId="3006">
        <row r="2">
          <cell r="A2" t="str">
            <v>Complete</v>
          </cell>
        </row>
      </sheetData>
      <sheetData sheetId="3007">
        <row r="2">
          <cell r="A2">
            <v>43462</v>
          </cell>
        </row>
      </sheetData>
      <sheetData sheetId="3008">
        <row r="2">
          <cell r="A2">
            <v>43462</v>
          </cell>
        </row>
      </sheetData>
      <sheetData sheetId="3009">
        <row r="2">
          <cell r="A2" t="str">
            <v>Complete</v>
          </cell>
        </row>
      </sheetData>
      <sheetData sheetId="3010">
        <row r="2">
          <cell r="A2" t="str">
            <v>Complete</v>
          </cell>
        </row>
      </sheetData>
      <sheetData sheetId="3011">
        <row r="2">
          <cell r="A2">
            <v>43462</v>
          </cell>
        </row>
      </sheetData>
      <sheetData sheetId="3012">
        <row r="2">
          <cell r="A2">
            <v>43462</v>
          </cell>
        </row>
      </sheetData>
      <sheetData sheetId="3013">
        <row r="2">
          <cell r="A2" t="str">
            <v>Complete</v>
          </cell>
        </row>
      </sheetData>
      <sheetData sheetId="3014">
        <row r="2">
          <cell r="A2" t="str">
            <v>Complete</v>
          </cell>
        </row>
      </sheetData>
      <sheetData sheetId="3015">
        <row r="2">
          <cell r="A2">
            <v>43462</v>
          </cell>
        </row>
      </sheetData>
      <sheetData sheetId="3016">
        <row r="2">
          <cell r="A2">
            <v>43462</v>
          </cell>
        </row>
      </sheetData>
      <sheetData sheetId="3017">
        <row r="2">
          <cell r="A2" t="str">
            <v>Complete</v>
          </cell>
        </row>
      </sheetData>
      <sheetData sheetId="3018">
        <row r="2">
          <cell r="A2" t="str">
            <v>Complete</v>
          </cell>
        </row>
      </sheetData>
      <sheetData sheetId="3019">
        <row r="2">
          <cell r="A2">
            <v>43462</v>
          </cell>
        </row>
      </sheetData>
      <sheetData sheetId="3020">
        <row r="2">
          <cell r="A2">
            <v>43462</v>
          </cell>
        </row>
      </sheetData>
      <sheetData sheetId="3021">
        <row r="2">
          <cell r="A2" t="str">
            <v>Complete</v>
          </cell>
        </row>
      </sheetData>
      <sheetData sheetId="3022">
        <row r="2">
          <cell r="A2" t="str">
            <v>Complete</v>
          </cell>
        </row>
      </sheetData>
      <sheetData sheetId="3023">
        <row r="2">
          <cell r="A2">
            <v>43462</v>
          </cell>
        </row>
      </sheetData>
      <sheetData sheetId="3024">
        <row r="2">
          <cell r="A2">
            <v>43462</v>
          </cell>
        </row>
      </sheetData>
      <sheetData sheetId="3025">
        <row r="2">
          <cell r="A2" t="str">
            <v>Complete</v>
          </cell>
        </row>
      </sheetData>
      <sheetData sheetId="3026">
        <row r="2">
          <cell r="A2" t="str">
            <v>Complete</v>
          </cell>
        </row>
      </sheetData>
      <sheetData sheetId="3027">
        <row r="2">
          <cell r="A2">
            <v>43462</v>
          </cell>
        </row>
      </sheetData>
      <sheetData sheetId="3028">
        <row r="2">
          <cell r="A2">
            <v>43462</v>
          </cell>
        </row>
      </sheetData>
      <sheetData sheetId="3029">
        <row r="2">
          <cell r="A2" t="str">
            <v>Complete</v>
          </cell>
        </row>
      </sheetData>
      <sheetData sheetId="3030">
        <row r="2">
          <cell r="A2" t="str">
            <v>Complete</v>
          </cell>
        </row>
      </sheetData>
      <sheetData sheetId="3031">
        <row r="2">
          <cell r="A2">
            <v>43462</v>
          </cell>
        </row>
      </sheetData>
      <sheetData sheetId="3032">
        <row r="2">
          <cell r="A2">
            <v>43462</v>
          </cell>
        </row>
      </sheetData>
      <sheetData sheetId="3033">
        <row r="2">
          <cell r="A2" t="str">
            <v>Complete</v>
          </cell>
        </row>
      </sheetData>
      <sheetData sheetId="3034">
        <row r="2">
          <cell r="A2" t="str">
            <v>Complete</v>
          </cell>
        </row>
      </sheetData>
      <sheetData sheetId="3035">
        <row r="2">
          <cell r="A2">
            <v>43462</v>
          </cell>
        </row>
      </sheetData>
      <sheetData sheetId="3036">
        <row r="2">
          <cell r="A2">
            <v>43462</v>
          </cell>
        </row>
      </sheetData>
      <sheetData sheetId="3037">
        <row r="2">
          <cell r="A2">
            <v>43462</v>
          </cell>
        </row>
      </sheetData>
      <sheetData sheetId="3038">
        <row r="2">
          <cell r="A2">
            <v>43462</v>
          </cell>
        </row>
      </sheetData>
      <sheetData sheetId="3039">
        <row r="2">
          <cell r="A2">
            <v>43462</v>
          </cell>
        </row>
      </sheetData>
      <sheetData sheetId="3040">
        <row r="2">
          <cell r="A2">
            <v>43462</v>
          </cell>
        </row>
      </sheetData>
      <sheetData sheetId="3041">
        <row r="2">
          <cell r="A2" t="str">
            <v>Complete</v>
          </cell>
        </row>
      </sheetData>
      <sheetData sheetId="3042">
        <row r="2">
          <cell r="A2" t="str">
            <v>Complete</v>
          </cell>
        </row>
      </sheetData>
      <sheetData sheetId="3043">
        <row r="2">
          <cell r="A2">
            <v>43462</v>
          </cell>
        </row>
      </sheetData>
      <sheetData sheetId="3044">
        <row r="2">
          <cell r="A2">
            <v>43462</v>
          </cell>
        </row>
      </sheetData>
      <sheetData sheetId="3045">
        <row r="2">
          <cell r="A2" t="str">
            <v>Complete</v>
          </cell>
        </row>
      </sheetData>
      <sheetData sheetId="3046">
        <row r="2">
          <cell r="A2" t="str">
            <v>Complete</v>
          </cell>
        </row>
      </sheetData>
      <sheetData sheetId="3047">
        <row r="2">
          <cell r="A2">
            <v>43462</v>
          </cell>
        </row>
      </sheetData>
      <sheetData sheetId="3048">
        <row r="2">
          <cell r="A2">
            <v>43462</v>
          </cell>
        </row>
      </sheetData>
      <sheetData sheetId="3049">
        <row r="2">
          <cell r="A2" t="str">
            <v>Complete</v>
          </cell>
        </row>
      </sheetData>
      <sheetData sheetId="3050">
        <row r="2">
          <cell r="A2" t="str">
            <v>Complete</v>
          </cell>
        </row>
      </sheetData>
      <sheetData sheetId="3051">
        <row r="2">
          <cell r="A2">
            <v>43462</v>
          </cell>
        </row>
      </sheetData>
      <sheetData sheetId="3052">
        <row r="2">
          <cell r="A2">
            <v>43462</v>
          </cell>
        </row>
      </sheetData>
      <sheetData sheetId="3053">
        <row r="2">
          <cell r="A2" t="str">
            <v>Complete</v>
          </cell>
        </row>
      </sheetData>
      <sheetData sheetId="3054">
        <row r="2">
          <cell r="A2" t="str">
            <v>Complete</v>
          </cell>
        </row>
      </sheetData>
      <sheetData sheetId="3055">
        <row r="2">
          <cell r="A2">
            <v>43462</v>
          </cell>
        </row>
      </sheetData>
      <sheetData sheetId="3056">
        <row r="2">
          <cell r="A2">
            <v>43462</v>
          </cell>
        </row>
      </sheetData>
      <sheetData sheetId="3057">
        <row r="2">
          <cell r="A2" t="str">
            <v>Complete</v>
          </cell>
        </row>
      </sheetData>
      <sheetData sheetId="3058">
        <row r="2">
          <cell r="A2" t="str">
            <v>Complete</v>
          </cell>
        </row>
      </sheetData>
      <sheetData sheetId="3059">
        <row r="2">
          <cell r="A2">
            <v>43462</v>
          </cell>
        </row>
      </sheetData>
      <sheetData sheetId="3060">
        <row r="2">
          <cell r="A2">
            <v>43462</v>
          </cell>
        </row>
      </sheetData>
      <sheetData sheetId="3061">
        <row r="2">
          <cell r="A2" t="str">
            <v>Complete</v>
          </cell>
        </row>
      </sheetData>
      <sheetData sheetId="3062">
        <row r="2">
          <cell r="A2" t="str">
            <v>Complete</v>
          </cell>
        </row>
      </sheetData>
      <sheetData sheetId="3063">
        <row r="2">
          <cell r="A2">
            <v>43462</v>
          </cell>
        </row>
      </sheetData>
      <sheetData sheetId="3064">
        <row r="2">
          <cell r="A2">
            <v>43462</v>
          </cell>
        </row>
      </sheetData>
      <sheetData sheetId="3065">
        <row r="2">
          <cell r="A2" t="str">
            <v>Complete</v>
          </cell>
        </row>
      </sheetData>
      <sheetData sheetId="3066">
        <row r="2">
          <cell r="A2" t="str">
            <v>Complete</v>
          </cell>
        </row>
      </sheetData>
      <sheetData sheetId="3067">
        <row r="2">
          <cell r="A2">
            <v>43462</v>
          </cell>
        </row>
      </sheetData>
      <sheetData sheetId="3068">
        <row r="2">
          <cell r="A2">
            <v>43462</v>
          </cell>
        </row>
      </sheetData>
      <sheetData sheetId="3069">
        <row r="2">
          <cell r="A2" t="str">
            <v>Complete</v>
          </cell>
        </row>
      </sheetData>
      <sheetData sheetId="3070">
        <row r="2">
          <cell r="A2" t="str">
            <v>Complete</v>
          </cell>
        </row>
      </sheetData>
      <sheetData sheetId="3071">
        <row r="2">
          <cell r="A2">
            <v>43462</v>
          </cell>
        </row>
      </sheetData>
      <sheetData sheetId="3072">
        <row r="2">
          <cell r="A2">
            <v>43462</v>
          </cell>
        </row>
      </sheetData>
      <sheetData sheetId="3073">
        <row r="2">
          <cell r="A2" t="str">
            <v>Complete</v>
          </cell>
        </row>
      </sheetData>
      <sheetData sheetId="3074">
        <row r="2">
          <cell r="A2" t="str">
            <v>Complete</v>
          </cell>
        </row>
      </sheetData>
      <sheetData sheetId="3075">
        <row r="2">
          <cell r="A2">
            <v>43462</v>
          </cell>
        </row>
      </sheetData>
      <sheetData sheetId="3076">
        <row r="2">
          <cell r="A2">
            <v>43462</v>
          </cell>
        </row>
      </sheetData>
      <sheetData sheetId="3077">
        <row r="2">
          <cell r="A2" t="str">
            <v>Complete</v>
          </cell>
        </row>
      </sheetData>
      <sheetData sheetId="3078">
        <row r="2">
          <cell r="A2" t="str">
            <v>Complete</v>
          </cell>
        </row>
      </sheetData>
      <sheetData sheetId="3079">
        <row r="2">
          <cell r="A2">
            <v>43462</v>
          </cell>
        </row>
      </sheetData>
      <sheetData sheetId="3080">
        <row r="2">
          <cell r="A2">
            <v>43462</v>
          </cell>
        </row>
      </sheetData>
      <sheetData sheetId="3081">
        <row r="2">
          <cell r="A2" t="str">
            <v>Complete</v>
          </cell>
        </row>
      </sheetData>
      <sheetData sheetId="3082">
        <row r="2">
          <cell r="A2" t="str">
            <v>Complete</v>
          </cell>
        </row>
      </sheetData>
      <sheetData sheetId="3083">
        <row r="2">
          <cell r="A2" t="str">
            <v>Complete</v>
          </cell>
        </row>
      </sheetData>
      <sheetData sheetId="3084">
        <row r="2">
          <cell r="A2">
            <v>43462</v>
          </cell>
        </row>
      </sheetData>
      <sheetData sheetId="3085">
        <row r="2">
          <cell r="A2" t="str">
            <v>Complete</v>
          </cell>
        </row>
      </sheetData>
      <sheetData sheetId="3086">
        <row r="2">
          <cell r="A2" t="str">
            <v>Complete</v>
          </cell>
        </row>
      </sheetData>
      <sheetData sheetId="3087">
        <row r="2">
          <cell r="A2" t="str">
            <v>Complete</v>
          </cell>
        </row>
      </sheetData>
      <sheetData sheetId="3088">
        <row r="2">
          <cell r="A2">
            <v>43462</v>
          </cell>
        </row>
      </sheetData>
      <sheetData sheetId="3089">
        <row r="2">
          <cell r="A2" t="str">
            <v>Complete</v>
          </cell>
        </row>
      </sheetData>
      <sheetData sheetId="3090">
        <row r="2">
          <cell r="A2" t="str">
            <v>Complete</v>
          </cell>
        </row>
      </sheetData>
      <sheetData sheetId="3091">
        <row r="2">
          <cell r="A2" t="str">
            <v>Complete</v>
          </cell>
        </row>
      </sheetData>
      <sheetData sheetId="3092">
        <row r="2">
          <cell r="A2">
            <v>43462</v>
          </cell>
        </row>
      </sheetData>
      <sheetData sheetId="3093">
        <row r="2">
          <cell r="A2" t="str">
            <v>Complete</v>
          </cell>
        </row>
      </sheetData>
      <sheetData sheetId="3094">
        <row r="2">
          <cell r="A2" t="str">
            <v>Complete</v>
          </cell>
        </row>
      </sheetData>
      <sheetData sheetId="3095">
        <row r="2">
          <cell r="A2" t="str">
            <v>Complete</v>
          </cell>
        </row>
      </sheetData>
      <sheetData sheetId="3096">
        <row r="2">
          <cell r="A2">
            <v>43462</v>
          </cell>
        </row>
      </sheetData>
      <sheetData sheetId="3097">
        <row r="2">
          <cell r="A2" t="str">
            <v>Complete</v>
          </cell>
        </row>
      </sheetData>
      <sheetData sheetId="3098">
        <row r="2">
          <cell r="A2" t="str">
            <v>Complete</v>
          </cell>
        </row>
      </sheetData>
      <sheetData sheetId="3099">
        <row r="2">
          <cell r="A2" t="str">
            <v>Complete</v>
          </cell>
        </row>
      </sheetData>
      <sheetData sheetId="3100">
        <row r="2">
          <cell r="A2">
            <v>43462</v>
          </cell>
        </row>
      </sheetData>
      <sheetData sheetId="3101">
        <row r="2">
          <cell r="A2" t="str">
            <v>Complete</v>
          </cell>
        </row>
      </sheetData>
      <sheetData sheetId="3102">
        <row r="2">
          <cell r="A2" t="str">
            <v>Complete</v>
          </cell>
        </row>
      </sheetData>
      <sheetData sheetId="3103">
        <row r="2">
          <cell r="A2" t="str">
            <v>Complete</v>
          </cell>
        </row>
      </sheetData>
      <sheetData sheetId="3104">
        <row r="2">
          <cell r="A2">
            <v>43462</v>
          </cell>
        </row>
      </sheetData>
      <sheetData sheetId="3105">
        <row r="2">
          <cell r="A2" t="str">
            <v>Complete</v>
          </cell>
        </row>
      </sheetData>
      <sheetData sheetId="3106">
        <row r="2">
          <cell r="A2" t="str">
            <v>Complete</v>
          </cell>
        </row>
      </sheetData>
      <sheetData sheetId="3107">
        <row r="2">
          <cell r="A2">
            <v>43462</v>
          </cell>
        </row>
      </sheetData>
      <sheetData sheetId="3108">
        <row r="2">
          <cell r="A2">
            <v>43462</v>
          </cell>
        </row>
      </sheetData>
      <sheetData sheetId="3109">
        <row r="2">
          <cell r="A2" t="str">
            <v>Complete</v>
          </cell>
        </row>
      </sheetData>
      <sheetData sheetId="3110">
        <row r="2">
          <cell r="A2" t="str">
            <v>Complete</v>
          </cell>
        </row>
      </sheetData>
      <sheetData sheetId="3111">
        <row r="2">
          <cell r="A2">
            <v>43462</v>
          </cell>
        </row>
      </sheetData>
      <sheetData sheetId="3112">
        <row r="2">
          <cell r="A2">
            <v>43462</v>
          </cell>
        </row>
      </sheetData>
      <sheetData sheetId="3113">
        <row r="2">
          <cell r="A2" t="str">
            <v>Complete</v>
          </cell>
        </row>
      </sheetData>
      <sheetData sheetId="3114">
        <row r="2">
          <cell r="A2" t="str">
            <v>Complete</v>
          </cell>
        </row>
      </sheetData>
      <sheetData sheetId="3115">
        <row r="2">
          <cell r="A2">
            <v>43462</v>
          </cell>
        </row>
      </sheetData>
      <sheetData sheetId="3116">
        <row r="2">
          <cell r="A2">
            <v>43462</v>
          </cell>
        </row>
      </sheetData>
      <sheetData sheetId="3117">
        <row r="2">
          <cell r="A2" t="str">
            <v>Complete</v>
          </cell>
        </row>
      </sheetData>
      <sheetData sheetId="3118">
        <row r="2">
          <cell r="A2" t="str">
            <v>Complete</v>
          </cell>
        </row>
      </sheetData>
      <sheetData sheetId="3119">
        <row r="2">
          <cell r="A2">
            <v>43462</v>
          </cell>
        </row>
      </sheetData>
      <sheetData sheetId="3120">
        <row r="2">
          <cell r="A2">
            <v>43462</v>
          </cell>
        </row>
      </sheetData>
      <sheetData sheetId="3121">
        <row r="2">
          <cell r="A2" t="str">
            <v>Complete</v>
          </cell>
        </row>
      </sheetData>
      <sheetData sheetId="3122">
        <row r="2">
          <cell r="A2" t="str">
            <v>Complete</v>
          </cell>
        </row>
      </sheetData>
      <sheetData sheetId="3123">
        <row r="2">
          <cell r="A2">
            <v>43462</v>
          </cell>
        </row>
      </sheetData>
      <sheetData sheetId="3124">
        <row r="2">
          <cell r="A2">
            <v>43462</v>
          </cell>
        </row>
      </sheetData>
      <sheetData sheetId="3125">
        <row r="2">
          <cell r="A2" t="str">
            <v>Complete</v>
          </cell>
        </row>
      </sheetData>
      <sheetData sheetId="3126">
        <row r="2">
          <cell r="A2" t="str">
            <v>Complete</v>
          </cell>
        </row>
      </sheetData>
      <sheetData sheetId="3127">
        <row r="2">
          <cell r="A2" t="str">
            <v>Complete</v>
          </cell>
        </row>
      </sheetData>
      <sheetData sheetId="3128">
        <row r="2">
          <cell r="A2" t="str">
            <v>Complete</v>
          </cell>
        </row>
      </sheetData>
      <sheetData sheetId="3129">
        <row r="2">
          <cell r="A2" t="str">
            <v>Complete</v>
          </cell>
        </row>
      </sheetData>
      <sheetData sheetId="3130">
        <row r="2">
          <cell r="A2" t="str">
            <v>Complete</v>
          </cell>
        </row>
      </sheetData>
      <sheetData sheetId="3131">
        <row r="2">
          <cell r="A2" t="str">
            <v>Complete</v>
          </cell>
        </row>
      </sheetData>
      <sheetData sheetId="3132">
        <row r="2">
          <cell r="A2">
            <v>43462</v>
          </cell>
        </row>
      </sheetData>
      <sheetData sheetId="3133">
        <row r="2">
          <cell r="A2" t="str">
            <v>Complete</v>
          </cell>
        </row>
      </sheetData>
      <sheetData sheetId="3134">
        <row r="2">
          <cell r="A2" t="str">
            <v>Complete</v>
          </cell>
        </row>
      </sheetData>
      <sheetData sheetId="3135">
        <row r="2">
          <cell r="A2" t="str">
            <v>Complete</v>
          </cell>
        </row>
      </sheetData>
      <sheetData sheetId="3136">
        <row r="2">
          <cell r="A2" t="str">
            <v>Complete</v>
          </cell>
        </row>
      </sheetData>
      <sheetData sheetId="3137">
        <row r="2">
          <cell r="A2" t="str">
            <v>Complete</v>
          </cell>
        </row>
      </sheetData>
      <sheetData sheetId="3138">
        <row r="2">
          <cell r="A2" t="str">
            <v>Complete</v>
          </cell>
        </row>
      </sheetData>
      <sheetData sheetId="3139">
        <row r="2">
          <cell r="A2" t="str">
            <v>Complete</v>
          </cell>
        </row>
      </sheetData>
      <sheetData sheetId="3140">
        <row r="2">
          <cell r="A2" t="str">
            <v>Complete</v>
          </cell>
        </row>
      </sheetData>
      <sheetData sheetId="3141">
        <row r="2">
          <cell r="A2" t="str">
            <v>Complete</v>
          </cell>
        </row>
      </sheetData>
      <sheetData sheetId="3142">
        <row r="2">
          <cell r="A2" t="str">
            <v>Complete</v>
          </cell>
        </row>
      </sheetData>
      <sheetData sheetId="3143">
        <row r="2">
          <cell r="A2" t="str">
            <v>Complete</v>
          </cell>
        </row>
      </sheetData>
      <sheetData sheetId="3144">
        <row r="2">
          <cell r="A2" t="str">
            <v>Complete</v>
          </cell>
        </row>
      </sheetData>
      <sheetData sheetId="3145">
        <row r="2">
          <cell r="A2" t="str">
            <v>Complete</v>
          </cell>
        </row>
      </sheetData>
      <sheetData sheetId="3146">
        <row r="2">
          <cell r="A2" t="str">
            <v>Complete</v>
          </cell>
        </row>
      </sheetData>
      <sheetData sheetId="3147">
        <row r="2">
          <cell r="A2" t="str">
            <v>Complete</v>
          </cell>
        </row>
      </sheetData>
      <sheetData sheetId="3148">
        <row r="2">
          <cell r="A2" t="str">
            <v>Complete</v>
          </cell>
        </row>
      </sheetData>
      <sheetData sheetId="3149">
        <row r="2">
          <cell r="A2" t="str">
            <v>Complete</v>
          </cell>
        </row>
      </sheetData>
      <sheetData sheetId="3150">
        <row r="2">
          <cell r="A2" t="str">
            <v>Complete</v>
          </cell>
        </row>
      </sheetData>
      <sheetData sheetId="3151">
        <row r="2">
          <cell r="A2" t="str">
            <v>Complete</v>
          </cell>
        </row>
      </sheetData>
      <sheetData sheetId="3152">
        <row r="2">
          <cell r="A2" t="str">
            <v>Complete</v>
          </cell>
        </row>
      </sheetData>
      <sheetData sheetId="3153">
        <row r="2">
          <cell r="A2" t="str">
            <v>Complete</v>
          </cell>
        </row>
      </sheetData>
      <sheetData sheetId="3154">
        <row r="2">
          <cell r="A2" t="str">
            <v>Complete</v>
          </cell>
        </row>
      </sheetData>
      <sheetData sheetId="3155">
        <row r="2">
          <cell r="A2" t="str">
            <v>Complete</v>
          </cell>
        </row>
      </sheetData>
      <sheetData sheetId="3156">
        <row r="2">
          <cell r="A2" t="str">
            <v>Complete</v>
          </cell>
        </row>
      </sheetData>
      <sheetData sheetId="3157">
        <row r="2">
          <cell r="A2" t="str">
            <v>Complete</v>
          </cell>
        </row>
      </sheetData>
      <sheetData sheetId="3158">
        <row r="2">
          <cell r="A2" t="str">
            <v>Complete</v>
          </cell>
        </row>
      </sheetData>
      <sheetData sheetId="3159">
        <row r="2">
          <cell r="A2" t="str">
            <v>Complete</v>
          </cell>
        </row>
      </sheetData>
      <sheetData sheetId="3160">
        <row r="2">
          <cell r="A2" t="str">
            <v>Complete</v>
          </cell>
        </row>
      </sheetData>
      <sheetData sheetId="3161">
        <row r="2">
          <cell r="A2" t="str">
            <v>Complete</v>
          </cell>
        </row>
      </sheetData>
      <sheetData sheetId="3162">
        <row r="2">
          <cell r="A2" t="str">
            <v>Complete</v>
          </cell>
        </row>
      </sheetData>
      <sheetData sheetId="3163">
        <row r="2">
          <cell r="A2" t="str">
            <v>Complete</v>
          </cell>
        </row>
      </sheetData>
      <sheetData sheetId="3164">
        <row r="2">
          <cell r="A2" t="str">
            <v>Complete</v>
          </cell>
        </row>
      </sheetData>
      <sheetData sheetId="3165">
        <row r="2">
          <cell r="A2" t="str">
            <v>Complete</v>
          </cell>
        </row>
      </sheetData>
      <sheetData sheetId="3166">
        <row r="2">
          <cell r="A2" t="str">
            <v>Complete</v>
          </cell>
        </row>
      </sheetData>
      <sheetData sheetId="3167">
        <row r="2">
          <cell r="A2" t="str">
            <v>Complete</v>
          </cell>
        </row>
      </sheetData>
      <sheetData sheetId="3168">
        <row r="2">
          <cell r="A2" t="str">
            <v>Complete</v>
          </cell>
        </row>
      </sheetData>
      <sheetData sheetId="3169">
        <row r="2">
          <cell r="A2" t="str">
            <v>Complete</v>
          </cell>
        </row>
      </sheetData>
      <sheetData sheetId="3170">
        <row r="2">
          <cell r="A2" t="str">
            <v>Complete</v>
          </cell>
        </row>
      </sheetData>
      <sheetData sheetId="3171">
        <row r="2">
          <cell r="A2" t="str">
            <v>Complete</v>
          </cell>
        </row>
      </sheetData>
      <sheetData sheetId="3172">
        <row r="2">
          <cell r="A2" t="str">
            <v>Complete</v>
          </cell>
        </row>
      </sheetData>
      <sheetData sheetId="3173">
        <row r="2">
          <cell r="A2" t="str">
            <v>Complete</v>
          </cell>
        </row>
      </sheetData>
      <sheetData sheetId="3174">
        <row r="2">
          <cell r="A2" t="str">
            <v>Complete</v>
          </cell>
        </row>
      </sheetData>
      <sheetData sheetId="3175">
        <row r="2">
          <cell r="A2" t="str">
            <v>Complete</v>
          </cell>
        </row>
      </sheetData>
      <sheetData sheetId="3176">
        <row r="2">
          <cell r="A2" t="str">
            <v>Complete</v>
          </cell>
        </row>
      </sheetData>
      <sheetData sheetId="3177">
        <row r="2">
          <cell r="A2" t="str">
            <v>Complete</v>
          </cell>
        </row>
      </sheetData>
      <sheetData sheetId="3178">
        <row r="2">
          <cell r="A2" t="str">
            <v>Complete</v>
          </cell>
        </row>
      </sheetData>
      <sheetData sheetId="3179">
        <row r="2">
          <cell r="A2" t="str">
            <v>Complete</v>
          </cell>
        </row>
      </sheetData>
      <sheetData sheetId="3180">
        <row r="2">
          <cell r="A2" t="str">
            <v>Complete</v>
          </cell>
        </row>
      </sheetData>
      <sheetData sheetId="3181">
        <row r="2">
          <cell r="A2" t="str">
            <v>Complete</v>
          </cell>
        </row>
      </sheetData>
      <sheetData sheetId="3182">
        <row r="2">
          <cell r="A2" t="str">
            <v>Complete</v>
          </cell>
        </row>
      </sheetData>
      <sheetData sheetId="3183">
        <row r="2">
          <cell r="A2" t="str">
            <v>Complete</v>
          </cell>
        </row>
      </sheetData>
      <sheetData sheetId="3184">
        <row r="2">
          <cell r="A2" t="str">
            <v>Complete</v>
          </cell>
        </row>
      </sheetData>
      <sheetData sheetId="3185">
        <row r="2">
          <cell r="A2" t="str">
            <v>Complete</v>
          </cell>
        </row>
      </sheetData>
      <sheetData sheetId="3186">
        <row r="2">
          <cell r="A2" t="str">
            <v>Complete</v>
          </cell>
        </row>
      </sheetData>
      <sheetData sheetId="3187">
        <row r="2">
          <cell r="A2" t="str">
            <v>Complete</v>
          </cell>
        </row>
      </sheetData>
      <sheetData sheetId="3188">
        <row r="2">
          <cell r="A2" t="str">
            <v>Complete</v>
          </cell>
        </row>
      </sheetData>
      <sheetData sheetId="3189">
        <row r="2">
          <cell r="A2" t="str">
            <v>Complete</v>
          </cell>
        </row>
      </sheetData>
      <sheetData sheetId="3190">
        <row r="2">
          <cell r="A2" t="str">
            <v>Complete</v>
          </cell>
        </row>
      </sheetData>
      <sheetData sheetId="3191">
        <row r="2">
          <cell r="A2" t="str">
            <v>Complete</v>
          </cell>
        </row>
      </sheetData>
      <sheetData sheetId="3192">
        <row r="2">
          <cell r="A2" t="str">
            <v>Complete</v>
          </cell>
        </row>
      </sheetData>
      <sheetData sheetId="3193">
        <row r="2">
          <cell r="A2" t="str">
            <v>Complete</v>
          </cell>
        </row>
      </sheetData>
      <sheetData sheetId="3194">
        <row r="2">
          <cell r="A2" t="str">
            <v>Complete</v>
          </cell>
        </row>
      </sheetData>
      <sheetData sheetId="3195">
        <row r="2">
          <cell r="A2" t="str">
            <v>Complete</v>
          </cell>
        </row>
      </sheetData>
      <sheetData sheetId="3196">
        <row r="2">
          <cell r="A2" t="str">
            <v>Complete</v>
          </cell>
        </row>
      </sheetData>
      <sheetData sheetId="3197">
        <row r="2">
          <cell r="A2" t="str">
            <v>Complete</v>
          </cell>
        </row>
      </sheetData>
      <sheetData sheetId="3198">
        <row r="2">
          <cell r="A2" t="str">
            <v>Complete</v>
          </cell>
        </row>
      </sheetData>
      <sheetData sheetId="3199">
        <row r="2">
          <cell r="A2" t="str">
            <v>Complete</v>
          </cell>
        </row>
      </sheetData>
      <sheetData sheetId="3200">
        <row r="2">
          <cell r="A2" t="str">
            <v>Complete</v>
          </cell>
        </row>
      </sheetData>
      <sheetData sheetId="3201">
        <row r="2">
          <cell r="A2" t="str">
            <v>Complete</v>
          </cell>
        </row>
      </sheetData>
      <sheetData sheetId="3202">
        <row r="2">
          <cell r="A2" t="str">
            <v>Complete</v>
          </cell>
        </row>
      </sheetData>
      <sheetData sheetId="3203">
        <row r="2">
          <cell r="A2" t="str">
            <v>Complete</v>
          </cell>
        </row>
      </sheetData>
      <sheetData sheetId="3204">
        <row r="2">
          <cell r="A2" t="str">
            <v>Complete</v>
          </cell>
        </row>
      </sheetData>
      <sheetData sheetId="3205">
        <row r="2">
          <cell r="A2" t="str">
            <v>Complete</v>
          </cell>
        </row>
      </sheetData>
      <sheetData sheetId="3206">
        <row r="2">
          <cell r="A2" t="str">
            <v>Complete</v>
          </cell>
        </row>
      </sheetData>
      <sheetData sheetId="3207">
        <row r="2">
          <cell r="A2" t="str">
            <v>Complete</v>
          </cell>
        </row>
      </sheetData>
      <sheetData sheetId="3208">
        <row r="2">
          <cell r="A2" t="str">
            <v>Complete</v>
          </cell>
        </row>
      </sheetData>
      <sheetData sheetId="3209">
        <row r="2">
          <cell r="A2" t="str">
            <v>Complete</v>
          </cell>
        </row>
      </sheetData>
      <sheetData sheetId="3210">
        <row r="2">
          <cell r="A2" t="str">
            <v>Complete</v>
          </cell>
        </row>
      </sheetData>
      <sheetData sheetId="3211">
        <row r="2">
          <cell r="A2" t="str">
            <v>Complete</v>
          </cell>
        </row>
      </sheetData>
      <sheetData sheetId="3212">
        <row r="2">
          <cell r="A2" t="str">
            <v>Complete</v>
          </cell>
        </row>
      </sheetData>
      <sheetData sheetId="3213">
        <row r="2">
          <cell r="A2" t="str">
            <v>Complete</v>
          </cell>
        </row>
      </sheetData>
      <sheetData sheetId="3214">
        <row r="2">
          <cell r="A2" t="str">
            <v>Complete</v>
          </cell>
        </row>
      </sheetData>
      <sheetData sheetId="3215">
        <row r="2">
          <cell r="A2" t="str">
            <v>Complete</v>
          </cell>
        </row>
      </sheetData>
      <sheetData sheetId="3216">
        <row r="2">
          <cell r="A2" t="str">
            <v>Complete</v>
          </cell>
        </row>
      </sheetData>
      <sheetData sheetId="3217">
        <row r="2">
          <cell r="A2" t="str">
            <v>Complete</v>
          </cell>
        </row>
      </sheetData>
      <sheetData sheetId="3218">
        <row r="2">
          <cell r="A2" t="str">
            <v>Complete</v>
          </cell>
        </row>
      </sheetData>
      <sheetData sheetId="3219">
        <row r="2">
          <cell r="A2" t="str">
            <v>Complete</v>
          </cell>
        </row>
      </sheetData>
      <sheetData sheetId="3220">
        <row r="2">
          <cell r="A2" t="str">
            <v>Complete</v>
          </cell>
        </row>
      </sheetData>
      <sheetData sheetId="3221">
        <row r="2">
          <cell r="A2" t="str">
            <v>Complete</v>
          </cell>
        </row>
      </sheetData>
      <sheetData sheetId="3222">
        <row r="2">
          <cell r="A2" t="str">
            <v>Complete</v>
          </cell>
        </row>
      </sheetData>
      <sheetData sheetId="3223">
        <row r="2">
          <cell r="A2" t="str">
            <v>Complete</v>
          </cell>
        </row>
      </sheetData>
      <sheetData sheetId="3224">
        <row r="2">
          <cell r="A2" t="str">
            <v>Complete</v>
          </cell>
        </row>
      </sheetData>
      <sheetData sheetId="3225">
        <row r="2">
          <cell r="A2" t="str">
            <v>Complete</v>
          </cell>
        </row>
      </sheetData>
      <sheetData sheetId="3226">
        <row r="2">
          <cell r="A2" t="str">
            <v>Complete</v>
          </cell>
        </row>
      </sheetData>
      <sheetData sheetId="3227">
        <row r="2">
          <cell r="A2" t="str">
            <v>Complete</v>
          </cell>
        </row>
      </sheetData>
      <sheetData sheetId="3228">
        <row r="2">
          <cell r="A2" t="str">
            <v>Complete</v>
          </cell>
        </row>
      </sheetData>
      <sheetData sheetId="3229">
        <row r="2">
          <cell r="A2" t="str">
            <v>Complete</v>
          </cell>
        </row>
      </sheetData>
      <sheetData sheetId="3230">
        <row r="2">
          <cell r="A2" t="str">
            <v>Complete</v>
          </cell>
        </row>
      </sheetData>
      <sheetData sheetId="3231">
        <row r="2">
          <cell r="A2" t="str">
            <v>Complete</v>
          </cell>
        </row>
      </sheetData>
      <sheetData sheetId="3232">
        <row r="2">
          <cell r="A2" t="str">
            <v>Complete</v>
          </cell>
        </row>
      </sheetData>
      <sheetData sheetId="3233">
        <row r="2">
          <cell r="A2" t="str">
            <v>Complete</v>
          </cell>
        </row>
      </sheetData>
      <sheetData sheetId="3234">
        <row r="2">
          <cell r="A2" t="str">
            <v>Complete</v>
          </cell>
        </row>
      </sheetData>
      <sheetData sheetId="3235">
        <row r="2">
          <cell r="A2" t="str">
            <v>Complete</v>
          </cell>
        </row>
      </sheetData>
      <sheetData sheetId="3236">
        <row r="2">
          <cell r="A2" t="str">
            <v>Complete</v>
          </cell>
        </row>
      </sheetData>
      <sheetData sheetId="3237">
        <row r="2">
          <cell r="A2" t="str">
            <v>Complete</v>
          </cell>
        </row>
      </sheetData>
      <sheetData sheetId="3238">
        <row r="2">
          <cell r="A2" t="str">
            <v>Complete</v>
          </cell>
        </row>
      </sheetData>
      <sheetData sheetId="3239">
        <row r="2">
          <cell r="A2" t="str">
            <v>Complete</v>
          </cell>
        </row>
      </sheetData>
      <sheetData sheetId="3240">
        <row r="2">
          <cell r="A2" t="str">
            <v>Complete</v>
          </cell>
        </row>
      </sheetData>
      <sheetData sheetId="3241">
        <row r="2">
          <cell r="A2" t="str">
            <v>Complete</v>
          </cell>
        </row>
      </sheetData>
      <sheetData sheetId="3242">
        <row r="2">
          <cell r="A2" t="str">
            <v>Complete</v>
          </cell>
        </row>
      </sheetData>
      <sheetData sheetId="3243">
        <row r="2">
          <cell r="A2" t="str">
            <v>Complete</v>
          </cell>
        </row>
      </sheetData>
      <sheetData sheetId="3244">
        <row r="2">
          <cell r="A2" t="str">
            <v>Complete</v>
          </cell>
        </row>
      </sheetData>
      <sheetData sheetId="3245">
        <row r="2">
          <cell r="A2" t="str">
            <v>Complete</v>
          </cell>
        </row>
      </sheetData>
      <sheetData sheetId="3246">
        <row r="2">
          <cell r="A2" t="str">
            <v>Complete</v>
          </cell>
        </row>
      </sheetData>
      <sheetData sheetId="3247">
        <row r="2">
          <cell r="A2" t="str">
            <v>Complete</v>
          </cell>
        </row>
      </sheetData>
      <sheetData sheetId="3248">
        <row r="2">
          <cell r="A2" t="str">
            <v>Complete</v>
          </cell>
        </row>
      </sheetData>
      <sheetData sheetId="3249">
        <row r="2">
          <cell r="A2" t="str">
            <v>Complete</v>
          </cell>
        </row>
      </sheetData>
      <sheetData sheetId="3250">
        <row r="2">
          <cell r="A2" t="str">
            <v>Complete</v>
          </cell>
        </row>
      </sheetData>
      <sheetData sheetId="3251">
        <row r="2">
          <cell r="A2" t="str">
            <v>Complete</v>
          </cell>
        </row>
      </sheetData>
      <sheetData sheetId="3252">
        <row r="2">
          <cell r="A2" t="str">
            <v>Complete</v>
          </cell>
        </row>
      </sheetData>
      <sheetData sheetId="3253">
        <row r="2">
          <cell r="A2" t="str">
            <v>Complete</v>
          </cell>
        </row>
      </sheetData>
      <sheetData sheetId="3254">
        <row r="2">
          <cell r="A2" t="str">
            <v>Complete</v>
          </cell>
        </row>
      </sheetData>
      <sheetData sheetId="3255">
        <row r="2">
          <cell r="A2" t="str">
            <v>Complete</v>
          </cell>
        </row>
      </sheetData>
      <sheetData sheetId="3256">
        <row r="2">
          <cell r="A2" t="str">
            <v>Complete</v>
          </cell>
        </row>
      </sheetData>
      <sheetData sheetId="3257">
        <row r="2">
          <cell r="A2" t="str">
            <v>Complete</v>
          </cell>
        </row>
      </sheetData>
      <sheetData sheetId="3258">
        <row r="2">
          <cell r="A2" t="str">
            <v>Complete</v>
          </cell>
        </row>
      </sheetData>
      <sheetData sheetId="3259">
        <row r="2">
          <cell r="A2" t="str">
            <v>Complete</v>
          </cell>
        </row>
      </sheetData>
      <sheetData sheetId="3260">
        <row r="2">
          <cell r="A2" t="str">
            <v>Complete</v>
          </cell>
        </row>
      </sheetData>
      <sheetData sheetId="3261">
        <row r="2">
          <cell r="A2" t="str">
            <v>Complete</v>
          </cell>
        </row>
      </sheetData>
      <sheetData sheetId="3262">
        <row r="2">
          <cell r="A2" t="str">
            <v>Complete</v>
          </cell>
        </row>
      </sheetData>
      <sheetData sheetId="3263">
        <row r="2">
          <cell r="A2" t="str">
            <v>Complete</v>
          </cell>
        </row>
      </sheetData>
      <sheetData sheetId="3264">
        <row r="2">
          <cell r="A2" t="str">
            <v>Complete</v>
          </cell>
        </row>
      </sheetData>
      <sheetData sheetId="3265">
        <row r="2">
          <cell r="A2" t="str">
            <v>Complete</v>
          </cell>
        </row>
      </sheetData>
      <sheetData sheetId="3266">
        <row r="2">
          <cell r="A2" t="str">
            <v>Complete</v>
          </cell>
        </row>
      </sheetData>
      <sheetData sheetId="3267">
        <row r="2">
          <cell r="A2" t="str">
            <v>Complete</v>
          </cell>
        </row>
      </sheetData>
      <sheetData sheetId="3268">
        <row r="2">
          <cell r="A2" t="str">
            <v>Complete</v>
          </cell>
        </row>
      </sheetData>
      <sheetData sheetId="3269">
        <row r="2">
          <cell r="A2" t="str">
            <v>Complete</v>
          </cell>
        </row>
      </sheetData>
      <sheetData sheetId="3270">
        <row r="2">
          <cell r="A2" t="str">
            <v>Complete</v>
          </cell>
        </row>
      </sheetData>
      <sheetData sheetId="3271">
        <row r="2">
          <cell r="A2" t="str">
            <v>Complete</v>
          </cell>
        </row>
      </sheetData>
      <sheetData sheetId="3272">
        <row r="2">
          <cell r="A2" t="str">
            <v>Complete</v>
          </cell>
        </row>
      </sheetData>
      <sheetData sheetId="3273">
        <row r="2">
          <cell r="A2" t="str">
            <v>Complete</v>
          </cell>
        </row>
      </sheetData>
      <sheetData sheetId="3274">
        <row r="2">
          <cell r="A2" t="str">
            <v>Complete</v>
          </cell>
        </row>
      </sheetData>
      <sheetData sheetId="3275">
        <row r="2">
          <cell r="A2" t="str">
            <v>Complete</v>
          </cell>
        </row>
      </sheetData>
      <sheetData sheetId="3276">
        <row r="2">
          <cell r="A2" t="str">
            <v>Complete</v>
          </cell>
        </row>
      </sheetData>
      <sheetData sheetId="3277">
        <row r="2">
          <cell r="A2" t="str">
            <v>Complete</v>
          </cell>
        </row>
      </sheetData>
      <sheetData sheetId="3278">
        <row r="2">
          <cell r="A2" t="str">
            <v>Complete</v>
          </cell>
        </row>
      </sheetData>
      <sheetData sheetId="3279">
        <row r="2">
          <cell r="A2" t="str">
            <v>Complete</v>
          </cell>
        </row>
      </sheetData>
      <sheetData sheetId="3280">
        <row r="2">
          <cell r="A2" t="str">
            <v>Complete</v>
          </cell>
        </row>
      </sheetData>
      <sheetData sheetId="3281">
        <row r="2">
          <cell r="A2" t="str">
            <v>Complete</v>
          </cell>
        </row>
      </sheetData>
      <sheetData sheetId="3282">
        <row r="2">
          <cell r="A2" t="str">
            <v>Complete</v>
          </cell>
        </row>
      </sheetData>
      <sheetData sheetId="3283">
        <row r="2">
          <cell r="A2" t="str">
            <v>Complete</v>
          </cell>
        </row>
      </sheetData>
      <sheetData sheetId="3284">
        <row r="2">
          <cell r="A2" t="str">
            <v>Complete</v>
          </cell>
        </row>
      </sheetData>
      <sheetData sheetId="3285">
        <row r="2">
          <cell r="A2" t="str">
            <v>Complete</v>
          </cell>
        </row>
      </sheetData>
      <sheetData sheetId="3286">
        <row r="2">
          <cell r="A2" t="str">
            <v>Complete</v>
          </cell>
        </row>
      </sheetData>
      <sheetData sheetId="3287">
        <row r="2">
          <cell r="A2" t="str">
            <v>Complete</v>
          </cell>
        </row>
      </sheetData>
      <sheetData sheetId="3288">
        <row r="2">
          <cell r="A2" t="str">
            <v>Complete</v>
          </cell>
        </row>
      </sheetData>
      <sheetData sheetId="3289">
        <row r="2">
          <cell r="A2" t="str">
            <v>Complete</v>
          </cell>
        </row>
      </sheetData>
      <sheetData sheetId="3290">
        <row r="2">
          <cell r="A2" t="str">
            <v>Complete</v>
          </cell>
        </row>
      </sheetData>
      <sheetData sheetId="3291">
        <row r="2">
          <cell r="A2" t="str">
            <v>Complete</v>
          </cell>
        </row>
      </sheetData>
      <sheetData sheetId="3292">
        <row r="2">
          <cell r="A2" t="str">
            <v>Complete</v>
          </cell>
        </row>
      </sheetData>
      <sheetData sheetId="3293">
        <row r="2">
          <cell r="A2" t="str">
            <v>Complete</v>
          </cell>
        </row>
      </sheetData>
      <sheetData sheetId="3294">
        <row r="2">
          <cell r="A2" t="str">
            <v>Complete</v>
          </cell>
        </row>
      </sheetData>
      <sheetData sheetId="3295">
        <row r="2">
          <cell r="A2" t="str">
            <v>Complete</v>
          </cell>
        </row>
      </sheetData>
      <sheetData sheetId="3296">
        <row r="2">
          <cell r="A2" t="str">
            <v>Complete</v>
          </cell>
        </row>
      </sheetData>
      <sheetData sheetId="3297">
        <row r="2">
          <cell r="A2" t="str">
            <v>Complete</v>
          </cell>
        </row>
      </sheetData>
      <sheetData sheetId="3298">
        <row r="2">
          <cell r="A2" t="str">
            <v>Complete</v>
          </cell>
        </row>
      </sheetData>
      <sheetData sheetId="3299">
        <row r="2">
          <cell r="A2" t="str">
            <v>Complete</v>
          </cell>
        </row>
      </sheetData>
      <sheetData sheetId="3300">
        <row r="2">
          <cell r="A2" t="str">
            <v>Complete</v>
          </cell>
        </row>
      </sheetData>
      <sheetData sheetId="3301">
        <row r="2">
          <cell r="A2" t="str">
            <v>Complete</v>
          </cell>
        </row>
      </sheetData>
      <sheetData sheetId="3302">
        <row r="2">
          <cell r="A2" t="str">
            <v>Complete</v>
          </cell>
        </row>
      </sheetData>
      <sheetData sheetId="3303">
        <row r="2">
          <cell r="A2" t="str">
            <v>Complete</v>
          </cell>
        </row>
      </sheetData>
      <sheetData sheetId="3304">
        <row r="2">
          <cell r="A2" t="str">
            <v>Complete</v>
          </cell>
        </row>
      </sheetData>
      <sheetData sheetId="3305">
        <row r="2">
          <cell r="A2" t="str">
            <v>Complete</v>
          </cell>
        </row>
      </sheetData>
      <sheetData sheetId="3306">
        <row r="2">
          <cell r="A2" t="str">
            <v>Complete</v>
          </cell>
        </row>
      </sheetData>
      <sheetData sheetId="3307">
        <row r="2">
          <cell r="A2" t="str">
            <v>Complete</v>
          </cell>
        </row>
      </sheetData>
      <sheetData sheetId="3308">
        <row r="2">
          <cell r="A2" t="str">
            <v>Complete</v>
          </cell>
        </row>
      </sheetData>
      <sheetData sheetId="3309">
        <row r="2">
          <cell r="A2" t="str">
            <v>Complete</v>
          </cell>
        </row>
      </sheetData>
      <sheetData sheetId="3310">
        <row r="2">
          <cell r="A2" t="str">
            <v>Complete</v>
          </cell>
        </row>
      </sheetData>
      <sheetData sheetId="3311">
        <row r="2">
          <cell r="A2" t="str">
            <v>Complete</v>
          </cell>
        </row>
      </sheetData>
      <sheetData sheetId="3312">
        <row r="2">
          <cell r="A2" t="str">
            <v>Complete</v>
          </cell>
        </row>
      </sheetData>
      <sheetData sheetId="3313">
        <row r="2">
          <cell r="A2" t="str">
            <v>Complete</v>
          </cell>
        </row>
      </sheetData>
      <sheetData sheetId="3314">
        <row r="2">
          <cell r="A2" t="str">
            <v>Complete</v>
          </cell>
        </row>
      </sheetData>
      <sheetData sheetId="3315">
        <row r="2">
          <cell r="A2" t="str">
            <v>Complete</v>
          </cell>
        </row>
      </sheetData>
      <sheetData sheetId="3316">
        <row r="2">
          <cell r="A2" t="str">
            <v>Complete</v>
          </cell>
        </row>
      </sheetData>
      <sheetData sheetId="3317">
        <row r="2">
          <cell r="A2" t="str">
            <v>Complete</v>
          </cell>
        </row>
      </sheetData>
      <sheetData sheetId="3318">
        <row r="2">
          <cell r="A2" t="str">
            <v>Complete</v>
          </cell>
        </row>
      </sheetData>
      <sheetData sheetId="3319">
        <row r="2">
          <cell r="A2" t="str">
            <v>Complete</v>
          </cell>
        </row>
      </sheetData>
      <sheetData sheetId="3320">
        <row r="2">
          <cell r="A2" t="str">
            <v>Complete</v>
          </cell>
        </row>
      </sheetData>
      <sheetData sheetId="3321">
        <row r="2">
          <cell r="A2" t="str">
            <v>Complete</v>
          </cell>
        </row>
      </sheetData>
      <sheetData sheetId="3322">
        <row r="2">
          <cell r="A2" t="str">
            <v>Complete</v>
          </cell>
        </row>
      </sheetData>
      <sheetData sheetId="3323">
        <row r="2">
          <cell r="A2" t="str">
            <v>Complete</v>
          </cell>
        </row>
      </sheetData>
      <sheetData sheetId="3324">
        <row r="2">
          <cell r="A2" t="str">
            <v>Complete</v>
          </cell>
        </row>
      </sheetData>
      <sheetData sheetId="3325">
        <row r="2">
          <cell r="A2" t="str">
            <v>Complete</v>
          </cell>
        </row>
      </sheetData>
      <sheetData sheetId="3326">
        <row r="2">
          <cell r="A2" t="str">
            <v>Complete</v>
          </cell>
        </row>
      </sheetData>
      <sheetData sheetId="3327">
        <row r="2">
          <cell r="A2" t="str">
            <v>Complete</v>
          </cell>
        </row>
      </sheetData>
      <sheetData sheetId="3328">
        <row r="2">
          <cell r="A2" t="str">
            <v>Complete</v>
          </cell>
        </row>
      </sheetData>
      <sheetData sheetId="3329">
        <row r="2">
          <cell r="A2" t="str">
            <v>Complete</v>
          </cell>
        </row>
      </sheetData>
      <sheetData sheetId="3330">
        <row r="2">
          <cell r="A2" t="str">
            <v>Complete</v>
          </cell>
        </row>
      </sheetData>
      <sheetData sheetId="3331">
        <row r="2">
          <cell r="A2" t="str">
            <v>Complete</v>
          </cell>
        </row>
      </sheetData>
      <sheetData sheetId="3332">
        <row r="2">
          <cell r="A2" t="str">
            <v>Complete</v>
          </cell>
        </row>
      </sheetData>
      <sheetData sheetId="3333">
        <row r="2">
          <cell r="A2" t="str">
            <v>Complete</v>
          </cell>
        </row>
      </sheetData>
      <sheetData sheetId="3334">
        <row r="2">
          <cell r="A2" t="str">
            <v>Complete</v>
          </cell>
        </row>
      </sheetData>
      <sheetData sheetId="3335">
        <row r="2">
          <cell r="A2" t="str">
            <v>Complete</v>
          </cell>
        </row>
      </sheetData>
      <sheetData sheetId="3336">
        <row r="2">
          <cell r="A2" t="str">
            <v>Complete</v>
          </cell>
        </row>
      </sheetData>
      <sheetData sheetId="3337">
        <row r="2">
          <cell r="A2" t="str">
            <v>Complete</v>
          </cell>
        </row>
      </sheetData>
      <sheetData sheetId="3338">
        <row r="2">
          <cell r="A2" t="str">
            <v>Complete</v>
          </cell>
        </row>
      </sheetData>
      <sheetData sheetId="3339">
        <row r="2">
          <cell r="A2" t="str">
            <v>Complete</v>
          </cell>
        </row>
      </sheetData>
      <sheetData sheetId="3340">
        <row r="2">
          <cell r="A2" t="str">
            <v>Complete</v>
          </cell>
        </row>
      </sheetData>
      <sheetData sheetId="3341">
        <row r="2">
          <cell r="A2" t="str">
            <v>Complete</v>
          </cell>
        </row>
      </sheetData>
      <sheetData sheetId="3342">
        <row r="2">
          <cell r="A2" t="str">
            <v>Complete</v>
          </cell>
        </row>
      </sheetData>
      <sheetData sheetId="3343">
        <row r="2">
          <cell r="A2" t="str">
            <v>Complete</v>
          </cell>
        </row>
      </sheetData>
      <sheetData sheetId="3344">
        <row r="2">
          <cell r="A2" t="str">
            <v>Complete</v>
          </cell>
        </row>
      </sheetData>
      <sheetData sheetId="3345">
        <row r="2">
          <cell r="A2" t="str">
            <v>Complete</v>
          </cell>
        </row>
      </sheetData>
      <sheetData sheetId="3346">
        <row r="2">
          <cell r="A2" t="str">
            <v>Complete</v>
          </cell>
        </row>
      </sheetData>
      <sheetData sheetId="3347">
        <row r="2">
          <cell r="A2" t="str">
            <v>Complete</v>
          </cell>
        </row>
      </sheetData>
      <sheetData sheetId="3348">
        <row r="2">
          <cell r="A2" t="str">
            <v>Complete</v>
          </cell>
        </row>
      </sheetData>
      <sheetData sheetId="3349">
        <row r="2">
          <cell r="A2" t="str">
            <v>Complete</v>
          </cell>
        </row>
      </sheetData>
      <sheetData sheetId="3350">
        <row r="2">
          <cell r="A2" t="str">
            <v>Complete</v>
          </cell>
        </row>
      </sheetData>
      <sheetData sheetId="3351">
        <row r="2">
          <cell r="A2" t="str">
            <v>Complete</v>
          </cell>
        </row>
      </sheetData>
      <sheetData sheetId="3352">
        <row r="2">
          <cell r="A2" t="str">
            <v>Complete</v>
          </cell>
        </row>
      </sheetData>
      <sheetData sheetId="3353">
        <row r="2">
          <cell r="A2" t="str">
            <v>Complete</v>
          </cell>
        </row>
      </sheetData>
      <sheetData sheetId="3354">
        <row r="2">
          <cell r="A2" t="str">
            <v>Complete</v>
          </cell>
        </row>
      </sheetData>
      <sheetData sheetId="3355">
        <row r="2">
          <cell r="A2" t="str">
            <v>Complete</v>
          </cell>
        </row>
      </sheetData>
      <sheetData sheetId="3356">
        <row r="2">
          <cell r="A2" t="str">
            <v>Complete</v>
          </cell>
        </row>
      </sheetData>
      <sheetData sheetId="3357">
        <row r="2">
          <cell r="A2" t="str">
            <v>Complete</v>
          </cell>
        </row>
      </sheetData>
      <sheetData sheetId="3358">
        <row r="2">
          <cell r="A2" t="str">
            <v>Complete</v>
          </cell>
        </row>
      </sheetData>
      <sheetData sheetId="3359">
        <row r="2">
          <cell r="A2" t="str">
            <v>Complete</v>
          </cell>
        </row>
      </sheetData>
      <sheetData sheetId="3360">
        <row r="2">
          <cell r="A2" t="str">
            <v>Complete</v>
          </cell>
        </row>
      </sheetData>
      <sheetData sheetId="3361">
        <row r="2">
          <cell r="A2" t="str">
            <v>Complete</v>
          </cell>
        </row>
      </sheetData>
      <sheetData sheetId="3362">
        <row r="2">
          <cell r="A2" t="str">
            <v>Complete</v>
          </cell>
        </row>
      </sheetData>
      <sheetData sheetId="3363">
        <row r="2">
          <cell r="A2" t="str">
            <v>Complete</v>
          </cell>
        </row>
      </sheetData>
      <sheetData sheetId="3364">
        <row r="2">
          <cell r="A2" t="str">
            <v>Complete</v>
          </cell>
        </row>
      </sheetData>
      <sheetData sheetId="3365">
        <row r="2">
          <cell r="A2" t="str">
            <v>Complete</v>
          </cell>
        </row>
      </sheetData>
      <sheetData sheetId="3366">
        <row r="2">
          <cell r="A2" t="str">
            <v>Complete</v>
          </cell>
        </row>
      </sheetData>
      <sheetData sheetId="3367">
        <row r="2">
          <cell r="A2" t="str">
            <v>Complete</v>
          </cell>
        </row>
      </sheetData>
      <sheetData sheetId="3368">
        <row r="2">
          <cell r="A2" t="str">
            <v>Complete</v>
          </cell>
        </row>
      </sheetData>
      <sheetData sheetId="3369">
        <row r="2">
          <cell r="A2" t="str">
            <v>Complete</v>
          </cell>
        </row>
      </sheetData>
      <sheetData sheetId="3370">
        <row r="2">
          <cell r="A2" t="str">
            <v>Complete</v>
          </cell>
        </row>
      </sheetData>
      <sheetData sheetId="3371">
        <row r="2">
          <cell r="A2" t="str">
            <v>Complete</v>
          </cell>
        </row>
      </sheetData>
      <sheetData sheetId="3372">
        <row r="2">
          <cell r="A2" t="str">
            <v>Complete</v>
          </cell>
        </row>
      </sheetData>
      <sheetData sheetId="3373">
        <row r="2">
          <cell r="A2" t="str">
            <v>Complete</v>
          </cell>
        </row>
      </sheetData>
      <sheetData sheetId="3374">
        <row r="2">
          <cell r="A2" t="str">
            <v>Complete</v>
          </cell>
        </row>
      </sheetData>
      <sheetData sheetId="3375">
        <row r="2">
          <cell r="A2" t="str">
            <v>Complete</v>
          </cell>
        </row>
      </sheetData>
      <sheetData sheetId="3376">
        <row r="2">
          <cell r="A2" t="str">
            <v>Complete</v>
          </cell>
        </row>
      </sheetData>
      <sheetData sheetId="3377">
        <row r="2">
          <cell r="A2" t="str">
            <v>Complete</v>
          </cell>
        </row>
      </sheetData>
      <sheetData sheetId="3378">
        <row r="2">
          <cell r="A2" t="str">
            <v>Complete</v>
          </cell>
        </row>
      </sheetData>
      <sheetData sheetId="3379">
        <row r="2">
          <cell r="A2" t="str">
            <v>Complete</v>
          </cell>
        </row>
      </sheetData>
      <sheetData sheetId="3380">
        <row r="2">
          <cell r="A2" t="str">
            <v>Complete</v>
          </cell>
        </row>
      </sheetData>
      <sheetData sheetId="3381">
        <row r="2">
          <cell r="A2" t="str">
            <v>Complete</v>
          </cell>
        </row>
      </sheetData>
      <sheetData sheetId="3382">
        <row r="2">
          <cell r="A2" t="str">
            <v>Complete</v>
          </cell>
        </row>
      </sheetData>
      <sheetData sheetId="3383">
        <row r="2">
          <cell r="A2" t="str">
            <v>Complete</v>
          </cell>
        </row>
      </sheetData>
      <sheetData sheetId="3384">
        <row r="2">
          <cell r="A2" t="str">
            <v>Complete</v>
          </cell>
        </row>
      </sheetData>
      <sheetData sheetId="3385">
        <row r="2">
          <cell r="A2" t="str">
            <v>Complete</v>
          </cell>
        </row>
      </sheetData>
      <sheetData sheetId="3386">
        <row r="2">
          <cell r="A2" t="str">
            <v>Complete</v>
          </cell>
        </row>
      </sheetData>
      <sheetData sheetId="3387">
        <row r="2">
          <cell r="A2" t="str">
            <v>Complete</v>
          </cell>
        </row>
      </sheetData>
      <sheetData sheetId="3388">
        <row r="2">
          <cell r="A2" t="str">
            <v>Complete</v>
          </cell>
        </row>
      </sheetData>
      <sheetData sheetId="3389">
        <row r="2">
          <cell r="A2" t="str">
            <v>Complete</v>
          </cell>
        </row>
      </sheetData>
      <sheetData sheetId="3390">
        <row r="2">
          <cell r="A2" t="str">
            <v>Complete</v>
          </cell>
        </row>
      </sheetData>
      <sheetData sheetId="3391">
        <row r="2">
          <cell r="A2" t="str">
            <v>Complete</v>
          </cell>
        </row>
      </sheetData>
      <sheetData sheetId="3392">
        <row r="2">
          <cell r="A2" t="str">
            <v>Complete</v>
          </cell>
        </row>
      </sheetData>
      <sheetData sheetId="3393">
        <row r="2">
          <cell r="A2" t="str">
            <v>Complete</v>
          </cell>
        </row>
      </sheetData>
      <sheetData sheetId="3394">
        <row r="2">
          <cell r="A2" t="str">
            <v>Complete</v>
          </cell>
        </row>
      </sheetData>
      <sheetData sheetId="3395">
        <row r="2">
          <cell r="A2" t="str">
            <v>Complete</v>
          </cell>
        </row>
      </sheetData>
      <sheetData sheetId="3396">
        <row r="2">
          <cell r="A2" t="str">
            <v>Complete</v>
          </cell>
        </row>
      </sheetData>
      <sheetData sheetId="3397">
        <row r="2">
          <cell r="A2" t="str">
            <v>Complete</v>
          </cell>
        </row>
      </sheetData>
      <sheetData sheetId="3398">
        <row r="2">
          <cell r="A2" t="str">
            <v>Complete</v>
          </cell>
        </row>
      </sheetData>
      <sheetData sheetId="3399">
        <row r="2">
          <cell r="A2" t="str">
            <v>Complete</v>
          </cell>
        </row>
      </sheetData>
      <sheetData sheetId="3400">
        <row r="2">
          <cell r="A2" t="str">
            <v>Complete</v>
          </cell>
        </row>
      </sheetData>
      <sheetData sheetId="3401">
        <row r="2">
          <cell r="A2" t="str">
            <v>Complete</v>
          </cell>
        </row>
      </sheetData>
      <sheetData sheetId="3402">
        <row r="2">
          <cell r="A2" t="str">
            <v>Complete</v>
          </cell>
        </row>
      </sheetData>
      <sheetData sheetId="3403">
        <row r="2">
          <cell r="A2" t="str">
            <v>Complete</v>
          </cell>
        </row>
      </sheetData>
      <sheetData sheetId="3404">
        <row r="2">
          <cell r="A2" t="str">
            <v>Complete</v>
          </cell>
        </row>
      </sheetData>
      <sheetData sheetId="3405">
        <row r="2">
          <cell r="A2" t="str">
            <v>Complete</v>
          </cell>
        </row>
      </sheetData>
      <sheetData sheetId="3406">
        <row r="2">
          <cell r="A2" t="str">
            <v>Complete</v>
          </cell>
        </row>
      </sheetData>
      <sheetData sheetId="3407">
        <row r="2">
          <cell r="A2" t="str">
            <v>Complete</v>
          </cell>
        </row>
      </sheetData>
      <sheetData sheetId="3408">
        <row r="2">
          <cell r="A2" t="str">
            <v>Complete</v>
          </cell>
        </row>
      </sheetData>
      <sheetData sheetId="3409">
        <row r="2">
          <cell r="A2" t="str">
            <v>Complete</v>
          </cell>
        </row>
      </sheetData>
      <sheetData sheetId="3410">
        <row r="2">
          <cell r="A2" t="str">
            <v>Complete</v>
          </cell>
        </row>
      </sheetData>
      <sheetData sheetId="3411">
        <row r="2">
          <cell r="A2" t="str">
            <v>Complete</v>
          </cell>
        </row>
      </sheetData>
      <sheetData sheetId="3412">
        <row r="2">
          <cell r="A2" t="str">
            <v>Complete</v>
          </cell>
        </row>
      </sheetData>
      <sheetData sheetId="3413">
        <row r="2">
          <cell r="A2" t="str">
            <v>Complete</v>
          </cell>
        </row>
      </sheetData>
      <sheetData sheetId="3414">
        <row r="2">
          <cell r="A2" t="str">
            <v>Complete</v>
          </cell>
        </row>
      </sheetData>
      <sheetData sheetId="3415">
        <row r="2">
          <cell r="A2" t="str">
            <v>Complete</v>
          </cell>
        </row>
      </sheetData>
      <sheetData sheetId="3416">
        <row r="2">
          <cell r="A2" t="str">
            <v>Complete</v>
          </cell>
        </row>
      </sheetData>
      <sheetData sheetId="3417">
        <row r="2">
          <cell r="A2" t="str">
            <v>Complete</v>
          </cell>
        </row>
      </sheetData>
      <sheetData sheetId="3418">
        <row r="2">
          <cell r="A2" t="str">
            <v>Complete</v>
          </cell>
        </row>
      </sheetData>
      <sheetData sheetId="3419">
        <row r="2">
          <cell r="A2" t="str">
            <v>Complete</v>
          </cell>
        </row>
      </sheetData>
      <sheetData sheetId="3420">
        <row r="2">
          <cell r="A2" t="str">
            <v>Complete</v>
          </cell>
        </row>
      </sheetData>
      <sheetData sheetId="3421">
        <row r="2">
          <cell r="A2" t="str">
            <v>Complete</v>
          </cell>
        </row>
      </sheetData>
      <sheetData sheetId="3422">
        <row r="2">
          <cell r="A2" t="str">
            <v>Complete</v>
          </cell>
        </row>
      </sheetData>
      <sheetData sheetId="3423">
        <row r="2">
          <cell r="A2" t="str">
            <v>Complete</v>
          </cell>
        </row>
      </sheetData>
      <sheetData sheetId="3424">
        <row r="2">
          <cell r="A2" t="str">
            <v>Complete</v>
          </cell>
        </row>
      </sheetData>
      <sheetData sheetId="3425">
        <row r="2">
          <cell r="A2" t="str">
            <v>Complete</v>
          </cell>
        </row>
      </sheetData>
      <sheetData sheetId="3426">
        <row r="2">
          <cell r="A2" t="str">
            <v>Complete</v>
          </cell>
        </row>
      </sheetData>
      <sheetData sheetId="3427">
        <row r="2">
          <cell r="A2" t="str">
            <v>Complete</v>
          </cell>
        </row>
      </sheetData>
      <sheetData sheetId="3428">
        <row r="2">
          <cell r="A2" t="str">
            <v>Complete</v>
          </cell>
        </row>
      </sheetData>
      <sheetData sheetId="3429">
        <row r="2">
          <cell r="A2" t="str">
            <v>Complete</v>
          </cell>
        </row>
      </sheetData>
      <sheetData sheetId="3430">
        <row r="2">
          <cell r="A2" t="str">
            <v>Complete</v>
          </cell>
        </row>
      </sheetData>
      <sheetData sheetId="3431">
        <row r="2">
          <cell r="A2" t="str">
            <v>Complete</v>
          </cell>
        </row>
      </sheetData>
      <sheetData sheetId="3432">
        <row r="2">
          <cell r="A2" t="str">
            <v>Complete</v>
          </cell>
        </row>
      </sheetData>
      <sheetData sheetId="3433">
        <row r="2">
          <cell r="A2" t="str">
            <v>Complete</v>
          </cell>
        </row>
      </sheetData>
      <sheetData sheetId="3434">
        <row r="2">
          <cell r="A2" t="str">
            <v>Complete</v>
          </cell>
        </row>
      </sheetData>
      <sheetData sheetId="3435">
        <row r="2">
          <cell r="A2" t="str">
            <v>Complete</v>
          </cell>
        </row>
      </sheetData>
      <sheetData sheetId="3436">
        <row r="2">
          <cell r="A2" t="str">
            <v>Complete</v>
          </cell>
        </row>
      </sheetData>
      <sheetData sheetId="3437">
        <row r="2">
          <cell r="A2" t="str">
            <v>Complete</v>
          </cell>
        </row>
      </sheetData>
      <sheetData sheetId="3438">
        <row r="2">
          <cell r="A2" t="str">
            <v>Complete</v>
          </cell>
        </row>
      </sheetData>
      <sheetData sheetId="3439">
        <row r="2">
          <cell r="A2" t="str">
            <v>Complete</v>
          </cell>
        </row>
      </sheetData>
      <sheetData sheetId="3440">
        <row r="2">
          <cell r="A2" t="str">
            <v>Complete</v>
          </cell>
        </row>
      </sheetData>
      <sheetData sheetId="3441">
        <row r="2">
          <cell r="A2" t="str">
            <v>Complete</v>
          </cell>
        </row>
      </sheetData>
      <sheetData sheetId="3442">
        <row r="2">
          <cell r="A2" t="str">
            <v>Complete</v>
          </cell>
        </row>
      </sheetData>
      <sheetData sheetId="3443">
        <row r="2">
          <cell r="A2" t="str">
            <v>Complete</v>
          </cell>
        </row>
      </sheetData>
      <sheetData sheetId="3444">
        <row r="2">
          <cell r="A2" t="str">
            <v>Complete</v>
          </cell>
        </row>
      </sheetData>
      <sheetData sheetId="3445">
        <row r="2">
          <cell r="A2" t="str">
            <v>Complete</v>
          </cell>
        </row>
      </sheetData>
      <sheetData sheetId="3446">
        <row r="2">
          <cell r="A2" t="str">
            <v>Complete</v>
          </cell>
        </row>
      </sheetData>
      <sheetData sheetId="3447">
        <row r="2">
          <cell r="A2" t="str">
            <v>Complete</v>
          </cell>
        </row>
      </sheetData>
      <sheetData sheetId="3448">
        <row r="2">
          <cell r="A2" t="str">
            <v>Complete</v>
          </cell>
        </row>
      </sheetData>
      <sheetData sheetId="3449">
        <row r="2">
          <cell r="A2" t="str">
            <v>Complete</v>
          </cell>
        </row>
      </sheetData>
      <sheetData sheetId="3450">
        <row r="2">
          <cell r="A2" t="str">
            <v>Complete</v>
          </cell>
        </row>
      </sheetData>
      <sheetData sheetId="3451">
        <row r="2">
          <cell r="A2" t="str">
            <v>Complete</v>
          </cell>
        </row>
      </sheetData>
      <sheetData sheetId="3452">
        <row r="2">
          <cell r="A2" t="str">
            <v>Complete</v>
          </cell>
        </row>
      </sheetData>
      <sheetData sheetId="3453">
        <row r="2">
          <cell r="A2" t="str">
            <v>Complete</v>
          </cell>
        </row>
      </sheetData>
      <sheetData sheetId="3454">
        <row r="2">
          <cell r="A2" t="str">
            <v>Complete</v>
          </cell>
        </row>
      </sheetData>
      <sheetData sheetId="3455">
        <row r="2">
          <cell r="A2" t="str">
            <v>Complete</v>
          </cell>
        </row>
      </sheetData>
      <sheetData sheetId="3456">
        <row r="2">
          <cell r="A2" t="str">
            <v>Complete</v>
          </cell>
        </row>
      </sheetData>
      <sheetData sheetId="3457">
        <row r="2">
          <cell r="A2" t="str">
            <v>Complete</v>
          </cell>
        </row>
      </sheetData>
      <sheetData sheetId="3458">
        <row r="2">
          <cell r="A2" t="str">
            <v>Complete</v>
          </cell>
        </row>
      </sheetData>
      <sheetData sheetId="3459">
        <row r="2">
          <cell r="A2" t="str">
            <v>Complete</v>
          </cell>
        </row>
      </sheetData>
      <sheetData sheetId="3460">
        <row r="2">
          <cell r="A2" t="str">
            <v>Complete</v>
          </cell>
        </row>
      </sheetData>
      <sheetData sheetId="3461">
        <row r="2">
          <cell r="A2" t="str">
            <v>Complete</v>
          </cell>
        </row>
      </sheetData>
      <sheetData sheetId="3462">
        <row r="2">
          <cell r="A2" t="str">
            <v>Complete</v>
          </cell>
        </row>
      </sheetData>
      <sheetData sheetId="3463">
        <row r="2">
          <cell r="A2" t="str">
            <v>Complete</v>
          </cell>
        </row>
      </sheetData>
      <sheetData sheetId="3464">
        <row r="2">
          <cell r="A2" t="str">
            <v>Complete</v>
          </cell>
        </row>
      </sheetData>
      <sheetData sheetId="3465">
        <row r="2">
          <cell r="A2" t="str">
            <v>Complete</v>
          </cell>
        </row>
      </sheetData>
      <sheetData sheetId="3466">
        <row r="2">
          <cell r="A2" t="str">
            <v>Complete</v>
          </cell>
        </row>
      </sheetData>
      <sheetData sheetId="3467">
        <row r="2">
          <cell r="A2" t="str">
            <v>Complete</v>
          </cell>
        </row>
      </sheetData>
      <sheetData sheetId="3468">
        <row r="2">
          <cell r="A2" t="str">
            <v>Complete</v>
          </cell>
        </row>
      </sheetData>
      <sheetData sheetId="3469">
        <row r="2">
          <cell r="A2" t="str">
            <v>Complete</v>
          </cell>
        </row>
      </sheetData>
      <sheetData sheetId="3470">
        <row r="2">
          <cell r="A2" t="str">
            <v>Complete</v>
          </cell>
        </row>
      </sheetData>
      <sheetData sheetId="3471">
        <row r="2">
          <cell r="A2" t="str">
            <v>Complete</v>
          </cell>
        </row>
      </sheetData>
      <sheetData sheetId="3472">
        <row r="2">
          <cell r="A2" t="str">
            <v>Complete</v>
          </cell>
        </row>
      </sheetData>
      <sheetData sheetId="3473">
        <row r="2">
          <cell r="A2" t="str">
            <v>Complete</v>
          </cell>
        </row>
      </sheetData>
      <sheetData sheetId="3474">
        <row r="2">
          <cell r="A2" t="str">
            <v>Complete</v>
          </cell>
        </row>
      </sheetData>
      <sheetData sheetId="3475">
        <row r="2">
          <cell r="A2" t="str">
            <v>Complete</v>
          </cell>
        </row>
      </sheetData>
      <sheetData sheetId="3476">
        <row r="2">
          <cell r="A2" t="str">
            <v>Complete</v>
          </cell>
        </row>
      </sheetData>
      <sheetData sheetId="3477">
        <row r="2">
          <cell r="A2" t="str">
            <v>Complete</v>
          </cell>
        </row>
      </sheetData>
      <sheetData sheetId="3478">
        <row r="2">
          <cell r="A2" t="str">
            <v>Complete</v>
          </cell>
        </row>
      </sheetData>
      <sheetData sheetId="3479">
        <row r="2">
          <cell r="A2" t="str">
            <v>Complete</v>
          </cell>
        </row>
      </sheetData>
      <sheetData sheetId="3480">
        <row r="2">
          <cell r="A2" t="str">
            <v>Complete</v>
          </cell>
        </row>
      </sheetData>
      <sheetData sheetId="3481">
        <row r="2">
          <cell r="A2" t="str">
            <v>Complete</v>
          </cell>
        </row>
      </sheetData>
      <sheetData sheetId="3482">
        <row r="2">
          <cell r="A2" t="str">
            <v>Complete</v>
          </cell>
        </row>
      </sheetData>
      <sheetData sheetId="3483">
        <row r="2">
          <cell r="A2" t="str">
            <v>Complete</v>
          </cell>
        </row>
      </sheetData>
      <sheetData sheetId="3484">
        <row r="2">
          <cell r="A2" t="str">
            <v>Complete</v>
          </cell>
        </row>
      </sheetData>
      <sheetData sheetId="3485">
        <row r="2">
          <cell r="A2" t="str">
            <v>Complete</v>
          </cell>
        </row>
      </sheetData>
      <sheetData sheetId="3486">
        <row r="2">
          <cell r="A2" t="str">
            <v>Complete</v>
          </cell>
        </row>
      </sheetData>
      <sheetData sheetId="3487">
        <row r="2">
          <cell r="A2" t="str">
            <v>Complete</v>
          </cell>
        </row>
      </sheetData>
      <sheetData sheetId="3488">
        <row r="2">
          <cell r="A2" t="str">
            <v>Complete</v>
          </cell>
        </row>
      </sheetData>
      <sheetData sheetId="3489">
        <row r="2">
          <cell r="A2" t="str">
            <v>Complete</v>
          </cell>
        </row>
      </sheetData>
      <sheetData sheetId="3490">
        <row r="2">
          <cell r="A2" t="str">
            <v>Complete</v>
          </cell>
        </row>
      </sheetData>
      <sheetData sheetId="3491">
        <row r="2">
          <cell r="A2" t="str">
            <v>Complete</v>
          </cell>
        </row>
      </sheetData>
      <sheetData sheetId="3492">
        <row r="2">
          <cell r="A2" t="str">
            <v>Complete</v>
          </cell>
        </row>
      </sheetData>
      <sheetData sheetId="3493">
        <row r="2">
          <cell r="A2" t="str">
            <v>Complete</v>
          </cell>
        </row>
      </sheetData>
      <sheetData sheetId="3494">
        <row r="2">
          <cell r="A2" t="str">
            <v>Complete</v>
          </cell>
        </row>
      </sheetData>
      <sheetData sheetId="3495">
        <row r="2">
          <cell r="A2" t="str">
            <v>Complete</v>
          </cell>
        </row>
      </sheetData>
      <sheetData sheetId="3496">
        <row r="2">
          <cell r="A2" t="str">
            <v>Complete</v>
          </cell>
        </row>
      </sheetData>
      <sheetData sheetId="3497">
        <row r="2">
          <cell r="A2" t="str">
            <v>Complete</v>
          </cell>
        </row>
      </sheetData>
      <sheetData sheetId="3498">
        <row r="2">
          <cell r="A2" t="str">
            <v>Complete</v>
          </cell>
        </row>
      </sheetData>
      <sheetData sheetId="3499">
        <row r="2">
          <cell r="A2" t="str">
            <v>Complete</v>
          </cell>
        </row>
      </sheetData>
      <sheetData sheetId="3500">
        <row r="2">
          <cell r="A2" t="str">
            <v>Complete</v>
          </cell>
        </row>
      </sheetData>
      <sheetData sheetId="3501">
        <row r="2">
          <cell r="A2" t="str">
            <v>Complete</v>
          </cell>
        </row>
      </sheetData>
      <sheetData sheetId="3502">
        <row r="2">
          <cell r="A2" t="str">
            <v>Complete</v>
          </cell>
        </row>
      </sheetData>
      <sheetData sheetId="3503">
        <row r="2">
          <cell r="A2" t="str">
            <v>Complete</v>
          </cell>
        </row>
      </sheetData>
      <sheetData sheetId="3504">
        <row r="2">
          <cell r="A2" t="str">
            <v>Complete</v>
          </cell>
        </row>
      </sheetData>
      <sheetData sheetId="3505">
        <row r="2">
          <cell r="A2" t="str">
            <v>Complete</v>
          </cell>
        </row>
      </sheetData>
      <sheetData sheetId="3506">
        <row r="2">
          <cell r="A2" t="str">
            <v>Complete</v>
          </cell>
        </row>
      </sheetData>
      <sheetData sheetId="3507">
        <row r="2">
          <cell r="A2" t="str">
            <v>Complete</v>
          </cell>
        </row>
      </sheetData>
      <sheetData sheetId="3508">
        <row r="2">
          <cell r="A2" t="str">
            <v>Complete</v>
          </cell>
        </row>
      </sheetData>
      <sheetData sheetId="3509">
        <row r="2">
          <cell r="A2" t="str">
            <v>Complete</v>
          </cell>
        </row>
      </sheetData>
      <sheetData sheetId="3510">
        <row r="2">
          <cell r="A2" t="str">
            <v>Complete</v>
          </cell>
        </row>
      </sheetData>
      <sheetData sheetId="3511">
        <row r="2">
          <cell r="A2" t="str">
            <v>Complete</v>
          </cell>
        </row>
      </sheetData>
      <sheetData sheetId="3512">
        <row r="2">
          <cell r="A2" t="str">
            <v>Complete</v>
          </cell>
        </row>
      </sheetData>
      <sheetData sheetId="3513">
        <row r="2">
          <cell r="A2" t="str">
            <v>Complete</v>
          </cell>
        </row>
      </sheetData>
      <sheetData sheetId="3514">
        <row r="2">
          <cell r="A2" t="str">
            <v>Complete</v>
          </cell>
        </row>
      </sheetData>
      <sheetData sheetId="3515">
        <row r="2">
          <cell r="A2" t="str">
            <v>Complete</v>
          </cell>
        </row>
      </sheetData>
      <sheetData sheetId="3516">
        <row r="2">
          <cell r="A2" t="str">
            <v>Complete</v>
          </cell>
        </row>
      </sheetData>
      <sheetData sheetId="3517">
        <row r="2">
          <cell r="A2" t="str">
            <v>Complete</v>
          </cell>
        </row>
      </sheetData>
      <sheetData sheetId="3518">
        <row r="2">
          <cell r="A2" t="str">
            <v>Complete</v>
          </cell>
        </row>
      </sheetData>
      <sheetData sheetId="3519">
        <row r="2">
          <cell r="A2" t="str">
            <v>Complete</v>
          </cell>
        </row>
      </sheetData>
      <sheetData sheetId="3520">
        <row r="2">
          <cell r="A2" t="str">
            <v>Complete</v>
          </cell>
        </row>
      </sheetData>
      <sheetData sheetId="3521">
        <row r="2">
          <cell r="A2" t="str">
            <v>Complete</v>
          </cell>
        </row>
      </sheetData>
      <sheetData sheetId="3522">
        <row r="2">
          <cell r="A2" t="str">
            <v>Complete</v>
          </cell>
        </row>
      </sheetData>
      <sheetData sheetId="3523">
        <row r="2">
          <cell r="A2" t="str">
            <v>Complete</v>
          </cell>
        </row>
      </sheetData>
      <sheetData sheetId="3524">
        <row r="2">
          <cell r="A2" t="str">
            <v>Complete</v>
          </cell>
        </row>
      </sheetData>
      <sheetData sheetId="3525">
        <row r="2">
          <cell r="A2" t="str">
            <v>Complete</v>
          </cell>
        </row>
      </sheetData>
      <sheetData sheetId="3526">
        <row r="2">
          <cell r="A2" t="str">
            <v>Complete</v>
          </cell>
        </row>
      </sheetData>
      <sheetData sheetId="3527">
        <row r="2">
          <cell r="A2" t="str">
            <v>Complete</v>
          </cell>
        </row>
      </sheetData>
      <sheetData sheetId="3528">
        <row r="2">
          <cell r="A2" t="str">
            <v>Complete</v>
          </cell>
        </row>
      </sheetData>
      <sheetData sheetId="3529">
        <row r="2">
          <cell r="A2" t="str">
            <v>Complete</v>
          </cell>
        </row>
      </sheetData>
      <sheetData sheetId="3530">
        <row r="2">
          <cell r="A2" t="str">
            <v>Complete</v>
          </cell>
        </row>
      </sheetData>
      <sheetData sheetId="3531">
        <row r="2">
          <cell r="A2" t="str">
            <v>Complete</v>
          </cell>
        </row>
      </sheetData>
      <sheetData sheetId="3532">
        <row r="2">
          <cell r="A2" t="str">
            <v>Complete</v>
          </cell>
        </row>
      </sheetData>
      <sheetData sheetId="3533">
        <row r="2">
          <cell r="A2" t="str">
            <v>Complete</v>
          </cell>
        </row>
      </sheetData>
      <sheetData sheetId="3534">
        <row r="2">
          <cell r="A2" t="str">
            <v>Complete</v>
          </cell>
        </row>
      </sheetData>
      <sheetData sheetId="3535">
        <row r="2">
          <cell r="A2" t="str">
            <v>Complete</v>
          </cell>
        </row>
      </sheetData>
      <sheetData sheetId="3536">
        <row r="2">
          <cell r="A2" t="str">
            <v>Complete</v>
          </cell>
        </row>
      </sheetData>
      <sheetData sheetId="3537">
        <row r="2">
          <cell r="A2" t="str">
            <v>Complete</v>
          </cell>
        </row>
      </sheetData>
      <sheetData sheetId="3538">
        <row r="2">
          <cell r="A2" t="str">
            <v>Complete</v>
          </cell>
        </row>
      </sheetData>
      <sheetData sheetId="3539">
        <row r="2">
          <cell r="A2" t="str">
            <v>Complete</v>
          </cell>
        </row>
      </sheetData>
      <sheetData sheetId="3540">
        <row r="2">
          <cell r="A2" t="str">
            <v>Complete</v>
          </cell>
        </row>
      </sheetData>
      <sheetData sheetId="3541">
        <row r="2">
          <cell r="A2" t="str">
            <v>Complete</v>
          </cell>
        </row>
      </sheetData>
      <sheetData sheetId="3542">
        <row r="2">
          <cell r="A2" t="str">
            <v>Complete</v>
          </cell>
        </row>
      </sheetData>
      <sheetData sheetId="3543">
        <row r="2">
          <cell r="A2" t="str">
            <v>Complete</v>
          </cell>
        </row>
      </sheetData>
      <sheetData sheetId="3544">
        <row r="2">
          <cell r="A2" t="str">
            <v>Complete</v>
          </cell>
        </row>
      </sheetData>
      <sheetData sheetId="3545">
        <row r="2">
          <cell r="A2" t="str">
            <v>Complete</v>
          </cell>
        </row>
      </sheetData>
      <sheetData sheetId="3546">
        <row r="2">
          <cell r="A2" t="str">
            <v>Complete</v>
          </cell>
        </row>
      </sheetData>
      <sheetData sheetId="3547">
        <row r="2">
          <cell r="A2" t="str">
            <v>Complete</v>
          </cell>
        </row>
      </sheetData>
      <sheetData sheetId="3548">
        <row r="2">
          <cell r="A2" t="str">
            <v>Complete</v>
          </cell>
        </row>
      </sheetData>
      <sheetData sheetId="3549">
        <row r="2">
          <cell r="A2" t="str">
            <v>Complete</v>
          </cell>
        </row>
      </sheetData>
      <sheetData sheetId="3550">
        <row r="2">
          <cell r="A2" t="str">
            <v>Complete</v>
          </cell>
        </row>
      </sheetData>
      <sheetData sheetId="3551">
        <row r="2">
          <cell r="A2" t="str">
            <v>Complete</v>
          </cell>
        </row>
      </sheetData>
      <sheetData sheetId="3552">
        <row r="2">
          <cell r="A2" t="str">
            <v>Complete</v>
          </cell>
        </row>
      </sheetData>
      <sheetData sheetId="3553">
        <row r="2">
          <cell r="A2" t="str">
            <v>Complete</v>
          </cell>
        </row>
      </sheetData>
      <sheetData sheetId="3554">
        <row r="2">
          <cell r="A2" t="str">
            <v>Complete</v>
          </cell>
        </row>
      </sheetData>
      <sheetData sheetId="3555">
        <row r="2">
          <cell r="A2" t="str">
            <v>Complete</v>
          </cell>
        </row>
      </sheetData>
      <sheetData sheetId="3556">
        <row r="2">
          <cell r="A2" t="str">
            <v>Complete</v>
          </cell>
        </row>
      </sheetData>
      <sheetData sheetId="3557">
        <row r="2">
          <cell r="A2" t="str">
            <v>Complete</v>
          </cell>
        </row>
      </sheetData>
      <sheetData sheetId="3558">
        <row r="2">
          <cell r="A2" t="str">
            <v>Complete</v>
          </cell>
        </row>
      </sheetData>
      <sheetData sheetId="3559">
        <row r="2">
          <cell r="A2" t="str">
            <v>Complete</v>
          </cell>
        </row>
      </sheetData>
      <sheetData sheetId="3560">
        <row r="2">
          <cell r="A2" t="str">
            <v>Complete</v>
          </cell>
        </row>
      </sheetData>
      <sheetData sheetId="3561">
        <row r="2">
          <cell r="A2" t="str">
            <v>Complete</v>
          </cell>
        </row>
      </sheetData>
      <sheetData sheetId="3562">
        <row r="2">
          <cell r="A2" t="str">
            <v>Complete</v>
          </cell>
        </row>
      </sheetData>
      <sheetData sheetId="3563">
        <row r="2">
          <cell r="A2" t="str">
            <v>Complete</v>
          </cell>
        </row>
      </sheetData>
      <sheetData sheetId="3564">
        <row r="2">
          <cell r="A2" t="str">
            <v>Complete</v>
          </cell>
        </row>
      </sheetData>
      <sheetData sheetId="3565">
        <row r="2">
          <cell r="A2" t="str">
            <v>Complete</v>
          </cell>
        </row>
      </sheetData>
      <sheetData sheetId="3566">
        <row r="2">
          <cell r="A2" t="str">
            <v>Complete</v>
          </cell>
        </row>
      </sheetData>
      <sheetData sheetId="3567">
        <row r="2">
          <cell r="A2" t="str">
            <v>Complete</v>
          </cell>
        </row>
      </sheetData>
      <sheetData sheetId="3568">
        <row r="2">
          <cell r="A2" t="str">
            <v>Complete</v>
          </cell>
        </row>
      </sheetData>
      <sheetData sheetId="3569">
        <row r="2">
          <cell r="A2" t="str">
            <v>Complete</v>
          </cell>
        </row>
      </sheetData>
      <sheetData sheetId="3570">
        <row r="2">
          <cell r="A2" t="str">
            <v>Complete</v>
          </cell>
        </row>
      </sheetData>
      <sheetData sheetId="3571">
        <row r="2">
          <cell r="A2" t="str">
            <v>Complete</v>
          </cell>
        </row>
      </sheetData>
      <sheetData sheetId="3572">
        <row r="2">
          <cell r="A2" t="str">
            <v>Complete</v>
          </cell>
        </row>
      </sheetData>
      <sheetData sheetId="3573">
        <row r="2">
          <cell r="A2" t="str">
            <v>Complete</v>
          </cell>
        </row>
      </sheetData>
      <sheetData sheetId="3574">
        <row r="2">
          <cell r="A2" t="str">
            <v>Complete</v>
          </cell>
        </row>
      </sheetData>
      <sheetData sheetId="3575">
        <row r="2">
          <cell r="A2" t="str">
            <v>Complete</v>
          </cell>
        </row>
      </sheetData>
      <sheetData sheetId="3576">
        <row r="2">
          <cell r="A2" t="str">
            <v>Complete</v>
          </cell>
        </row>
      </sheetData>
      <sheetData sheetId="3577">
        <row r="2">
          <cell r="A2" t="str">
            <v>Complete</v>
          </cell>
        </row>
      </sheetData>
      <sheetData sheetId="3578">
        <row r="2">
          <cell r="A2" t="str">
            <v>Complete</v>
          </cell>
        </row>
      </sheetData>
      <sheetData sheetId="3579">
        <row r="2">
          <cell r="A2" t="str">
            <v>Complete</v>
          </cell>
        </row>
      </sheetData>
      <sheetData sheetId="3580">
        <row r="2">
          <cell r="A2" t="str">
            <v>Complete</v>
          </cell>
        </row>
      </sheetData>
      <sheetData sheetId="3581">
        <row r="2">
          <cell r="A2" t="str">
            <v>Complete</v>
          </cell>
        </row>
      </sheetData>
      <sheetData sheetId="3582">
        <row r="2">
          <cell r="A2" t="str">
            <v>Complete</v>
          </cell>
        </row>
      </sheetData>
      <sheetData sheetId="3583">
        <row r="2">
          <cell r="A2" t="str">
            <v>Complete</v>
          </cell>
        </row>
      </sheetData>
      <sheetData sheetId="3584">
        <row r="2">
          <cell r="A2" t="str">
            <v>Complete</v>
          </cell>
        </row>
      </sheetData>
      <sheetData sheetId="3585">
        <row r="2">
          <cell r="A2" t="str">
            <v>Complete</v>
          </cell>
        </row>
      </sheetData>
      <sheetData sheetId="3586">
        <row r="2">
          <cell r="A2" t="str">
            <v>Complete</v>
          </cell>
        </row>
      </sheetData>
      <sheetData sheetId="3587">
        <row r="2">
          <cell r="A2" t="str">
            <v>Complete</v>
          </cell>
        </row>
      </sheetData>
      <sheetData sheetId="3588">
        <row r="2">
          <cell r="A2" t="str">
            <v>Complete</v>
          </cell>
        </row>
      </sheetData>
      <sheetData sheetId="3589">
        <row r="2">
          <cell r="A2" t="str">
            <v>Complete</v>
          </cell>
        </row>
      </sheetData>
      <sheetData sheetId="3590">
        <row r="2">
          <cell r="A2" t="str">
            <v>Complete</v>
          </cell>
        </row>
      </sheetData>
      <sheetData sheetId="3591">
        <row r="2">
          <cell r="A2" t="str">
            <v>Complete</v>
          </cell>
        </row>
      </sheetData>
      <sheetData sheetId="3592">
        <row r="2">
          <cell r="A2" t="str">
            <v>Complete</v>
          </cell>
        </row>
      </sheetData>
      <sheetData sheetId="3593">
        <row r="2">
          <cell r="A2" t="str">
            <v>Complete</v>
          </cell>
        </row>
      </sheetData>
      <sheetData sheetId="3594">
        <row r="2">
          <cell r="A2" t="str">
            <v>Complete</v>
          </cell>
        </row>
      </sheetData>
      <sheetData sheetId="3595">
        <row r="2">
          <cell r="A2" t="str">
            <v>Complete</v>
          </cell>
        </row>
      </sheetData>
      <sheetData sheetId="3596">
        <row r="2">
          <cell r="A2" t="str">
            <v>Complete</v>
          </cell>
        </row>
      </sheetData>
      <sheetData sheetId="3597">
        <row r="2">
          <cell r="A2" t="str">
            <v>Complete</v>
          </cell>
        </row>
      </sheetData>
      <sheetData sheetId="3598">
        <row r="2">
          <cell r="A2" t="str">
            <v>Complete</v>
          </cell>
        </row>
      </sheetData>
      <sheetData sheetId="3599">
        <row r="2">
          <cell r="A2" t="str">
            <v>Complete</v>
          </cell>
        </row>
      </sheetData>
      <sheetData sheetId="3600">
        <row r="2">
          <cell r="A2" t="str">
            <v>Complete</v>
          </cell>
        </row>
      </sheetData>
      <sheetData sheetId="3601">
        <row r="2">
          <cell r="A2" t="str">
            <v>Complete</v>
          </cell>
        </row>
      </sheetData>
      <sheetData sheetId="3602">
        <row r="2">
          <cell r="A2" t="str">
            <v>Complete</v>
          </cell>
        </row>
      </sheetData>
      <sheetData sheetId="3603">
        <row r="2">
          <cell r="A2" t="str">
            <v>Complete</v>
          </cell>
        </row>
      </sheetData>
      <sheetData sheetId="3604">
        <row r="2">
          <cell r="A2" t="str">
            <v>Complete</v>
          </cell>
        </row>
      </sheetData>
      <sheetData sheetId="3605">
        <row r="2">
          <cell r="A2" t="str">
            <v>Complete</v>
          </cell>
        </row>
      </sheetData>
      <sheetData sheetId="3606">
        <row r="2">
          <cell r="A2" t="str">
            <v>Complete</v>
          </cell>
        </row>
      </sheetData>
      <sheetData sheetId="3607">
        <row r="2">
          <cell r="A2" t="str">
            <v>Complete</v>
          </cell>
        </row>
      </sheetData>
      <sheetData sheetId="3608">
        <row r="2">
          <cell r="A2" t="str">
            <v>Complete</v>
          </cell>
        </row>
      </sheetData>
      <sheetData sheetId="3609">
        <row r="2">
          <cell r="A2" t="str">
            <v>Complete</v>
          </cell>
        </row>
      </sheetData>
      <sheetData sheetId="3610">
        <row r="2">
          <cell r="A2" t="str">
            <v>Complete</v>
          </cell>
        </row>
      </sheetData>
      <sheetData sheetId="3611">
        <row r="2">
          <cell r="A2" t="str">
            <v>Complete</v>
          </cell>
        </row>
      </sheetData>
      <sheetData sheetId="3612">
        <row r="2">
          <cell r="A2" t="str">
            <v>Complete</v>
          </cell>
        </row>
      </sheetData>
      <sheetData sheetId="3613">
        <row r="2">
          <cell r="A2" t="str">
            <v>Complete</v>
          </cell>
        </row>
      </sheetData>
      <sheetData sheetId="3614">
        <row r="2">
          <cell r="A2" t="str">
            <v>Complete</v>
          </cell>
        </row>
      </sheetData>
      <sheetData sheetId="3615">
        <row r="2">
          <cell r="A2" t="str">
            <v>Complete</v>
          </cell>
        </row>
      </sheetData>
      <sheetData sheetId="3616">
        <row r="2">
          <cell r="A2" t="str">
            <v>Complete</v>
          </cell>
        </row>
      </sheetData>
      <sheetData sheetId="3617">
        <row r="2">
          <cell r="A2" t="str">
            <v>Complete</v>
          </cell>
        </row>
      </sheetData>
      <sheetData sheetId="3618">
        <row r="2">
          <cell r="A2" t="str">
            <v>Complete</v>
          </cell>
        </row>
      </sheetData>
      <sheetData sheetId="3619">
        <row r="2">
          <cell r="A2" t="str">
            <v>Complete</v>
          </cell>
        </row>
      </sheetData>
      <sheetData sheetId="3620">
        <row r="2">
          <cell r="A2" t="str">
            <v>Complete</v>
          </cell>
        </row>
      </sheetData>
      <sheetData sheetId="3621">
        <row r="2">
          <cell r="A2" t="str">
            <v>Complete</v>
          </cell>
        </row>
      </sheetData>
      <sheetData sheetId="3622">
        <row r="2">
          <cell r="A2" t="str">
            <v>Complete</v>
          </cell>
        </row>
      </sheetData>
      <sheetData sheetId="3623">
        <row r="2">
          <cell r="A2" t="str">
            <v>Complete</v>
          </cell>
        </row>
      </sheetData>
      <sheetData sheetId="3624">
        <row r="2">
          <cell r="A2" t="str">
            <v>Complete</v>
          </cell>
        </row>
      </sheetData>
      <sheetData sheetId="3625">
        <row r="2">
          <cell r="A2" t="str">
            <v>Complete</v>
          </cell>
        </row>
      </sheetData>
      <sheetData sheetId="3626">
        <row r="2">
          <cell r="A2" t="str">
            <v>Complete</v>
          </cell>
        </row>
      </sheetData>
      <sheetData sheetId="3627">
        <row r="2">
          <cell r="A2" t="str">
            <v>Complete</v>
          </cell>
        </row>
      </sheetData>
      <sheetData sheetId="3628">
        <row r="2">
          <cell r="A2" t="str">
            <v>Complete</v>
          </cell>
        </row>
      </sheetData>
      <sheetData sheetId="3629">
        <row r="2">
          <cell r="A2" t="str">
            <v>Complete</v>
          </cell>
        </row>
      </sheetData>
      <sheetData sheetId="3630">
        <row r="2">
          <cell r="A2" t="str">
            <v>Complete</v>
          </cell>
        </row>
      </sheetData>
      <sheetData sheetId="3631">
        <row r="2">
          <cell r="A2" t="str">
            <v>Complete</v>
          </cell>
        </row>
      </sheetData>
      <sheetData sheetId="3632">
        <row r="2">
          <cell r="A2" t="str">
            <v>Complete</v>
          </cell>
        </row>
      </sheetData>
      <sheetData sheetId="3633">
        <row r="2">
          <cell r="A2" t="str">
            <v>Complete</v>
          </cell>
        </row>
      </sheetData>
      <sheetData sheetId="3634">
        <row r="2">
          <cell r="A2" t="str">
            <v>Complete</v>
          </cell>
        </row>
      </sheetData>
      <sheetData sheetId="3635">
        <row r="2">
          <cell r="A2" t="str">
            <v>Complete</v>
          </cell>
        </row>
      </sheetData>
      <sheetData sheetId="3636">
        <row r="2">
          <cell r="A2" t="str">
            <v>Complete</v>
          </cell>
        </row>
      </sheetData>
      <sheetData sheetId="3637">
        <row r="2">
          <cell r="A2" t="str">
            <v>Complete</v>
          </cell>
        </row>
      </sheetData>
      <sheetData sheetId="3638">
        <row r="2">
          <cell r="A2" t="str">
            <v>Complete</v>
          </cell>
        </row>
      </sheetData>
      <sheetData sheetId="3639">
        <row r="2">
          <cell r="A2" t="str">
            <v>Complete</v>
          </cell>
        </row>
      </sheetData>
      <sheetData sheetId="3640">
        <row r="2">
          <cell r="A2" t="str">
            <v>Complete</v>
          </cell>
        </row>
      </sheetData>
      <sheetData sheetId="3641">
        <row r="2">
          <cell r="A2" t="str">
            <v>Complete</v>
          </cell>
        </row>
      </sheetData>
      <sheetData sheetId="3642">
        <row r="2">
          <cell r="A2" t="str">
            <v>Complete</v>
          </cell>
        </row>
      </sheetData>
      <sheetData sheetId="3643">
        <row r="2">
          <cell r="A2" t="str">
            <v>Complete</v>
          </cell>
        </row>
      </sheetData>
      <sheetData sheetId="3644">
        <row r="2">
          <cell r="A2" t="str">
            <v>Complete</v>
          </cell>
        </row>
      </sheetData>
      <sheetData sheetId="3645">
        <row r="2">
          <cell r="A2" t="str">
            <v>Complete</v>
          </cell>
        </row>
      </sheetData>
      <sheetData sheetId="3646">
        <row r="2">
          <cell r="A2" t="str">
            <v>Complete</v>
          </cell>
        </row>
      </sheetData>
      <sheetData sheetId="3647">
        <row r="2">
          <cell r="A2" t="str">
            <v>Complete</v>
          </cell>
        </row>
      </sheetData>
      <sheetData sheetId="3648">
        <row r="2">
          <cell r="A2" t="str">
            <v>Complete</v>
          </cell>
        </row>
      </sheetData>
      <sheetData sheetId="3649">
        <row r="2">
          <cell r="A2" t="str">
            <v>Complete</v>
          </cell>
        </row>
      </sheetData>
      <sheetData sheetId="3650">
        <row r="2">
          <cell r="A2" t="str">
            <v>Complete</v>
          </cell>
        </row>
      </sheetData>
      <sheetData sheetId="3651">
        <row r="2">
          <cell r="A2" t="str">
            <v>Complete</v>
          </cell>
        </row>
      </sheetData>
      <sheetData sheetId="3652">
        <row r="2">
          <cell r="A2" t="str">
            <v>Complete</v>
          </cell>
        </row>
      </sheetData>
      <sheetData sheetId="3653">
        <row r="2">
          <cell r="A2" t="str">
            <v>Complete</v>
          </cell>
        </row>
      </sheetData>
      <sheetData sheetId="3654">
        <row r="2">
          <cell r="A2" t="str">
            <v>Complete</v>
          </cell>
        </row>
      </sheetData>
      <sheetData sheetId="3655">
        <row r="2">
          <cell r="A2" t="str">
            <v>Complete</v>
          </cell>
        </row>
      </sheetData>
      <sheetData sheetId="3656">
        <row r="2">
          <cell r="A2" t="str">
            <v>Complete</v>
          </cell>
        </row>
      </sheetData>
      <sheetData sheetId="3657">
        <row r="2">
          <cell r="A2" t="str">
            <v>Complete</v>
          </cell>
        </row>
      </sheetData>
      <sheetData sheetId="3658">
        <row r="2">
          <cell r="A2" t="str">
            <v>Complete</v>
          </cell>
        </row>
      </sheetData>
      <sheetData sheetId="3659">
        <row r="2">
          <cell r="A2" t="str">
            <v>Complete</v>
          </cell>
        </row>
      </sheetData>
      <sheetData sheetId="3660">
        <row r="2">
          <cell r="A2" t="str">
            <v>Complete</v>
          </cell>
        </row>
      </sheetData>
      <sheetData sheetId="3661">
        <row r="2">
          <cell r="A2" t="str">
            <v>Complete</v>
          </cell>
        </row>
      </sheetData>
      <sheetData sheetId="3662">
        <row r="2">
          <cell r="A2" t="str">
            <v>Complete</v>
          </cell>
        </row>
      </sheetData>
      <sheetData sheetId="3663">
        <row r="2">
          <cell r="A2" t="str">
            <v>Complete</v>
          </cell>
        </row>
      </sheetData>
      <sheetData sheetId="3664">
        <row r="2">
          <cell r="A2" t="str">
            <v>Complete</v>
          </cell>
        </row>
      </sheetData>
      <sheetData sheetId="3665">
        <row r="2">
          <cell r="A2" t="str">
            <v>Complete</v>
          </cell>
        </row>
      </sheetData>
      <sheetData sheetId="3666">
        <row r="2">
          <cell r="A2" t="str">
            <v>Complete</v>
          </cell>
        </row>
      </sheetData>
      <sheetData sheetId="3667">
        <row r="2">
          <cell r="A2" t="str">
            <v>Complete</v>
          </cell>
        </row>
      </sheetData>
      <sheetData sheetId="3668">
        <row r="2">
          <cell r="A2" t="str">
            <v>Complete</v>
          </cell>
        </row>
      </sheetData>
      <sheetData sheetId="3669">
        <row r="2">
          <cell r="A2" t="str">
            <v>Complete</v>
          </cell>
        </row>
      </sheetData>
      <sheetData sheetId="3670">
        <row r="2">
          <cell r="A2" t="str">
            <v>Complete</v>
          </cell>
        </row>
      </sheetData>
      <sheetData sheetId="3671">
        <row r="2">
          <cell r="A2" t="str">
            <v>Complete</v>
          </cell>
        </row>
      </sheetData>
      <sheetData sheetId="3672">
        <row r="2">
          <cell r="A2" t="str">
            <v>Complete</v>
          </cell>
        </row>
      </sheetData>
      <sheetData sheetId="3673">
        <row r="2">
          <cell r="A2" t="str">
            <v>Complete</v>
          </cell>
        </row>
      </sheetData>
      <sheetData sheetId="3674">
        <row r="2">
          <cell r="A2" t="str">
            <v>Complete</v>
          </cell>
        </row>
      </sheetData>
      <sheetData sheetId="3675">
        <row r="2">
          <cell r="A2" t="str">
            <v>Complete</v>
          </cell>
        </row>
      </sheetData>
      <sheetData sheetId="3676">
        <row r="2">
          <cell r="A2" t="str">
            <v>Complete</v>
          </cell>
        </row>
      </sheetData>
      <sheetData sheetId="3677">
        <row r="2">
          <cell r="A2" t="str">
            <v>Complete</v>
          </cell>
        </row>
      </sheetData>
      <sheetData sheetId="3678">
        <row r="2">
          <cell r="A2" t="str">
            <v>Complete</v>
          </cell>
        </row>
      </sheetData>
      <sheetData sheetId="3679">
        <row r="2">
          <cell r="A2" t="str">
            <v>Complete</v>
          </cell>
        </row>
      </sheetData>
      <sheetData sheetId="3680">
        <row r="2">
          <cell r="A2" t="str">
            <v>Complete</v>
          </cell>
        </row>
      </sheetData>
      <sheetData sheetId="3681">
        <row r="2">
          <cell r="A2" t="str">
            <v>Complete</v>
          </cell>
        </row>
      </sheetData>
      <sheetData sheetId="3682">
        <row r="2">
          <cell r="A2" t="str">
            <v>Complete</v>
          </cell>
        </row>
      </sheetData>
      <sheetData sheetId="3683">
        <row r="2">
          <cell r="A2" t="str">
            <v>Complete</v>
          </cell>
        </row>
      </sheetData>
      <sheetData sheetId="3684">
        <row r="2">
          <cell r="A2" t="str">
            <v>Complete</v>
          </cell>
        </row>
      </sheetData>
      <sheetData sheetId="3685">
        <row r="2">
          <cell r="A2" t="str">
            <v>Complete</v>
          </cell>
        </row>
      </sheetData>
      <sheetData sheetId="3686">
        <row r="2">
          <cell r="A2" t="str">
            <v>Complete</v>
          </cell>
        </row>
      </sheetData>
      <sheetData sheetId="3687">
        <row r="2">
          <cell r="A2" t="str">
            <v>Complete</v>
          </cell>
        </row>
      </sheetData>
      <sheetData sheetId="3688">
        <row r="2">
          <cell r="A2" t="str">
            <v>Complete</v>
          </cell>
        </row>
      </sheetData>
      <sheetData sheetId="3689">
        <row r="2">
          <cell r="A2" t="str">
            <v>Complete</v>
          </cell>
        </row>
      </sheetData>
      <sheetData sheetId="3690">
        <row r="2">
          <cell r="A2" t="str">
            <v>Complete</v>
          </cell>
        </row>
      </sheetData>
      <sheetData sheetId="3691">
        <row r="2">
          <cell r="A2" t="str">
            <v>Complete</v>
          </cell>
        </row>
      </sheetData>
      <sheetData sheetId="3692">
        <row r="2">
          <cell r="A2" t="str">
            <v>Complete</v>
          </cell>
        </row>
      </sheetData>
      <sheetData sheetId="3693">
        <row r="2">
          <cell r="A2" t="str">
            <v>Complete</v>
          </cell>
        </row>
      </sheetData>
      <sheetData sheetId="3694">
        <row r="2">
          <cell r="A2" t="str">
            <v>Complete</v>
          </cell>
        </row>
      </sheetData>
      <sheetData sheetId="3695">
        <row r="2">
          <cell r="A2" t="str">
            <v>Complete</v>
          </cell>
        </row>
      </sheetData>
      <sheetData sheetId="3696">
        <row r="2">
          <cell r="A2" t="str">
            <v>Complete</v>
          </cell>
        </row>
      </sheetData>
      <sheetData sheetId="3697">
        <row r="2">
          <cell r="A2" t="str">
            <v>Complete</v>
          </cell>
        </row>
      </sheetData>
      <sheetData sheetId="3698">
        <row r="2">
          <cell r="A2" t="str">
            <v>Complete</v>
          </cell>
        </row>
      </sheetData>
      <sheetData sheetId="3699">
        <row r="2">
          <cell r="A2" t="str">
            <v>Complete</v>
          </cell>
        </row>
      </sheetData>
      <sheetData sheetId="3700">
        <row r="2">
          <cell r="A2" t="str">
            <v>Complete</v>
          </cell>
        </row>
      </sheetData>
      <sheetData sheetId="3701">
        <row r="2">
          <cell r="A2" t="str">
            <v>Complete</v>
          </cell>
        </row>
      </sheetData>
      <sheetData sheetId="3702">
        <row r="2">
          <cell r="A2" t="str">
            <v>Complete</v>
          </cell>
        </row>
      </sheetData>
      <sheetData sheetId="3703">
        <row r="2">
          <cell r="A2" t="str">
            <v>Complete</v>
          </cell>
        </row>
      </sheetData>
      <sheetData sheetId="3704">
        <row r="2">
          <cell r="A2" t="str">
            <v>Complete</v>
          </cell>
        </row>
      </sheetData>
      <sheetData sheetId="3705">
        <row r="2">
          <cell r="A2" t="str">
            <v>Complete</v>
          </cell>
        </row>
      </sheetData>
      <sheetData sheetId="3706">
        <row r="2">
          <cell r="A2" t="str">
            <v>Complete</v>
          </cell>
        </row>
      </sheetData>
      <sheetData sheetId="3707">
        <row r="2">
          <cell r="A2" t="str">
            <v>Complete</v>
          </cell>
        </row>
      </sheetData>
      <sheetData sheetId="3708">
        <row r="2">
          <cell r="A2" t="str">
            <v>Complete</v>
          </cell>
        </row>
      </sheetData>
      <sheetData sheetId="3709">
        <row r="2">
          <cell r="A2" t="str">
            <v>Complete</v>
          </cell>
        </row>
      </sheetData>
      <sheetData sheetId="3710">
        <row r="2">
          <cell r="A2" t="str">
            <v>Complete</v>
          </cell>
        </row>
      </sheetData>
      <sheetData sheetId="3711">
        <row r="2">
          <cell r="A2" t="str">
            <v>Complete</v>
          </cell>
        </row>
      </sheetData>
      <sheetData sheetId="3712">
        <row r="2">
          <cell r="A2" t="str">
            <v>Complete</v>
          </cell>
        </row>
      </sheetData>
      <sheetData sheetId="3713">
        <row r="2">
          <cell r="A2" t="str">
            <v>Complete</v>
          </cell>
        </row>
      </sheetData>
      <sheetData sheetId="3714">
        <row r="2">
          <cell r="A2" t="str">
            <v>Complete</v>
          </cell>
        </row>
      </sheetData>
      <sheetData sheetId="3715">
        <row r="2">
          <cell r="A2" t="str">
            <v>Complete</v>
          </cell>
        </row>
      </sheetData>
      <sheetData sheetId="3716">
        <row r="2">
          <cell r="A2" t="str">
            <v>Complete</v>
          </cell>
        </row>
      </sheetData>
      <sheetData sheetId="3717">
        <row r="2">
          <cell r="A2" t="str">
            <v>Complete</v>
          </cell>
        </row>
      </sheetData>
      <sheetData sheetId="3718">
        <row r="2">
          <cell r="A2" t="str">
            <v>Complete</v>
          </cell>
        </row>
      </sheetData>
      <sheetData sheetId="3719">
        <row r="2">
          <cell r="A2" t="str">
            <v>Complete</v>
          </cell>
        </row>
      </sheetData>
      <sheetData sheetId="3720">
        <row r="2">
          <cell r="A2" t="str">
            <v>Complete</v>
          </cell>
        </row>
      </sheetData>
      <sheetData sheetId="3721">
        <row r="2">
          <cell r="A2" t="str">
            <v>Complete</v>
          </cell>
        </row>
      </sheetData>
      <sheetData sheetId="3722">
        <row r="2">
          <cell r="A2" t="str">
            <v>Complete</v>
          </cell>
        </row>
      </sheetData>
      <sheetData sheetId="3723">
        <row r="2">
          <cell r="A2" t="str">
            <v>Complete</v>
          </cell>
        </row>
      </sheetData>
      <sheetData sheetId="3724">
        <row r="2">
          <cell r="A2" t="str">
            <v>Complete</v>
          </cell>
        </row>
      </sheetData>
      <sheetData sheetId="3725">
        <row r="2">
          <cell r="A2" t="str">
            <v>Complete</v>
          </cell>
        </row>
      </sheetData>
      <sheetData sheetId="3726">
        <row r="2">
          <cell r="A2" t="str">
            <v>Complete</v>
          </cell>
        </row>
      </sheetData>
      <sheetData sheetId="3727">
        <row r="2">
          <cell r="A2" t="str">
            <v>Complete</v>
          </cell>
        </row>
      </sheetData>
      <sheetData sheetId="3728">
        <row r="2">
          <cell r="A2" t="str">
            <v>Complete</v>
          </cell>
        </row>
      </sheetData>
      <sheetData sheetId="3729">
        <row r="2">
          <cell r="A2" t="str">
            <v>Complete</v>
          </cell>
        </row>
      </sheetData>
      <sheetData sheetId="3730">
        <row r="2">
          <cell r="A2" t="str">
            <v>Complete</v>
          </cell>
        </row>
      </sheetData>
      <sheetData sheetId="3731">
        <row r="2">
          <cell r="A2" t="str">
            <v>Complete</v>
          </cell>
        </row>
      </sheetData>
      <sheetData sheetId="3732">
        <row r="2">
          <cell r="A2" t="str">
            <v>Complete</v>
          </cell>
        </row>
      </sheetData>
      <sheetData sheetId="3733">
        <row r="2">
          <cell r="A2" t="str">
            <v>Complete</v>
          </cell>
        </row>
      </sheetData>
      <sheetData sheetId="3734">
        <row r="2">
          <cell r="A2" t="str">
            <v>Complete</v>
          </cell>
        </row>
      </sheetData>
      <sheetData sheetId="3735">
        <row r="2">
          <cell r="A2" t="str">
            <v>Complete</v>
          </cell>
        </row>
      </sheetData>
      <sheetData sheetId="3736">
        <row r="2">
          <cell r="A2" t="str">
            <v>Complete</v>
          </cell>
        </row>
      </sheetData>
      <sheetData sheetId="3737">
        <row r="2">
          <cell r="A2" t="str">
            <v>Complete</v>
          </cell>
        </row>
      </sheetData>
      <sheetData sheetId="3738">
        <row r="2">
          <cell r="A2" t="str">
            <v>Complete</v>
          </cell>
        </row>
      </sheetData>
      <sheetData sheetId="3739">
        <row r="2">
          <cell r="A2" t="str">
            <v>Complete</v>
          </cell>
        </row>
      </sheetData>
      <sheetData sheetId="3740">
        <row r="2">
          <cell r="A2" t="str">
            <v>Complete</v>
          </cell>
        </row>
      </sheetData>
      <sheetData sheetId="3741">
        <row r="2">
          <cell r="A2" t="str">
            <v>Complete</v>
          </cell>
        </row>
      </sheetData>
      <sheetData sheetId="3742">
        <row r="2">
          <cell r="A2" t="str">
            <v>Complete</v>
          </cell>
        </row>
      </sheetData>
      <sheetData sheetId="3743">
        <row r="2">
          <cell r="A2" t="str">
            <v>Complete</v>
          </cell>
        </row>
      </sheetData>
      <sheetData sheetId="3744">
        <row r="2">
          <cell r="A2" t="str">
            <v>Complete</v>
          </cell>
        </row>
      </sheetData>
      <sheetData sheetId="3745">
        <row r="2">
          <cell r="A2" t="str">
            <v>Complete</v>
          </cell>
        </row>
      </sheetData>
      <sheetData sheetId="3746">
        <row r="2">
          <cell r="A2" t="str">
            <v>Complete</v>
          </cell>
        </row>
      </sheetData>
      <sheetData sheetId="3747">
        <row r="2">
          <cell r="A2" t="str">
            <v>Complete</v>
          </cell>
        </row>
      </sheetData>
      <sheetData sheetId="3748">
        <row r="2">
          <cell r="A2" t="str">
            <v>Complete</v>
          </cell>
        </row>
      </sheetData>
      <sheetData sheetId="3749">
        <row r="2">
          <cell r="A2" t="str">
            <v>Complete</v>
          </cell>
        </row>
      </sheetData>
      <sheetData sheetId="3750">
        <row r="2">
          <cell r="A2" t="str">
            <v>Complete</v>
          </cell>
        </row>
      </sheetData>
      <sheetData sheetId="3751">
        <row r="2">
          <cell r="A2" t="str">
            <v>Complete</v>
          </cell>
        </row>
      </sheetData>
      <sheetData sheetId="3752">
        <row r="2">
          <cell r="A2" t="str">
            <v>Complete</v>
          </cell>
        </row>
      </sheetData>
      <sheetData sheetId="3753">
        <row r="2">
          <cell r="A2" t="str">
            <v>Complete</v>
          </cell>
        </row>
      </sheetData>
      <sheetData sheetId="3754">
        <row r="2">
          <cell r="A2" t="str">
            <v>Complete</v>
          </cell>
        </row>
      </sheetData>
      <sheetData sheetId="3755">
        <row r="2">
          <cell r="A2" t="str">
            <v>Complete</v>
          </cell>
        </row>
      </sheetData>
      <sheetData sheetId="3756">
        <row r="2">
          <cell r="A2" t="str">
            <v>Complete</v>
          </cell>
        </row>
      </sheetData>
      <sheetData sheetId="3757">
        <row r="2">
          <cell r="A2" t="str">
            <v>Complete</v>
          </cell>
        </row>
      </sheetData>
      <sheetData sheetId="3758">
        <row r="2">
          <cell r="A2" t="str">
            <v>Complete</v>
          </cell>
        </row>
      </sheetData>
      <sheetData sheetId="3759">
        <row r="2">
          <cell r="A2" t="str">
            <v>Complete</v>
          </cell>
        </row>
      </sheetData>
      <sheetData sheetId="3760">
        <row r="2">
          <cell r="A2" t="str">
            <v>Complete</v>
          </cell>
        </row>
      </sheetData>
      <sheetData sheetId="3761">
        <row r="2">
          <cell r="A2" t="str">
            <v>Complete</v>
          </cell>
        </row>
      </sheetData>
      <sheetData sheetId="3762">
        <row r="2">
          <cell r="A2" t="str">
            <v>Complete</v>
          </cell>
        </row>
      </sheetData>
      <sheetData sheetId="3763">
        <row r="2">
          <cell r="A2" t="str">
            <v>Complete</v>
          </cell>
        </row>
      </sheetData>
      <sheetData sheetId="3764">
        <row r="2">
          <cell r="A2" t="str">
            <v>Complete</v>
          </cell>
        </row>
      </sheetData>
      <sheetData sheetId="3765">
        <row r="2">
          <cell r="A2" t="str">
            <v>Complete</v>
          </cell>
        </row>
      </sheetData>
      <sheetData sheetId="3766">
        <row r="2">
          <cell r="A2" t="str">
            <v>Complete</v>
          </cell>
        </row>
      </sheetData>
      <sheetData sheetId="3767">
        <row r="2">
          <cell r="A2" t="str">
            <v>Complete</v>
          </cell>
        </row>
      </sheetData>
      <sheetData sheetId="3768">
        <row r="2">
          <cell r="A2" t="str">
            <v>Complete</v>
          </cell>
        </row>
      </sheetData>
      <sheetData sheetId="3769">
        <row r="2">
          <cell r="A2" t="str">
            <v>Complete</v>
          </cell>
        </row>
      </sheetData>
      <sheetData sheetId="3770">
        <row r="2">
          <cell r="A2" t="str">
            <v>Complete</v>
          </cell>
        </row>
      </sheetData>
      <sheetData sheetId="3771">
        <row r="2">
          <cell r="A2" t="str">
            <v>Complete</v>
          </cell>
        </row>
      </sheetData>
      <sheetData sheetId="3772">
        <row r="2">
          <cell r="A2" t="str">
            <v>Complete</v>
          </cell>
        </row>
      </sheetData>
      <sheetData sheetId="3773">
        <row r="2">
          <cell r="A2" t="str">
            <v>Complete</v>
          </cell>
        </row>
      </sheetData>
      <sheetData sheetId="3774">
        <row r="2">
          <cell r="A2" t="str">
            <v>Complete</v>
          </cell>
        </row>
      </sheetData>
      <sheetData sheetId="3775">
        <row r="2">
          <cell r="A2" t="str">
            <v>Complete</v>
          </cell>
        </row>
      </sheetData>
      <sheetData sheetId="3776">
        <row r="2">
          <cell r="A2" t="str">
            <v>Complete</v>
          </cell>
        </row>
      </sheetData>
      <sheetData sheetId="3777">
        <row r="2">
          <cell r="A2" t="str">
            <v>Complete</v>
          </cell>
        </row>
      </sheetData>
      <sheetData sheetId="3778">
        <row r="2">
          <cell r="A2" t="str">
            <v>Complete</v>
          </cell>
        </row>
      </sheetData>
      <sheetData sheetId="3779">
        <row r="2">
          <cell r="A2" t="str">
            <v>Complete</v>
          </cell>
        </row>
      </sheetData>
      <sheetData sheetId="3780">
        <row r="2">
          <cell r="A2" t="str">
            <v>Complete</v>
          </cell>
        </row>
      </sheetData>
      <sheetData sheetId="3781">
        <row r="2">
          <cell r="A2" t="str">
            <v>Complete</v>
          </cell>
        </row>
      </sheetData>
      <sheetData sheetId="3782">
        <row r="2">
          <cell r="A2" t="str">
            <v>Complete</v>
          </cell>
        </row>
      </sheetData>
      <sheetData sheetId="3783">
        <row r="2">
          <cell r="A2" t="str">
            <v>Complete</v>
          </cell>
        </row>
      </sheetData>
      <sheetData sheetId="3784">
        <row r="2">
          <cell r="A2" t="str">
            <v>Complete</v>
          </cell>
        </row>
      </sheetData>
      <sheetData sheetId="3785">
        <row r="2">
          <cell r="A2" t="str">
            <v>Complete</v>
          </cell>
        </row>
      </sheetData>
      <sheetData sheetId="3786">
        <row r="2">
          <cell r="A2" t="str">
            <v>Complete</v>
          </cell>
        </row>
      </sheetData>
      <sheetData sheetId="3787">
        <row r="2">
          <cell r="A2" t="str">
            <v>Complete</v>
          </cell>
        </row>
      </sheetData>
      <sheetData sheetId="3788">
        <row r="2">
          <cell r="A2" t="str">
            <v>Complete</v>
          </cell>
        </row>
      </sheetData>
      <sheetData sheetId="3789">
        <row r="2">
          <cell r="A2" t="str">
            <v>Complete</v>
          </cell>
        </row>
      </sheetData>
      <sheetData sheetId="3790">
        <row r="2">
          <cell r="A2" t="str">
            <v>Complete</v>
          </cell>
        </row>
      </sheetData>
      <sheetData sheetId="3791">
        <row r="2">
          <cell r="A2" t="str">
            <v>Complete</v>
          </cell>
        </row>
      </sheetData>
      <sheetData sheetId="3792">
        <row r="2">
          <cell r="A2" t="str">
            <v>Complete</v>
          </cell>
        </row>
      </sheetData>
      <sheetData sheetId="3793">
        <row r="2">
          <cell r="A2" t="str">
            <v>Complete</v>
          </cell>
        </row>
      </sheetData>
      <sheetData sheetId="3794">
        <row r="2">
          <cell r="A2" t="str">
            <v>Complete</v>
          </cell>
        </row>
      </sheetData>
      <sheetData sheetId="3795">
        <row r="2">
          <cell r="A2" t="str">
            <v>Complete</v>
          </cell>
        </row>
      </sheetData>
      <sheetData sheetId="3796">
        <row r="2">
          <cell r="A2" t="str">
            <v>Complete</v>
          </cell>
        </row>
      </sheetData>
      <sheetData sheetId="3797">
        <row r="2">
          <cell r="A2" t="str">
            <v>Complete</v>
          </cell>
        </row>
      </sheetData>
      <sheetData sheetId="3798">
        <row r="2">
          <cell r="A2" t="str">
            <v>Complete</v>
          </cell>
        </row>
      </sheetData>
      <sheetData sheetId="3799">
        <row r="2">
          <cell r="A2" t="str">
            <v>Complete</v>
          </cell>
        </row>
      </sheetData>
      <sheetData sheetId="3800">
        <row r="2">
          <cell r="A2" t="str">
            <v>Complete</v>
          </cell>
        </row>
      </sheetData>
      <sheetData sheetId="3801">
        <row r="2">
          <cell r="A2" t="str">
            <v>Complete</v>
          </cell>
        </row>
      </sheetData>
      <sheetData sheetId="3802">
        <row r="2">
          <cell r="A2" t="str">
            <v>Complete</v>
          </cell>
        </row>
      </sheetData>
      <sheetData sheetId="3803">
        <row r="2">
          <cell r="A2" t="str">
            <v>Complete</v>
          </cell>
        </row>
      </sheetData>
      <sheetData sheetId="3804">
        <row r="2">
          <cell r="A2" t="str">
            <v>Complete</v>
          </cell>
        </row>
      </sheetData>
      <sheetData sheetId="3805">
        <row r="2">
          <cell r="A2" t="str">
            <v>Complete</v>
          </cell>
        </row>
      </sheetData>
      <sheetData sheetId="3806">
        <row r="2">
          <cell r="A2" t="str">
            <v>Complete</v>
          </cell>
        </row>
      </sheetData>
      <sheetData sheetId="3807">
        <row r="2">
          <cell r="A2" t="str">
            <v>Complete</v>
          </cell>
        </row>
      </sheetData>
      <sheetData sheetId="3808">
        <row r="2">
          <cell r="A2" t="str">
            <v>Complete</v>
          </cell>
        </row>
      </sheetData>
      <sheetData sheetId="3809">
        <row r="2">
          <cell r="A2" t="str">
            <v>Complete</v>
          </cell>
        </row>
      </sheetData>
      <sheetData sheetId="3810">
        <row r="2">
          <cell r="A2" t="str">
            <v>Complete</v>
          </cell>
        </row>
      </sheetData>
      <sheetData sheetId="3811">
        <row r="2">
          <cell r="A2" t="str">
            <v>Complete</v>
          </cell>
        </row>
      </sheetData>
      <sheetData sheetId="3812">
        <row r="2">
          <cell r="A2" t="str">
            <v>Complete</v>
          </cell>
        </row>
      </sheetData>
      <sheetData sheetId="3813">
        <row r="2">
          <cell r="A2" t="str">
            <v>Complete</v>
          </cell>
        </row>
      </sheetData>
      <sheetData sheetId="3814">
        <row r="2">
          <cell r="A2" t="str">
            <v>Complete</v>
          </cell>
        </row>
      </sheetData>
      <sheetData sheetId="3815">
        <row r="2">
          <cell r="A2" t="str">
            <v>Complete</v>
          </cell>
        </row>
      </sheetData>
      <sheetData sheetId="3816">
        <row r="2">
          <cell r="A2" t="str">
            <v>Complete</v>
          </cell>
        </row>
      </sheetData>
      <sheetData sheetId="3817">
        <row r="2">
          <cell r="A2" t="str">
            <v>Complete</v>
          </cell>
        </row>
      </sheetData>
      <sheetData sheetId="3818">
        <row r="2">
          <cell r="A2" t="str">
            <v>Complete</v>
          </cell>
        </row>
      </sheetData>
      <sheetData sheetId="3819">
        <row r="2">
          <cell r="A2" t="str">
            <v>Complete</v>
          </cell>
        </row>
      </sheetData>
      <sheetData sheetId="3820">
        <row r="2">
          <cell r="A2" t="str">
            <v>Complete</v>
          </cell>
        </row>
      </sheetData>
      <sheetData sheetId="3821">
        <row r="2">
          <cell r="A2" t="str">
            <v>Complete</v>
          </cell>
        </row>
      </sheetData>
      <sheetData sheetId="3822">
        <row r="2">
          <cell r="A2" t="str">
            <v>Complete</v>
          </cell>
        </row>
      </sheetData>
      <sheetData sheetId="3823">
        <row r="2">
          <cell r="A2" t="str">
            <v>Complete</v>
          </cell>
        </row>
      </sheetData>
      <sheetData sheetId="3824">
        <row r="2">
          <cell r="A2" t="str">
            <v>Complete</v>
          </cell>
        </row>
      </sheetData>
      <sheetData sheetId="3825">
        <row r="2">
          <cell r="A2" t="str">
            <v>Complete</v>
          </cell>
        </row>
      </sheetData>
      <sheetData sheetId="3826">
        <row r="2">
          <cell r="A2" t="str">
            <v>Complete</v>
          </cell>
        </row>
      </sheetData>
      <sheetData sheetId="3827">
        <row r="2">
          <cell r="A2" t="str">
            <v>Complete</v>
          </cell>
        </row>
      </sheetData>
      <sheetData sheetId="3828">
        <row r="2">
          <cell r="A2" t="str">
            <v>Complete</v>
          </cell>
        </row>
      </sheetData>
      <sheetData sheetId="3829">
        <row r="2">
          <cell r="A2" t="str">
            <v>Complete</v>
          </cell>
        </row>
      </sheetData>
      <sheetData sheetId="3830">
        <row r="2">
          <cell r="A2" t="str">
            <v>Complete</v>
          </cell>
        </row>
      </sheetData>
      <sheetData sheetId="3831">
        <row r="2">
          <cell r="A2" t="str">
            <v>Complete</v>
          </cell>
        </row>
      </sheetData>
      <sheetData sheetId="3832">
        <row r="2">
          <cell r="A2" t="str">
            <v>Complete</v>
          </cell>
        </row>
      </sheetData>
      <sheetData sheetId="3833">
        <row r="2">
          <cell r="A2" t="str">
            <v>Complete</v>
          </cell>
        </row>
      </sheetData>
      <sheetData sheetId="3834">
        <row r="2">
          <cell r="A2" t="str">
            <v>Complete</v>
          </cell>
        </row>
      </sheetData>
      <sheetData sheetId="3835">
        <row r="2">
          <cell r="A2" t="str">
            <v>Complete</v>
          </cell>
        </row>
      </sheetData>
      <sheetData sheetId="3836">
        <row r="2">
          <cell r="A2" t="str">
            <v>Complete</v>
          </cell>
        </row>
      </sheetData>
      <sheetData sheetId="3837">
        <row r="2">
          <cell r="A2" t="str">
            <v>Complete</v>
          </cell>
        </row>
      </sheetData>
      <sheetData sheetId="3838">
        <row r="2">
          <cell r="A2" t="str">
            <v>Complete</v>
          </cell>
        </row>
      </sheetData>
      <sheetData sheetId="3839">
        <row r="2">
          <cell r="A2" t="str">
            <v>Complete</v>
          </cell>
        </row>
      </sheetData>
      <sheetData sheetId="3840">
        <row r="2">
          <cell r="A2" t="str">
            <v>Complete</v>
          </cell>
        </row>
      </sheetData>
      <sheetData sheetId="3841">
        <row r="2">
          <cell r="A2" t="str">
            <v>Complete</v>
          </cell>
        </row>
      </sheetData>
      <sheetData sheetId="3842">
        <row r="2">
          <cell r="A2" t="str">
            <v>Complete</v>
          </cell>
        </row>
      </sheetData>
      <sheetData sheetId="3843">
        <row r="2">
          <cell r="A2" t="str">
            <v>Complete</v>
          </cell>
        </row>
      </sheetData>
      <sheetData sheetId="3844">
        <row r="2">
          <cell r="A2" t="str">
            <v>Complete</v>
          </cell>
        </row>
      </sheetData>
      <sheetData sheetId="3845">
        <row r="2">
          <cell r="A2" t="str">
            <v>Complete</v>
          </cell>
        </row>
      </sheetData>
      <sheetData sheetId="3846">
        <row r="2">
          <cell r="A2" t="str">
            <v>Complete</v>
          </cell>
        </row>
      </sheetData>
      <sheetData sheetId="3847">
        <row r="2">
          <cell r="A2" t="str">
            <v>Complete</v>
          </cell>
        </row>
      </sheetData>
      <sheetData sheetId="3848">
        <row r="2">
          <cell r="A2" t="str">
            <v>Complete</v>
          </cell>
        </row>
      </sheetData>
      <sheetData sheetId="3849">
        <row r="2">
          <cell r="A2" t="str">
            <v>Complete</v>
          </cell>
        </row>
      </sheetData>
      <sheetData sheetId="3850">
        <row r="2">
          <cell r="A2" t="str">
            <v>Complete</v>
          </cell>
        </row>
      </sheetData>
      <sheetData sheetId="3851">
        <row r="2">
          <cell r="A2" t="str">
            <v>Complete</v>
          </cell>
        </row>
      </sheetData>
      <sheetData sheetId="3852">
        <row r="2">
          <cell r="A2" t="str">
            <v>Complete</v>
          </cell>
        </row>
      </sheetData>
      <sheetData sheetId="3853">
        <row r="2">
          <cell r="A2" t="str">
            <v>Complete</v>
          </cell>
        </row>
      </sheetData>
      <sheetData sheetId="3854">
        <row r="2">
          <cell r="A2" t="str">
            <v>Complete</v>
          </cell>
        </row>
      </sheetData>
      <sheetData sheetId="3855">
        <row r="2">
          <cell r="A2" t="str">
            <v>Complete</v>
          </cell>
        </row>
      </sheetData>
      <sheetData sheetId="3856">
        <row r="2">
          <cell r="A2" t="str">
            <v>Complete</v>
          </cell>
        </row>
      </sheetData>
      <sheetData sheetId="3857">
        <row r="2">
          <cell r="A2" t="str">
            <v>Complete</v>
          </cell>
        </row>
      </sheetData>
      <sheetData sheetId="3858">
        <row r="2">
          <cell r="A2" t="str">
            <v>Complete</v>
          </cell>
        </row>
      </sheetData>
      <sheetData sheetId="3859">
        <row r="2">
          <cell r="A2" t="str">
            <v>Complete</v>
          </cell>
        </row>
      </sheetData>
      <sheetData sheetId="3860">
        <row r="2">
          <cell r="A2" t="str">
            <v>Complete</v>
          </cell>
        </row>
      </sheetData>
      <sheetData sheetId="3861">
        <row r="2">
          <cell r="A2" t="str">
            <v>Complete</v>
          </cell>
        </row>
      </sheetData>
      <sheetData sheetId="3862">
        <row r="2">
          <cell r="A2" t="str">
            <v>Complete</v>
          </cell>
        </row>
      </sheetData>
      <sheetData sheetId="3863">
        <row r="2">
          <cell r="A2" t="str">
            <v>Complete</v>
          </cell>
        </row>
      </sheetData>
      <sheetData sheetId="3864">
        <row r="2">
          <cell r="A2" t="str">
            <v>Complete</v>
          </cell>
        </row>
      </sheetData>
      <sheetData sheetId="3865">
        <row r="2">
          <cell r="A2" t="str">
            <v>Complete</v>
          </cell>
        </row>
      </sheetData>
      <sheetData sheetId="3866">
        <row r="2">
          <cell r="A2" t="str">
            <v>Complete</v>
          </cell>
        </row>
      </sheetData>
      <sheetData sheetId="3867">
        <row r="2">
          <cell r="A2" t="str">
            <v>Complete</v>
          </cell>
        </row>
      </sheetData>
      <sheetData sheetId="3868">
        <row r="2">
          <cell r="A2" t="str">
            <v>Complete</v>
          </cell>
        </row>
      </sheetData>
      <sheetData sheetId="3869">
        <row r="2">
          <cell r="A2" t="str">
            <v>Complete</v>
          </cell>
        </row>
      </sheetData>
      <sheetData sheetId="3870">
        <row r="2">
          <cell r="A2" t="str">
            <v>Complete</v>
          </cell>
        </row>
      </sheetData>
      <sheetData sheetId="3871">
        <row r="2">
          <cell r="A2" t="str">
            <v>Complete</v>
          </cell>
        </row>
      </sheetData>
      <sheetData sheetId="3872">
        <row r="2">
          <cell r="A2" t="str">
            <v>Complete</v>
          </cell>
        </row>
      </sheetData>
      <sheetData sheetId="3873">
        <row r="2">
          <cell r="A2" t="str">
            <v>Complete</v>
          </cell>
        </row>
      </sheetData>
      <sheetData sheetId="3874">
        <row r="2">
          <cell r="A2" t="str">
            <v>Complete</v>
          </cell>
        </row>
      </sheetData>
      <sheetData sheetId="3875">
        <row r="2">
          <cell r="A2" t="str">
            <v>Complete</v>
          </cell>
        </row>
      </sheetData>
      <sheetData sheetId="3876">
        <row r="2">
          <cell r="A2" t="str">
            <v>Complete</v>
          </cell>
        </row>
      </sheetData>
      <sheetData sheetId="3877">
        <row r="2">
          <cell r="A2" t="str">
            <v>Complete</v>
          </cell>
        </row>
      </sheetData>
      <sheetData sheetId="3878">
        <row r="2">
          <cell r="A2" t="str">
            <v>Complete</v>
          </cell>
        </row>
      </sheetData>
      <sheetData sheetId="3879">
        <row r="2">
          <cell r="A2" t="str">
            <v>Complete</v>
          </cell>
        </row>
      </sheetData>
      <sheetData sheetId="3880">
        <row r="2">
          <cell r="A2" t="str">
            <v>Complete</v>
          </cell>
        </row>
      </sheetData>
      <sheetData sheetId="3881">
        <row r="2">
          <cell r="A2" t="str">
            <v>Complete</v>
          </cell>
        </row>
      </sheetData>
      <sheetData sheetId="3882">
        <row r="2">
          <cell r="A2" t="str">
            <v>Complete</v>
          </cell>
        </row>
      </sheetData>
      <sheetData sheetId="3883">
        <row r="2">
          <cell r="A2" t="str">
            <v>Complete</v>
          </cell>
        </row>
      </sheetData>
      <sheetData sheetId="3884">
        <row r="2">
          <cell r="A2" t="str">
            <v>Complete</v>
          </cell>
        </row>
      </sheetData>
      <sheetData sheetId="3885">
        <row r="2">
          <cell r="A2" t="str">
            <v>Complete</v>
          </cell>
        </row>
      </sheetData>
      <sheetData sheetId="3886">
        <row r="2">
          <cell r="A2" t="str">
            <v>Complete</v>
          </cell>
        </row>
      </sheetData>
      <sheetData sheetId="3887">
        <row r="2">
          <cell r="A2" t="str">
            <v>Complete</v>
          </cell>
        </row>
      </sheetData>
      <sheetData sheetId="3888">
        <row r="2">
          <cell r="A2" t="str">
            <v>Complete</v>
          </cell>
        </row>
      </sheetData>
      <sheetData sheetId="3889">
        <row r="2">
          <cell r="A2" t="str">
            <v>Complete</v>
          </cell>
        </row>
      </sheetData>
      <sheetData sheetId="3890">
        <row r="2">
          <cell r="A2" t="str">
            <v>Complete</v>
          </cell>
        </row>
      </sheetData>
      <sheetData sheetId="3891">
        <row r="2">
          <cell r="A2" t="str">
            <v>Complete</v>
          </cell>
        </row>
      </sheetData>
      <sheetData sheetId="3892">
        <row r="2">
          <cell r="A2" t="str">
            <v>Complete</v>
          </cell>
        </row>
      </sheetData>
      <sheetData sheetId="3893">
        <row r="2">
          <cell r="A2" t="str">
            <v>Complete</v>
          </cell>
        </row>
      </sheetData>
      <sheetData sheetId="3894">
        <row r="2">
          <cell r="A2" t="str">
            <v>Complete</v>
          </cell>
        </row>
      </sheetData>
      <sheetData sheetId="3895">
        <row r="2">
          <cell r="A2" t="str">
            <v>Complete</v>
          </cell>
        </row>
      </sheetData>
      <sheetData sheetId="3896">
        <row r="2">
          <cell r="A2" t="str">
            <v>Complete</v>
          </cell>
        </row>
      </sheetData>
      <sheetData sheetId="3897">
        <row r="2">
          <cell r="A2" t="str">
            <v>Complete</v>
          </cell>
        </row>
      </sheetData>
      <sheetData sheetId="3898">
        <row r="2">
          <cell r="A2" t="str">
            <v>Complete</v>
          </cell>
        </row>
      </sheetData>
      <sheetData sheetId="3899">
        <row r="2">
          <cell r="A2" t="str">
            <v>Complete</v>
          </cell>
        </row>
      </sheetData>
      <sheetData sheetId="3900">
        <row r="2">
          <cell r="A2" t="str">
            <v>Complete</v>
          </cell>
        </row>
      </sheetData>
      <sheetData sheetId="3901">
        <row r="2">
          <cell r="A2" t="str">
            <v>Complete</v>
          </cell>
        </row>
      </sheetData>
      <sheetData sheetId="3902">
        <row r="2">
          <cell r="A2" t="str">
            <v>Complete</v>
          </cell>
        </row>
      </sheetData>
      <sheetData sheetId="3903">
        <row r="2">
          <cell r="A2" t="str">
            <v>Complete</v>
          </cell>
        </row>
      </sheetData>
      <sheetData sheetId="3904">
        <row r="2">
          <cell r="A2" t="str">
            <v>Complete</v>
          </cell>
        </row>
      </sheetData>
      <sheetData sheetId="3905">
        <row r="2">
          <cell r="A2" t="str">
            <v>Complete</v>
          </cell>
        </row>
      </sheetData>
      <sheetData sheetId="3906">
        <row r="2">
          <cell r="A2" t="str">
            <v>Complete</v>
          </cell>
        </row>
      </sheetData>
      <sheetData sheetId="3907">
        <row r="2">
          <cell r="A2" t="str">
            <v>Complete</v>
          </cell>
        </row>
      </sheetData>
      <sheetData sheetId="3908">
        <row r="2">
          <cell r="A2" t="str">
            <v>Complete</v>
          </cell>
        </row>
      </sheetData>
      <sheetData sheetId="3909">
        <row r="2">
          <cell r="A2" t="str">
            <v>Complete</v>
          </cell>
        </row>
      </sheetData>
      <sheetData sheetId="3910">
        <row r="2">
          <cell r="A2" t="str">
            <v>Complete</v>
          </cell>
        </row>
      </sheetData>
      <sheetData sheetId="3911">
        <row r="2">
          <cell r="A2" t="str">
            <v>Complete</v>
          </cell>
        </row>
      </sheetData>
      <sheetData sheetId="3912">
        <row r="2">
          <cell r="A2" t="str">
            <v>Complete</v>
          </cell>
        </row>
      </sheetData>
      <sheetData sheetId="3913">
        <row r="2">
          <cell r="A2" t="str">
            <v>Complete</v>
          </cell>
        </row>
      </sheetData>
      <sheetData sheetId="3914">
        <row r="2">
          <cell r="A2" t="str">
            <v>Complete</v>
          </cell>
        </row>
      </sheetData>
      <sheetData sheetId="3915">
        <row r="2">
          <cell r="A2" t="str">
            <v>Complete</v>
          </cell>
        </row>
      </sheetData>
      <sheetData sheetId="3916">
        <row r="2">
          <cell r="A2" t="str">
            <v>Complete</v>
          </cell>
        </row>
      </sheetData>
      <sheetData sheetId="3917">
        <row r="2">
          <cell r="A2" t="str">
            <v>Complete</v>
          </cell>
        </row>
      </sheetData>
      <sheetData sheetId="3918">
        <row r="2">
          <cell r="A2" t="str">
            <v>Complete</v>
          </cell>
        </row>
      </sheetData>
      <sheetData sheetId="3919">
        <row r="2">
          <cell r="A2" t="str">
            <v>Complete</v>
          </cell>
        </row>
      </sheetData>
      <sheetData sheetId="3920">
        <row r="2">
          <cell r="A2" t="str">
            <v>Complete</v>
          </cell>
        </row>
      </sheetData>
      <sheetData sheetId="3921">
        <row r="2">
          <cell r="A2" t="str">
            <v>Complete</v>
          </cell>
        </row>
      </sheetData>
      <sheetData sheetId="3922">
        <row r="2">
          <cell r="A2" t="str">
            <v>Complete</v>
          </cell>
        </row>
      </sheetData>
      <sheetData sheetId="3923">
        <row r="2">
          <cell r="A2" t="str">
            <v>Complete</v>
          </cell>
        </row>
      </sheetData>
      <sheetData sheetId="3924">
        <row r="2">
          <cell r="A2" t="str">
            <v>Complete</v>
          </cell>
        </row>
      </sheetData>
      <sheetData sheetId="3925">
        <row r="2">
          <cell r="A2" t="str">
            <v>Complete</v>
          </cell>
        </row>
      </sheetData>
      <sheetData sheetId="3926">
        <row r="2">
          <cell r="A2" t="str">
            <v>Complete</v>
          </cell>
        </row>
      </sheetData>
      <sheetData sheetId="3927">
        <row r="2">
          <cell r="A2" t="str">
            <v>Complete</v>
          </cell>
        </row>
      </sheetData>
      <sheetData sheetId="3928">
        <row r="2">
          <cell r="A2" t="str">
            <v>Complete</v>
          </cell>
        </row>
      </sheetData>
      <sheetData sheetId="3929">
        <row r="2">
          <cell r="A2" t="str">
            <v>Complete</v>
          </cell>
        </row>
      </sheetData>
      <sheetData sheetId="3930">
        <row r="2">
          <cell r="A2" t="str">
            <v>Complete</v>
          </cell>
        </row>
      </sheetData>
      <sheetData sheetId="3931">
        <row r="2">
          <cell r="A2" t="str">
            <v>Complete</v>
          </cell>
        </row>
      </sheetData>
      <sheetData sheetId="3932">
        <row r="2">
          <cell r="A2" t="str">
            <v>Complete</v>
          </cell>
        </row>
      </sheetData>
      <sheetData sheetId="3933">
        <row r="2">
          <cell r="A2" t="str">
            <v>Complete</v>
          </cell>
        </row>
      </sheetData>
      <sheetData sheetId="3934">
        <row r="2">
          <cell r="A2" t="str">
            <v>Complete</v>
          </cell>
        </row>
      </sheetData>
      <sheetData sheetId="3935">
        <row r="2">
          <cell r="A2" t="str">
            <v>Complete</v>
          </cell>
        </row>
      </sheetData>
      <sheetData sheetId="3936">
        <row r="2">
          <cell r="A2" t="str">
            <v>Complete</v>
          </cell>
        </row>
      </sheetData>
      <sheetData sheetId="3937">
        <row r="2">
          <cell r="A2" t="str">
            <v>Complete</v>
          </cell>
        </row>
      </sheetData>
      <sheetData sheetId="3938">
        <row r="2">
          <cell r="A2" t="str">
            <v>Complete</v>
          </cell>
        </row>
      </sheetData>
      <sheetData sheetId="3939">
        <row r="2">
          <cell r="A2" t="str">
            <v>Complete</v>
          </cell>
        </row>
      </sheetData>
      <sheetData sheetId="3940">
        <row r="2">
          <cell r="A2" t="str">
            <v>Complete</v>
          </cell>
        </row>
      </sheetData>
      <sheetData sheetId="3941">
        <row r="2">
          <cell r="A2" t="str">
            <v>Complete</v>
          </cell>
        </row>
      </sheetData>
      <sheetData sheetId="3942">
        <row r="2">
          <cell r="A2" t="str">
            <v>Complete</v>
          </cell>
        </row>
      </sheetData>
      <sheetData sheetId="3943">
        <row r="2">
          <cell r="A2" t="str">
            <v>Complete</v>
          </cell>
        </row>
      </sheetData>
      <sheetData sheetId="3944">
        <row r="2">
          <cell r="A2" t="str">
            <v>Complete</v>
          </cell>
        </row>
      </sheetData>
      <sheetData sheetId="3945">
        <row r="2">
          <cell r="A2" t="str">
            <v>Complete</v>
          </cell>
        </row>
      </sheetData>
      <sheetData sheetId="3946">
        <row r="2">
          <cell r="A2" t="str">
            <v>Complete</v>
          </cell>
        </row>
      </sheetData>
      <sheetData sheetId="3947">
        <row r="2">
          <cell r="A2" t="str">
            <v>Complete</v>
          </cell>
        </row>
      </sheetData>
      <sheetData sheetId="3948">
        <row r="2">
          <cell r="A2" t="str">
            <v>Complete</v>
          </cell>
        </row>
      </sheetData>
      <sheetData sheetId="3949">
        <row r="2">
          <cell r="A2" t="str">
            <v>Complete</v>
          </cell>
        </row>
      </sheetData>
      <sheetData sheetId="3950">
        <row r="2">
          <cell r="A2" t="str">
            <v>Complete</v>
          </cell>
        </row>
      </sheetData>
      <sheetData sheetId="3951">
        <row r="2">
          <cell r="A2" t="str">
            <v>Complete</v>
          </cell>
        </row>
      </sheetData>
      <sheetData sheetId="3952">
        <row r="2">
          <cell r="A2" t="str">
            <v>Complete</v>
          </cell>
        </row>
      </sheetData>
      <sheetData sheetId="3953">
        <row r="2">
          <cell r="A2" t="str">
            <v>Complete</v>
          </cell>
        </row>
      </sheetData>
      <sheetData sheetId="3954">
        <row r="2">
          <cell r="A2" t="str">
            <v>Complete</v>
          </cell>
        </row>
      </sheetData>
      <sheetData sheetId="3955">
        <row r="2">
          <cell r="A2" t="str">
            <v>Complete</v>
          </cell>
        </row>
      </sheetData>
      <sheetData sheetId="3956">
        <row r="2">
          <cell r="A2" t="str">
            <v>Complete</v>
          </cell>
        </row>
      </sheetData>
      <sheetData sheetId="3957">
        <row r="2">
          <cell r="A2" t="str">
            <v>Complete</v>
          </cell>
        </row>
      </sheetData>
      <sheetData sheetId="3958">
        <row r="2">
          <cell r="A2" t="str">
            <v>Complete</v>
          </cell>
        </row>
      </sheetData>
      <sheetData sheetId="3959">
        <row r="2">
          <cell r="A2" t="str">
            <v>Complete</v>
          </cell>
        </row>
      </sheetData>
      <sheetData sheetId="3960">
        <row r="2">
          <cell r="A2" t="str">
            <v>Complete</v>
          </cell>
        </row>
      </sheetData>
      <sheetData sheetId="3961">
        <row r="2">
          <cell r="A2" t="str">
            <v>Complete</v>
          </cell>
        </row>
      </sheetData>
      <sheetData sheetId="3962">
        <row r="2">
          <cell r="A2" t="str">
            <v>Complete</v>
          </cell>
        </row>
      </sheetData>
      <sheetData sheetId="3963">
        <row r="2">
          <cell r="A2" t="str">
            <v>Complete</v>
          </cell>
        </row>
      </sheetData>
      <sheetData sheetId="3964">
        <row r="2">
          <cell r="A2" t="str">
            <v>Complete</v>
          </cell>
        </row>
      </sheetData>
      <sheetData sheetId="3965">
        <row r="2">
          <cell r="A2" t="str">
            <v>Complete</v>
          </cell>
        </row>
      </sheetData>
      <sheetData sheetId="3966">
        <row r="2">
          <cell r="A2" t="str">
            <v>Complete</v>
          </cell>
        </row>
      </sheetData>
      <sheetData sheetId="3967">
        <row r="2">
          <cell r="A2" t="str">
            <v>Complete</v>
          </cell>
        </row>
      </sheetData>
      <sheetData sheetId="3968">
        <row r="2">
          <cell r="A2" t="str">
            <v>Complete</v>
          </cell>
        </row>
      </sheetData>
      <sheetData sheetId="3969">
        <row r="2">
          <cell r="A2" t="str">
            <v>Complete</v>
          </cell>
        </row>
      </sheetData>
      <sheetData sheetId="3970">
        <row r="2">
          <cell r="A2" t="str">
            <v>Complete</v>
          </cell>
        </row>
      </sheetData>
      <sheetData sheetId="3971">
        <row r="2">
          <cell r="A2" t="str">
            <v>Complete</v>
          </cell>
        </row>
      </sheetData>
      <sheetData sheetId="3972">
        <row r="2">
          <cell r="A2" t="str">
            <v>Complete</v>
          </cell>
        </row>
      </sheetData>
      <sheetData sheetId="3973">
        <row r="2">
          <cell r="A2" t="str">
            <v>Complete</v>
          </cell>
        </row>
      </sheetData>
      <sheetData sheetId="3974">
        <row r="2">
          <cell r="A2" t="str">
            <v>Complete</v>
          </cell>
        </row>
      </sheetData>
      <sheetData sheetId="3975">
        <row r="2">
          <cell r="A2" t="str">
            <v>Complete</v>
          </cell>
        </row>
      </sheetData>
      <sheetData sheetId="3976">
        <row r="2">
          <cell r="A2" t="str">
            <v>Complete</v>
          </cell>
        </row>
      </sheetData>
      <sheetData sheetId="3977">
        <row r="2">
          <cell r="A2" t="str">
            <v>Complete</v>
          </cell>
        </row>
      </sheetData>
      <sheetData sheetId="3978">
        <row r="2">
          <cell r="A2" t="str">
            <v>Complete</v>
          </cell>
        </row>
      </sheetData>
      <sheetData sheetId="3979">
        <row r="2">
          <cell r="A2" t="str">
            <v>Complete</v>
          </cell>
        </row>
      </sheetData>
      <sheetData sheetId="3980">
        <row r="2">
          <cell r="A2" t="str">
            <v>Complete</v>
          </cell>
        </row>
      </sheetData>
      <sheetData sheetId="3981">
        <row r="2">
          <cell r="A2" t="str">
            <v>Complete</v>
          </cell>
        </row>
      </sheetData>
      <sheetData sheetId="3982">
        <row r="2">
          <cell r="A2" t="str">
            <v>Complete</v>
          </cell>
        </row>
      </sheetData>
      <sheetData sheetId="3983">
        <row r="2">
          <cell r="A2" t="str">
            <v>Complete</v>
          </cell>
        </row>
      </sheetData>
      <sheetData sheetId="3984">
        <row r="2">
          <cell r="A2" t="str">
            <v>Complete</v>
          </cell>
        </row>
      </sheetData>
      <sheetData sheetId="3985">
        <row r="2">
          <cell r="A2" t="str">
            <v>Complete</v>
          </cell>
        </row>
      </sheetData>
      <sheetData sheetId="3986">
        <row r="2">
          <cell r="A2" t="str">
            <v>Complete</v>
          </cell>
        </row>
      </sheetData>
      <sheetData sheetId="3987">
        <row r="2">
          <cell r="A2" t="str">
            <v>Complete</v>
          </cell>
        </row>
      </sheetData>
      <sheetData sheetId="3988">
        <row r="2">
          <cell r="A2" t="str">
            <v>Complete</v>
          </cell>
        </row>
      </sheetData>
      <sheetData sheetId="3989">
        <row r="2">
          <cell r="A2" t="str">
            <v>Complete</v>
          </cell>
        </row>
      </sheetData>
      <sheetData sheetId="3990">
        <row r="2">
          <cell r="A2" t="str">
            <v>Complete</v>
          </cell>
        </row>
      </sheetData>
      <sheetData sheetId="3991">
        <row r="2">
          <cell r="A2" t="str">
            <v>Complete</v>
          </cell>
        </row>
      </sheetData>
      <sheetData sheetId="3992">
        <row r="2">
          <cell r="A2" t="str">
            <v>Complete</v>
          </cell>
        </row>
      </sheetData>
      <sheetData sheetId="3993">
        <row r="2">
          <cell r="A2" t="str">
            <v>Complete</v>
          </cell>
        </row>
      </sheetData>
      <sheetData sheetId="3994">
        <row r="2">
          <cell r="A2" t="str">
            <v>Complete</v>
          </cell>
        </row>
      </sheetData>
      <sheetData sheetId="3995">
        <row r="2">
          <cell r="A2" t="str">
            <v>Complete</v>
          </cell>
        </row>
      </sheetData>
      <sheetData sheetId="3996">
        <row r="2">
          <cell r="A2" t="str">
            <v>Complete</v>
          </cell>
        </row>
      </sheetData>
      <sheetData sheetId="3997">
        <row r="2">
          <cell r="A2" t="str">
            <v>Complete</v>
          </cell>
        </row>
      </sheetData>
      <sheetData sheetId="3998">
        <row r="2">
          <cell r="A2" t="str">
            <v>Complete</v>
          </cell>
        </row>
      </sheetData>
      <sheetData sheetId="3999">
        <row r="2">
          <cell r="A2" t="str">
            <v>Complete</v>
          </cell>
        </row>
      </sheetData>
      <sheetData sheetId="4000">
        <row r="2">
          <cell r="A2" t="str">
            <v>Complete</v>
          </cell>
        </row>
      </sheetData>
      <sheetData sheetId="4001">
        <row r="2">
          <cell r="A2" t="str">
            <v>Complete</v>
          </cell>
        </row>
      </sheetData>
      <sheetData sheetId="4002">
        <row r="2">
          <cell r="A2" t="str">
            <v>Complete</v>
          </cell>
        </row>
      </sheetData>
      <sheetData sheetId="4003">
        <row r="2">
          <cell r="A2" t="str">
            <v>Complete</v>
          </cell>
        </row>
      </sheetData>
      <sheetData sheetId="4004">
        <row r="2">
          <cell r="A2" t="str">
            <v>Complete</v>
          </cell>
        </row>
      </sheetData>
      <sheetData sheetId="4005">
        <row r="2">
          <cell r="A2" t="str">
            <v>Complete</v>
          </cell>
        </row>
      </sheetData>
      <sheetData sheetId="4006">
        <row r="2">
          <cell r="A2" t="str">
            <v>Complete</v>
          </cell>
        </row>
      </sheetData>
      <sheetData sheetId="4007">
        <row r="2">
          <cell r="A2" t="str">
            <v>Complete</v>
          </cell>
        </row>
      </sheetData>
      <sheetData sheetId="4008">
        <row r="2">
          <cell r="A2" t="str">
            <v>Complete</v>
          </cell>
        </row>
      </sheetData>
      <sheetData sheetId="4009">
        <row r="2">
          <cell r="A2" t="str">
            <v>Complete</v>
          </cell>
        </row>
      </sheetData>
      <sheetData sheetId="4010">
        <row r="2">
          <cell r="A2" t="str">
            <v>Complete</v>
          </cell>
        </row>
      </sheetData>
      <sheetData sheetId="4011">
        <row r="2">
          <cell r="A2" t="str">
            <v>Complete</v>
          </cell>
        </row>
      </sheetData>
      <sheetData sheetId="4012">
        <row r="2">
          <cell r="A2" t="str">
            <v>Complete</v>
          </cell>
        </row>
      </sheetData>
      <sheetData sheetId="4013">
        <row r="2">
          <cell r="A2" t="str">
            <v>Complete</v>
          </cell>
        </row>
      </sheetData>
      <sheetData sheetId="4014">
        <row r="2">
          <cell r="A2" t="str">
            <v>Complete</v>
          </cell>
        </row>
      </sheetData>
      <sheetData sheetId="4015">
        <row r="2">
          <cell r="A2" t="str">
            <v>Complete</v>
          </cell>
        </row>
      </sheetData>
      <sheetData sheetId="4016">
        <row r="2">
          <cell r="A2" t="str">
            <v>Complete</v>
          </cell>
        </row>
      </sheetData>
      <sheetData sheetId="4017">
        <row r="2">
          <cell r="A2" t="str">
            <v>Complete</v>
          </cell>
        </row>
      </sheetData>
      <sheetData sheetId="4018">
        <row r="2">
          <cell r="A2" t="str">
            <v>Complete</v>
          </cell>
        </row>
      </sheetData>
      <sheetData sheetId="4019">
        <row r="2">
          <cell r="A2" t="str">
            <v>Complete</v>
          </cell>
        </row>
      </sheetData>
      <sheetData sheetId="4020">
        <row r="2">
          <cell r="A2" t="str">
            <v>Complete</v>
          </cell>
        </row>
      </sheetData>
      <sheetData sheetId="4021">
        <row r="2">
          <cell r="A2" t="str">
            <v>Complete</v>
          </cell>
        </row>
      </sheetData>
      <sheetData sheetId="4022">
        <row r="2">
          <cell r="A2" t="str">
            <v>Complete</v>
          </cell>
        </row>
      </sheetData>
      <sheetData sheetId="4023">
        <row r="2">
          <cell r="A2" t="str">
            <v>Complete</v>
          </cell>
        </row>
      </sheetData>
      <sheetData sheetId="4024">
        <row r="2">
          <cell r="A2" t="str">
            <v>Complete</v>
          </cell>
        </row>
      </sheetData>
      <sheetData sheetId="4025">
        <row r="2">
          <cell r="A2" t="str">
            <v>Complete</v>
          </cell>
        </row>
      </sheetData>
      <sheetData sheetId="4026">
        <row r="2">
          <cell r="A2" t="str">
            <v>Complete</v>
          </cell>
        </row>
      </sheetData>
      <sheetData sheetId="4027">
        <row r="2">
          <cell r="A2" t="str">
            <v>Complete</v>
          </cell>
        </row>
      </sheetData>
      <sheetData sheetId="4028">
        <row r="2">
          <cell r="A2" t="str">
            <v>Complete</v>
          </cell>
        </row>
      </sheetData>
      <sheetData sheetId="4029">
        <row r="2">
          <cell r="A2" t="str">
            <v>Complete</v>
          </cell>
        </row>
      </sheetData>
      <sheetData sheetId="4030">
        <row r="2">
          <cell r="A2" t="str">
            <v>Complete</v>
          </cell>
        </row>
      </sheetData>
      <sheetData sheetId="4031">
        <row r="2">
          <cell r="A2" t="str">
            <v>Complete</v>
          </cell>
        </row>
      </sheetData>
      <sheetData sheetId="4032">
        <row r="2">
          <cell r="A2" t="str">
            <v>Complete</v>
          </cell>
        </row>
      </sheetData>
      <sheetData sheetId="4033">
        <row r="2">
          <cell r="A2" t="str">
            <v>Complete</v>
          </cell>
        </row>
      </sheetData>
      <sheetData sheetId="4034">
        <row r="2">
          <cell r="A2" t="str">
            <v>Complete</v>
          </cell>
        </row>
      </sheetData>
      <sheetData sheetId="4035">
        <row r="2">
          <cell r="A2" t="str">
            <v>Complete</v>
          </cell>
        </row>
      </sheetData>
      <sheetData sheetId="4036">
        <row r="2">
          <cell r="A2" t="str">
            <v>Complete</v>
          </cell>
        </row>
      </sheetData>
      <sheetData sheetId="4037">
        <row r="2">
          <cell r="A2" t="str">
            <v>Complete</v>
          </cell>
        </row>
      </sheetData>
      <sheetData sheetId="4038">
        <row r="2">
          <cell r="A2" t="str">
            <v>Complete</v>
          </cell>
        </row>
      </sheetData>
      <sheetData sheetId="4039">
        <row r="2">
          <cell r="A2" t="str">
            <v>Complete</v>
          </cell>
        </row>
      </sheetData>
      <sheetData sheetId="4040">
        <row r="2">
          <cell r="A2" t="str">
            <v>Complete</v>
          </cell>
        </row>
      </sheetData>
      <sheetData sheetId="4041">
        <row r="2">
          <cell r="A2" t="str">
            <v>Complete</v>
          </cell>
        </row>
      </sheetData>
      <sheetData sheetId="4042">
        <row r="2">
          <cell r="A2" t="str">
            <v>Complete</v>
          </cell>
        </row>
      </sheetData>
      <sheetData sheetId="4043">
        <row r="2">
          <cell r="A2" t="str">
            <v>Complete</v>
          </cell>
        </row>
      </sheetData>
      <sheetData sheetId="4044">
        <row r="2">
          <cell r="A2" t="str">
            <v>Complete</v>
          </cell>
        </row>
      </sheetData>
      <sheetData sheetId="4045">
        <row r="2">
          <cell r="A2" t="str">
            <v>Complete</v>
          </cell>
        </row>
      </sheetData>
      <sheetData sheetId="4046">
        <row r="2">
          <cell r="A2" t="str">
            <v>Complete</v>
          </cell>
        </row>
      </sheetData>
      <sheetData sheetId="4047">
        <row r="2">
          <cell r="A2" t="str">
            <v>Complete</v>
          </cell>
        </row>
      </sheetData>
      <sheetData sheetId="4048">
        <row r="2">
          <cell r="A2" t="str">
            <v>Complete</v>
          </cell>
        </row>
      </sheetData>
      <sheetData sheetId="4049">
        <row r="2">
          <cell r="A2" t="str">
            <v>Complete</v>
          </cell>
        </row>
      </sheetData>
      <sheetData sheetId="4050">
        <row r="2">
          <cell r="A2" t="str">
            <v>Complete</v>
          </cell>
        </row>
      </sheetData>
      <sheetData sheetId="4051">
        <row r="2">
          <cell r="A2" t="str">
            <v>Complete</v>
          </cell>
        </row>
      </sheetData>
      <sheetData sheetId="4052">
        <row r="2">
          <cell r="A2" t="str">
            <v>Complete</v>
          </cell>
        </row>
      </sheetData>
      <sheetData sheetId="4053">
        <row r="2">
          <cell r="A2" t="str">
            <v>Complete</v>
          </cell>
        </row>
      </sheetData>
      <sheetData sheetId="4054">
        <row r="2">
          <cell r="A2" t="str">
            <v>Complete</v>
          </cell>
        </row>
      </sheetData>
      <sheetData sheetId="4055">
        <row r="2">
          <cell r="A2" t="str">
            <v>Complete</v>
          </cell>
        </row>
      </sheetData>
      <sheetData sheetId="4056">
        <row r="2">
          <cell r="A2" t="str">
            <v>Complete</v>
          </cell>
        </row>
      </sheetData>
      <sheetData sheetId="4057">
        <row r="2">
          <cell r="A2" t="str">
            <v>Complete</v>
          </cell>
        </row>
      </sheetData>
      <sheetData sheetId="4058">
        <row r="2">
          <cell r="A2" t="str">
            <v>Complete</v>
          </cell>
        </row>
      </sheetData>
      <sheetData sheetId="4059">
        <row r="2">
          <cell r="A2" t="str">
            <v>Complete</v>
          </cell>
        </row>
      </sheetData>
      <sheetData sheetId="4060">
        <row r="2">
          <cell r="A2" t="str">
            <v>Complete</v>
          </cell>
        </row>
      </sheetData>
      <sheetData sheetId="4061">
        <row r="2">
          <cell r="A2" t="str">
            <v>Complete</v>
          </cell>
        </row>
      </sheetData>
      <sheetData sheetId="4062">
        <row r="2">
          <cell r="A2" t="str">
            <v>Complete</v>
          </cell>
        </row>
      </sheetData>
      <sheetData sheetId="4063">
        <row r="2">
          <cell r="A2" t="str">
            <v>Complete</v>
          </cell>
        </row>
      </sheetData>
      <sheetData sheetId="4064">
        <row r="2">
          <cell r="A2" t="str">
            <v>Complete</v>
          </cell>
        </row>
      </sheetData>
      <sheetData sheetId="4065">
        <row r="2">
          <cell r="A2" t="str">
            <v>Complete</v>
          </cell>
        </row>
      </sheetData>
      <sheetData sheetId="4066">
        <row r="2">
          <cell r="A2" t="str">
            <v>Complete</v>
          </cell>
        </row>
      </sheetData>
      <sheetData sheetId="4067">
        <row r="2">
          <cell r="A2" t="str">
            <v>Complete</v>
          </cell>
        </row>
      </sheetData>
      <sheetData sheetId="4068">
        <row r="2">
          <cell r="A2" t="str">
            <v>Complete</v>
          </cell>
        </row>
      </sheetData>
      <sheetData sheetId="4069">
        <row r="2">
          <cell r="A2" t="str">
            <v>Complete</v>
          </cell>
        </row>
      </sheetData>
      <sheetData sheetId="4070">
        <row r="2">
          <cell r="A2" t="str">
            <v>Complete</v>
          </cell>
        </row>
      </sheetData>
      <sheetData sheetId="4071">
        <row r="2">
          <cell r="A2" t="str">
            <v>Complete</v>
          </cell>
        </row>
      </sheetData>
      <sheetData sheetId="4072">
        <row r="2">
          <cell r="A2" t="str">
            <v>Complete</v>
          </cell>
        </row>
      </sheetData>
      <sheetData sheetId="4073">
        <row r="2">
          <cell r="A2" t="str">
            <v>Complete</v>
          </cell>
        </row>
      </sheetData>
      <sheetData sheetId="4074">
        <row r="2">
          <cell r="A2" t="str">
            <v>Complete</v>
          </cell>
        </row>
      </sheetData>
      <sheetData sheetId="4075">
        <row r="2">
          <cell r="A2" t="str">
            <v>Complete</v>
          </cell>
        </row>
      </sheetData>
      <sheetData sheetId="4076">
        <row r="2">
          <cell r="A2" t="str">
            <v>Complete</v>
          </cell>
        </row>
      </sheetData>
      <sheetData sheetId="4077">
        <row r="2">
          <cell r="A2" t="str">
            <v>Complete</v>
          </cell>
        </row>
      </sheetData>
      <sheetData sheetId="4078">
        <row r="2">
          <cell r="A2" t="str">
            <v>Complete</v>
          </cell>
        </row>
      </sheetData>
      <sheetData sheetId="4079">
        <row r="2">
          <cell r="A2" t="str">
            <v>Complete</v>
          </cell>
        </row>
      </sheetData>
      <sheetData sheetId="4080">
        <row r="2">
          <cell r="A2" t="str">
            <v>Complete</v>
          </cell>
        </row>
      </sheetData>
      <sheetData sheetId="4081">
        <row r="2">
          <cell r="A2" t="str">
            <v>Complete</v>
          </cell>
        </row>
      </sheetData>
      <sheetData sheetId="4082">
        <row r="2">
          <cell r="A2" t="str">
            <v>Complete</v>
          </cell>
        </row>
      </sheetData>
      <sheetData sheetId="4083">
        <row r="2">
          <cell r="A2" t="str">
            <v>Complete</v>
          </cell>
        </row>
      </sheetData>
      <sheetData sheetId="4084">
        <row r="2">
          <cell r="A2" t="str">
            <v>Complete</v>
          </cell>
        </row>
      </sheetData>
      <sheetData sheetId="4085">
        <row r="2">
          <cell r="A2" t="str">
            <v>Complete</v>
          </cell>
        </row>
      </sheetData>
      <sheetData sheetId="4086">
        <row r="2">
          <cell r="A2" t="str">
            <v>Complete</v>
          </cell>
        </row>
      </sheetData>
      <sheetData sheetId="4087">
        <row r="2">
          <cell r="A2" t="str">
            <v>Complete</v>
          </cell>
        </row>
      </sheetData>
      <sheetData sheetId="4088">
        <row r="2">
          <cell r="A2" t="str">
            <v>Complete</v>
          </cell>
        </row>
      </sheetData>
      <sheetData sheetId="4089">
        <row r="2">
          <cell r="A2" t="str">
            <v>Complete</v>
          </cell>
        </row>
      </sheetData>
      <sheetData sheetId="4090">
        <row r="2">
          <cell r="A2" t="str">
            <v>Complete</v>
          </cell>
        </row>
      </sheetData>
      <sheetData sheetId="4091">
        <row r="2">
          <cell r="A2" t="str">
            <v>Complete</v>
          </cell>
        </row>
      </sheetData>
      <sheetData sheetId="4092">
        <row r="2">
          <cell r="A2" t="str">
            <v>Complete</v>
          </cell>
        </row>
      </sheetData>
      <sheetData sheetId="4093">
        <row r="2">
          <cell r="A2" t="str">
            <v>Complete</v>
          </cell>
        </row>
      </sheetData>
      <sheetData sheetId="4094">
        <row r="2">
          <cell r="A2" t="str">
            <v>Complete</v>
          </cell>
        </row>
      </sheetData>
      <sheetData sheetId="4095">
        <row r="2">
          <cell r="A2" t="str">
            <v>Complete</v>
          </cell>
        </row>
      </sheetData>
      <sheetData sheetId="4096">
        <row r="2">
          <cell r="A2" t="str">
            <v>Complete</v>
          </cell>
        </row>
      </sheetData>
      <sheetData sheetId="4097">
        <row r="2">
          <cell r="A2" t="str">
            <v>Complete</v>
          </cell>
        </row>
      </sheetData>
      <sheetData sheetId="4098">
        <row r="2">
          <cell r="A2" t="str">
            <v>Complete</v>
          </cell>
        </row>
      </sheetData>
      <sheetData sheetId="4099">
        <row r="2">
          <cell r="A2" t="str">
            <v>Complete</v>
          </cell>
        </row>
      </sheetData>
      <sheetData sheetId="4100">
        <row r="2">
          <cell r="A2" t="str">
            <v>Complete</v>
          </cell>
        </row>
      </sheetData>
      <sheetData sheetId="4101">
        <row r="2">
          <cell r="A2" t="str">
            <v>Complete</v>
          </cell>
        </row>
      </sheetData>
      <sheetData sheetId="4102">
        <row r="2">
          <cell r="A2" t="str">
            <v>Complete</v>
          </cell>
        </row>
      </sheetData>
      <sheetData sheetId="4103">
        <row r="2">
          <cell r="A2" t="str">
            <v>Complete</v>
          </cell>
        </row>
      </sheetData>
      <sheetData sheetId="4104">
        <row r="2">
          <cell r="A2" t="str">
            <v>Complete</v>
          </cell>
        </row>
      </sheetData>
      <sheetData sheetId="4105">
        <row r="2">
          <cell r="A2" t="str">
            <v>Complete</v>
          </cell>
        </row>
      </sheetData>
      <sheetData sheetId="4106">
        <row r="2">
          <cell r="A2" t="str">
            <v>Complete</v>
          </cell>
        </row>
      </sheetData>
      <sheetData sheetId="4107">
        <row r="2">
          <cell r="A2" t="str">
            <v>Complete</v>
          </cell>
        </row>
      </sheetData>
      <sheetData sheetId="4108">
        <row r="2">
          <cell r="A2" t="str">
            <v>Complete</v>
          </cell>
        </row>
      </sheetData>
      <sheetData sheetId="4109">
        <row r="2">
          <cell r="A2" t="str">
            <v>Complete</v>
          </cell>
        </row>
      </sheetData>
      <sheetData sheetId="4110">
        <row r="2">
          <cell r="A2" t="str">
            <v>Complete</v>
          </cell>
        </row>
      </sheetData>
      <sheetData sheetId="4111">
        <row r="2">
          <cell r="A2" t="str">
            <v>Complete</v>
          </cell>
        </row>
      </sheetData>
      <sheetData sheetId="4112">
        <row r="2">
          <cell r="A2" t="str">
            <v>Complete</v>
          </cell>
        </row>
      </sheetData>
      <sheetData sheetId="4113">
        <row r="2">
          <cell r="A2" t="str">
            <v>Complete</v>
          </cell>
        </row>
      </sheetData>
      <sheetData sheetId="4114">
        <row r="2">
          <cell r="A2" t="str">
            <v>Complete</v>
          </cell>
        </row>
      </sheetData>
      <sheetData sheetId="4115">
        <row r="2">
          <cell r="A2" t="str">
            <v>Complete</v>
          </cell>
        </row>
      </sheetData>
      <sheetData sheetId="4116">
        <row r="2">
          <cell r="A2" t="str">
            <v>Complete</v>
          </cell>
        </row>
      </sheetData>
      <sheetData sheetId="4117">
        <row r="2">
          <cell r="A2" t="str">
            <v>Complete</v>
          </cell>
        </row>
      </sheetData>
      <sheetData sheetId="4118">
        <row r="2">
          <cell r="A2" t="str">
            <v>Complete</v>
          </cell>
        </row>
      </sheetData>
      <sheetData sheetId="4119">
        <row r="2">
          <cell r="A2" t="str">
            <v>Complete</v>
          </cell>
        </row>
      </sheetData>
      <sheetData sheetId="4120">
        <row r="2">
          <cell r="A2" t="str">
            <v>Complete</v>
          </cell>
        </row>
      </sheetData>
      <sheetData sheetId="4121">
        <row r="2">
          <cell r="A2" t="str">
            <v>Complete</v>
          </cell>
        </row>
      </sheetData>
      <sheetData sheetId="4122">
        <row r="2">
          <cell r="A2" t="str">
            <v>Complete</v>
          </cell>
        </row>
      </sheetData>
      <sheetData sheetId="4123">
        <row r="2">
          <cell r="A2" t="str">
            <v>Complete</v>
          </cell>
        </row>
      </sheetData>
      <sheetData sheetId="4124">
        <row r="2">
          <cell r="A2" t="str">
            <v>Complete</v>
          </cell>
        </row>
      </sheetData>
      <sheetData sheetId="4125">
        <row r="2">
          <cell r="A2" t="str">
            <v>Complete</v>
          </cell>
        </row>
      </sheetData>
      <sheetData sheetId="4126">
        <row r="2">
          <cell r="A2" t="str">
            <v>Complete</v>
          </cell>
        </row>
      </sheetData>
      <sheetData sheetId="4127">
        <row r="2">
          <cell r="A2" t="str">
            <v>Complete</v>
          </cell>
        </row>
      </sheetData>
      <sheetData sheetId="4128">
        <row r="2">
          <cell r="A2" t="str">
            <v>Complete</v>
          </cell>
        </row>
      </sheetData>
      <sheetData sheetId="4129">
        <row r="2">
          <cell r="A2" t="str">
            <v>Complete</v>
          </cell>
        </row>
      </sheetData>
      <sheetData sheetId="4130">
        <row r="2">
          <cell r="A2" t="str">
            <v>Complete</v>
          </cell>
        </row>
      </sheetData>
      <sheetData sheetId="4131">
        <row r="2">
          <cell r="A2" t="str">
            <v>Complete</v>
          </cell>
        </row>
      </sheetData>
      <sheetData sheetId="4132">
        <row r="2">
          <cell r="A2" t="str">
            <v>Complete</v>
          </cell>
        </row>
      </sheetData>
      <sheetData sheetId="4133">
        <row r="2">
          <cell r="A2" t="str">
            <v>Complete</v>
          </cell>
        </row>
      </sheetData>
      <sheetData sheetId="4134">
        <row r="2">
          <cell r="A2" t="str">
            <v>Complete</v>
          </cell>
        </row>
      </sheetData>
      <sheetData sheetId="4135">
        <row r="2">
          <cell r="A2" t="str">
            <v>Complete</v>
          </cell>
        </row>
      </sheetData>
      <sheetData sheetId="4136">
        <row r="2">
          <cell r="A2" t="str">
            <v>Complete</v>
          </cell>
        </row>
      </sheetData>
      <sheetData sheetId="4137">
        <row r="2">
          <cell r="A2" t="str">
            <v>Complete</v>
          </cell>
        </row>
      </sheetData>
      <sheetData sheetId="4138">
        <row r="2">
          <cell r="A2" t="str">
            <v>Complete</v>
          </cell>
        </row>
      </sheetData>
      <sheetData sheetId="4139">
        <row r="2">
          <cell r="A2" t="str">
            <v>Complete</v>
          </cell>
        </row>
      </sheetData>
      <sheetData sheetId="4140">
        <row r="2">
          <cell r="A2" t="str">
            <v>Complete</v>
          </cell>
        </row>
      </sheetData>
      <sheetData sheetId="4141">
        <row r="2">
          <cell r="A2" t="str">
            <v>Complete</v>
          </cell>
        </row>
      </sheetData>
      <sheetData sheetId="4142">
        <row r="2">
          <cell r="A2" t="str">
            <v>Complete</v>
          </cell>
        </row>
      </sheetData>
      <sheetData sheetId="4143">
        <row r="2">
          <cell r="A2" t="str">
            <v>Complete</v>
          </cell>
        </row>
      </sheetData>
      <sheetData sheetId="4144">
        <row r="2">
          <cell r="A2" t="str">
            <v>Complete</v>
          </cell>
        </row>
      </sheetData>
      <sheetData sheetId="4145">
        <row r="2">
          <cell r="A2" t="str">
            <v>Complete</v>
          </cell>
        </row>
      </sheetData>
      <sheetData sheetId="4146">
        <row r="2">
          <cell r="A2" t="str">
            <v>Complete</v>
          </cell>
        </row>
      </sheetData>
      <sheetData sheetId="4147">
        <row r="2">
          <cell r="A2" t="str">
            <v>Complete</v>
          </cell>
        </row>
      </sheetData>
      <sheetData sheetId="4148">
        <row r="2">
          <cell r="A2" t="str">
            <v>Complete</v>
          </cell>
        </row>
      </sheetData>
      <sheetData sheetId="4149">
        <row r="2">
          <cell r="A2" t="str">
            <v>Complete</v>
          </cell>
        </row>
      </sheetData>
      <sheetData sheetId="4150">
        <row r="2">
          <cell r="A2" t="str">
            <v>Complete</v>
          </cell>
        </row>
      </sheetData>
      <sheetData sheetId="4151">
        <row r="2">
          <cell r="A2" t="str">
            <v>Complete</v>
          </cell>
        </row>
      </sheetData>
      <sheetData sheetId="4152">
        <row r="2">
          <cell r="A2" t="str">
            <v>Complete</v>
          </cell>
        </row>
      </sheetData>
      <sheetData sheetId="4153">
        <row r="2">
          <cell r="A2" t="str">
            <v>Complete</v>
          </cell>
        </row>
      </sheetData>
      <sheetData sheetId="4154">
        <row r="2">
          <cell r="A2" t="str">
            <v>Complete</v>
          </cell>
        </row>
      </sheetData>
      <sheetData sheetId="4155">
        <row r="2">
          <cell r="A2" t="str">
            <v>Complete</v>
          </cell>
        </row>
      </sheetData>
      <sheetData sheetId="4156">
        <row r="2">
          <cell r="A2" t="str">
            <v>Complete</v>
          </cell>
        </row>
      </sheetData>
      <sheetData sheetId="4157">
        <row r="2">
          <cell r="A2" t="str">
            <v>Complete</v>
          </cell>
        </row>
      </sheetData>
      <sheetData sheetId="4158">
        <row r="2">
          <cell r="A2" t="str">
            <v>Complete</v>
          </cell>
        </row>
      </sheetData>
      <sheetData sheetId="4159">
        <row r="2">
          <cell r="A2" t="str">
            <v>Complete</v>
          </cell>
        </row>
      </sheetData>
      <sheetData sheetId="4160">
        <row r="2">
          <cell r="A2" t="str">
            <v>Complete</v>
          </cell>
        </row>
      </sheetData>
      <sheetData sheetId="4161">
        <row r="2">
          <cell r="A2" t="str">
            <v>Complete</v>
          </cell>
        </row>
      </sheetData>
      <sheetData sheetId="4162">
        <row r="2">
          <cell r="A2" t="str">
            <v>Complete</v>
          </cell>
        </row>
      </sheetData>
      <sheetData sheetId="4163">
        <row r="2">
          <cell r="A2" t="str">
            <v>Complete</v>
          </cell>
        </row>
      </sheetData>
      <sheetData sheetId="4164">
        <row r="2">
          <cell r="A2" t="str">
            <v>Complete</v>
          </cell>
        </row>
      </sheetData>
      <sheetData sheetId="4165">
        <row r="2">
          <cell r="A2" t="str">
            <v>Complete</v>
          </cell>
        </row>
      </sheetData>
      <sheetData sheetId="4166">
        <row r="2">
          <cell r="A2" t="str">
            <v>Complete</v>
          </cell>
        </row>
      </sheetData>
      <sheetData sheetId="4167">
        <row r="2">
          <cell r="A2" t="str">
            <v>Complete</v>
          </cell>
        </row>
      </sheetData>
      <sheetData sheetId="4168">
        <row r="2">
          <cell r="A2" t="str">
            <v>Complete</v>
          </cell>
        </row>
      </sheetData>
      <sheetData sheetId="4169">
        <row r="2">
          <cell r="A2" t="str">
            <v>Complete</v>
          </cell>
        </row>
      </sheetData>
      <sheetData sheetId="4170">
        <row r="2">
          <cell r="A2" t="str">
            <v>Complete</v>
          </cell>
        </row>
      </sheetData>
      <sheetData sheetId="4171">
        <row r="2">
          <cell r="A2" t="str">
            <v>Complete</v>
          </cell>
        </row>
      </sheetData>
      <sheetData sheetId="4172">
        <row r="2">
          <cell r="A2" t="str">
            <v>Complete</v>
          </cell>
        </row>
      </sheetData>
      <sheetData sheetId="4173">
        <row r="2">
          <cell r="A2" t="str">
            <v>Complete</v>
          </cell>
        </row>
      </sheetData>
      <sheetData sheetId="4174">
        <row r="2">
          <cell r="A2" t="str">
            <v>Complete</v>
          </cell>
        </row>
      </sheetData>
      <sheetData sheetId="4175">
        <row r="2">
          <cell r="A2" t="str">
            <v>Complete</v>
          </cell>
        </row>
      </sheetData>
      <sheetData sheetId="4176">
        <row r="2">
          <cell r="A2" t="str">
            <v>Complete</v>
          </cell>
        </row>
      </sheetData>
      <sheetData sheetId="4177">
        <row r="2">
          <cell r="A2" t="str">
            <v>Complete</v>
          </cell>
        </row>
      </sheetData>
      <sheetData sheetId="4178">
        <row r="2">
          <cell r="A2" t="str">
            <v>Complete</v>
          </cell>
        </row>
      </sheetData>
      <sheetData sheetId="4179">
        <row r="2">
          <cell r="A2" t="str">
            <v>Complete</v>
          </cell>
        </row>
      </sheetData>
      <sheetData sheetId="4180">
        <row r="2">
          <cell r="A2" t="str">
            <v>Complete</v>
          </cell>
        </row>
      </sheetData>
      <sheetData sheetId="4181">
        <row r="2">
          <cell r="A2" t="str">
            <v>Complete</v>
          </cell>
        </row>
      </sheetData>
      <sheetData sheetId="4182">
        <row r="2">
          <cell r="A2" t="str">
            <v>Complete</v>
          </cell>
        </row>
      </sheetData>
      <sheetData sheetId="4183">
        <row r="2">
          <cell r="A2" t="str">
            <v>Complete</v>
          </cell>
        </row>
      </sheetData>
      <sheetData sheetId="4184">
        <row r="2">
          <cell r="A2" t="str">
            <v>Complete</v>
          </cell>
        </row>
      </sheetData>
      <sheetData sheetId="4185">
        <row r="2">
          <cell r="A2" t="str">
            <v>Complete</v>
          </cell>
        </row>
      </sheetData>
      <sheetData sheetId="4186">
        <row r="2">
          <cell r="A2" t="str">
            <v>Complete</v>
          </cell>
        </row>
      </sheetData>
      <sheetData sheetId="4187">
        <row r="2">
          <cell r="A2" t="str">
            <v>Complete</v>
          </cell>
        </row>
      </sheetData>
      <sheetData sheetId="4188">
        <row r="2">
          <cell r="A2" t="str">
            <v>Complete</v>
          </cell>
        </row>
      </sheetData>
      <sheetData sheetId="4189">
        <row r="2">
          <cell r="A2" t="str">
            <v>Complete</v>
          </cell>
        </row>
      </sheetData>
      <sheetData sheetId="4190">
        <row r="2">
          <cell r="A2" t="str">
            <v>Complete</v>
          </cell>
        </row>
      </sheetData>
      <sheetData sheetId="4191">
        <row r="2">
          <cell r="A2" t="str">
            <v>Complete</v>
          </cell>
        </row>
      </sheetData>
      <sheetData sheetId="4192">
        <row r="2">
          <cell r="A2" t="str">
            <v>Complete</v>
          </cell>
        </row>
      </sheetData>
      <sheetData sheetId="4193">
        <row r="2">
          <cell r="A2" t="str">
            <v>Complete</v>
          </cell>
        </row>
      </sheetData>
      <sheetData sheetId="4194">
        <row r="2">
          <cell r="A2" t="str">
            <v>Complete</v>
          </cell>
        </row>
      </sheetData>
      <sheetData sheetId="4195">
        <row r="2">
          <cell r="A2" t="str">
            <v>Complete</v>
          </cell>
        </row>
      </sheetData>
      <sheetData sheetId="4196">
        <row r="2">
          <cell r="A2" t="str">
            <v>Complete</v>
          </cell>
        </row>
      </sheetData>
      <sheetData sheetId="4197">
        <row r="2">
          <cell r="A2" t="str">
            <v>Complete</v>
          </cell>
        </row>
      </sheetData>
      <sheetData sheetId="4198">
        <row r="2">
          <cell r="A2" t="str">
            <v>Complete</v>
          </cell>
        </row>
      </sheetData>
      <sheetData sheetId="4199">
        <row r="2">
          <cell r="A2" t="str">
            <v>Complete</v>
          </cell>
        </row>
      </sheetData>
      <sheetData sheetId="4200">
        <row r="2">
          <cell r="A2" t="str">
            <v>Complete</v>
          </cell>
        </row>
      </sheetData>
      <sheetData sheetId="4201">
        <row r="2">
          <cell r="A2" t="str">
            <v>Complete</v>
          </cell>
        </row>
      </sheetData>
      <sheetData sheetId="4202">
        <row r="2">
          <cell r="A2" t="str">
            <v>Complete</v>
          </cell>
        </row>
      </sheetData>
      <sheetData sheetId="4203">
        <row r="2">
          <cell r="A2" t="str">
            <v>Complete</v>
          </cell>
        </row>
      </sheetData>
      <sheetData sheetId="4204">
        <row r="2">
          <cell r="A2" t="str">
            <v>Complete</v>
          </cell>
        </row>
      </sheetData>
      <sheetData sheetId="4205">
        <row r="2">
          <cell r="A2" t="str">
            <v>Complete</v>
          </cell>
        </row>
      </sheetData>
      <sheetData sheetId="4206">
        <row r="2">
          <cell r="A2" t="str">
            <v>Complete</v>
          </cell>
        </row>
      </sheetData>
      <sheetData sheetId="4207">
        <row r="2">
          <cell r="A2" t="str">
            <v>Complete</v>
          </cell>
        </row>
      </sheetData>
      <sheetData sheetId="4208">
        <row r="2">
          <cell r="A2" t="str">
            <v>Complete</v>
          </cell>
        </row>
      </sheetData>
      <sheetData sheetId="4209">
        <row r="2">
          <cell r="A2" t="str">
            <v>Complete</v>
          </cell>
        </row>
      </sheetData>
      <sheetData sheetId="4210">
        <row r="2">
          <cell r="A2" t="str">
            <v>Complete</v>
          </cell>
        </row>
      </sheetData>
      <sheetData sheetId="4211">
        <row r="2">
          <cell r="A2" t="str">
            <v>Complete</v>
          </cell>
        </row>
      </sheetData>
      <sheetData sheetId="4212">
        <row r="2">
          <cell r="A2" t="str">
            <v>Complete</v>
          </cell>
        </row>
      </sheetData>
      <sheetData sheetId="4213">
        <row r="2">
          <cell r="A2" t="str">
            <v>Complete</v>
          </cell>
        </row>
      </sheetData>
      <sheetData sheetId="4214">
        <row r="2">
          <cell r="A2" t="str">
            <v>Complete</v>
          </cell>
        </row>
      </sheetData>
      <sheetData sheetId="4215">
        <row r="2">
          <cell r="A2" t="str">
            <v>Complete</v>
          </cell>
        </row>
      </sheetData>
      <sheetData sheetId="4216">
        <row r="2">
          <cell r="A2" t="str">
            <v>Complete</v>
          </cell>
        </row>
      </sheetData>
      <sheetData sheetId="4217">
        <row r="2">
          <cell r="A2" t="str">
            <v>Complete</v>
          </cell>
        </row>
      </sheetData>
      <sheetData sheetId="4218">
        <row r="2">
          <cell r="A2" t="str">
            <v>Complete</v>
          </cell>
        </row>
      </sheetData>
      <sheetData sheetId="4219">
        <row r="2">
          <cell r="A2" t="str">
            <v>Complete</v>
          </cell>
        </row>
      </sheetData>
      <sheetData sheetId="4220">
        <row r="2">
          <cell r="A2" t="str">
            <v>Complete</v>
          </cell>
        </row>
      </sheetData>
      <sheetData sheetId="4221">
        <row r="2">
          <cell r="A2" t="str">
            <v>Complete</v>
          </cell>
        </row>
      </sheetData>
      <sheetData sheetId="4222">
        <row r="2">
          <cell r="A2" t="str">
            <v>Complete</v>
          </cell>
        </row>
      </sheetData>
      <sheetData sheetId="4223">
        <row r="2">
          <cell r="A2" t="str">
            <v>Complete</v>
          </cell>
        </row>
      </sheetData>
      <sheetData sheetId="4224">
        <row r="2">
          <cell r="A2" t="str">
            <v>Complete</v>
          </cell>
        </row>
      </sheetData>
      <sheetData sheetId="4225">
        <row r="2">
          <cell r="A2" t="str">
            <v>Complete</v>
          </cell>
        </row>
      </sheetData>
      <sheetData sheetId="4226">
        <row r="2">
          <cell r="A2" t="str">
            <v>Complete</v>
          </cell>
        </row>
      </sheetData>
      <sheetData sheetId="4227">
        <row r="2">
          <cell r="A2" t="str">
            <v>Complete</v>
          </cell>
        </row>
      </sheetData>
      <sheetData sheetId="4228">
        <row r="2">
          <cell r="A2" t="str">
            <v>Complete</v>
          </cell>
        </row>
      </sheetData>
      <sheetData sheetId="4229">
        <row r="2">
          <cell r="A2" t="str">
            <v>Complete</v>
          </cell>
        </row>
      </sheetData>
      <sheetData sheetId="4230">
        <row r="2">
          <cell r="A2" t="str">
            <v>Complete</v>
          </cell>
        </row>
      </sheetData>
      <sheetData sheetId="4231">
        <row r="2">
          <cell r="A2" t="str">
            <v>Complete</v>
          </cell>
        </row>
      </sheetData>
      <sheetData sheetId="4232">
        <row r="2">
          <cell r="A2" t="str">
            <v>Complete</v>
          </cell>
        </row>
      </sheetData>
      <sheetData sheetId="4233">
        <row r="2">
          <cell r="A2" t="str">
            <v>Complete</v>
          </cell>
        </row>
      </sheetData>
      <sheetData sheetId="4234">
        <row r="2">
          <cell r="A2" t="str">
            <v>Complete</v>
          </cell>
        </row>
      </sheetData>
      <sheetData sheetId="4235">
        <row r="2">
          <cell r="A2" t="str">
            <v>Complete</v>
          </cell>
        </row>
      </sheetData>
      <sheetData sheetId="4236">
        <row r="2">
          <cell r="A2" t="str">
            <v>Complete</v>
          </cell>
        </row>
      </sheetData>
      <sheetData sheetId="4237">
        <row r="2">
          <cell r="A2" t="str">
            <v>Complete</v>
          </cell>
        </row>
      </sheetData>
      <sheetData sheetId="4238">
        <row r="2">
          <cell r="A2" t="str">
            <v>Complete</v>
          </cell>
        </row>
      </sheetData>
      <sheetData sheetId="4239">
        <row r="2">
          <cell r="A2" t="str">
            <v>Complete</v>
          </cell>
        </row>
      </sheetData>
      <sheetData sheetId="4240">
        <row r="2">
          <cell r="A2" t="str">
            <v>Complete</v>
          </cell>
        </row>
      </sheetData>
      <sheetData sheetId="4241">
        <row r="2">
          <cell r="A2" t="str">
            <v>Complete</v>
          </cell>
        </row>
      </sheetData>
      <sheetData sheetId="4242">
        <row r="2">
          <cell r="A2" t="str">
            <v>Complete</v>
          </cell>
        </row>
      </sheetData>
      <sheetData sheetId="4243">
        <row r="2">
          <cell r="A2" t="str">
            <v>Complete</v>
          </cell>
        </row>
      </sheetData>
      <sheetData sheetId="4244">
        <row r="2">
          <cell r="A2" t="str">
            <v>Complete</v>
          </cell>
        </row>
      </sheetData>
      <sheetData sheetId="4245">
        <row r="2">
          <cell r="A2" t="str">
            <v>Complete</v>
          </cell>
        </row>
      </sheetData>
      <sheetData sheetId="4246">
        <row r="2">
          <cell r="A2" t="str">
            <v>Complete</v>
          </cell>
        </row>
      </sheetData>
      <sheetData sheetId="4247">
        <row r="2">
          <cell r="A2" t="str">
            <v>Complete</v>
          </cell>
        </row>
      </sheetData>
      <sheetData sheetId="4248">
        <row r="2">
          <cell r="A2" t="str">
            <v>Complete</v>
          </cell>
        </row>
      </sheetData>
      <sheetData sheetId="4249">
        <row r="2">
          <cell r="A2" t="str">
            <v>Complete</v>
          </cell>
        </row>
      </sheetData>
      <sheetData sheetId="4250">
        <row r="2">
          <cell r="A2" t="str">
            <v>Complete</v>
          </cell>
        </row>
      </sheetData>
      <sheetData sheetId="4251">
        <row r="2">
          <cell r="A2" t="str">
            <v>Complete</v>
          </cell>
        </row>
      </sheetData>
      <sheetData sheetId="4252">
        <row r="2">
          <cell r="A2" t="str">
            <v>Complete</v>
          </cell>
        </row>
      </sheetData>
      <sheetData sheetId="4253">
        <row r="2">
          <cell r="A2" t="str">
            <v>Complete</v>
          </cell>
        </row>
      </sheetData>
      <sheetData sheetId="4254">
        <row r="2">
          <cell r="A2" t="str">
            <v>Complete</v>
          </cell>
        </row>
      </sheetData>
      <sheetData sheetId="4255">
        <row r="2">
          <cell r="A2" t="str">
            <v>Complete</v>
          </cell>
        </row>
      </sheetData>
      <sheetData sheetId="4256">
        <row r="2">
          <cell r="A2" t="str">
            <v>Complete</v>
          </cell>
        </row>
      </sheetData>
      <sheetData sheetId="4257">
        <row r="2">
          <cell r="A2" t="str">
            <v>Complete</v>
          </cell>
        </row>
      </sheetData>
      <sheetData sheetId="4258">
        <row r="2">
          <cell r="A2" t="str">
            <v>Complete</v>
          </cell>
        </row>
      </sheetData>
      <sheetData sheetId="4259">
        <row r="2">
          <cell r="A2" t="str">
            <v>Complete</v>
          </cell>
        </row>
      </sheetData>
      <sheetData sheetId="4260">
        <row r="2">
          <cell r="A2" t="str">
            <v>Complete</v>
          </cell>
        </row>
      </sheetData>
      <sheetData sheetId="4261">
        <row r="2">
          <cell r="A2" t="str">
            <v>Complete</v>
          </cell>
        </row>
      </sheetData>
      <sheetData sheetId="4262">
        <row r="2">
          <cell r="A2" t="str">
            <v>Complete</v>
          </cell>
        </row>
      </sheetData>
      <sheetData sheetId="4263">
        <row r="2">
          <cell r="A2" t="str">
            <v>Complete</v>
          </cell>
        </row>
      </sheetData>
      <sheetData sheetId="4264">
        <row r="2">
          <cell r="A2" t="str">
            <v>Complete</v>
          </cell>
        </row>
      </sheetData>
      <sheetData sheetId="4265">
        <row r="2">
          <cell r="A2" t="str">
            <v>Complete</v>
          </cell>
        </row>
      </sheetData>
      <sheetData sheetId="4266">
        <row r="2">
          <cell r="A2" t="str">
            <v>Complete</v>
          </cell>
        </row>
      </sheetData>
      <sheetData sheetId="4267">
        <row r="2">
          <cell r="A2" t="str">
            <v>Complete</v>
          </cell>
        </row>
      </sheetData>
      <sheetData sheetId="4268">
        <row r="2">
          <cell r="A2" t="str">
            <v>Complete</v>
          </cell>
        </row>
      </sheetData>
      <sheetData sheetId="4269">
        <row r="2">
          <cell r="A2" t="str">
            <v>Complete</v>
          </cell>
        </row>
      </sheetData>
      <sheetData sheetId="4270">
        <row r="2">
          <cell r="A2" t="str">
            <v>Complete</v>
          </cell>
        </row>
      </sheetData>
      <sheetData sheetId="4271">
        <row r="2">
          <cell r="A2" t="str">
            <v>Complete</v>
          </cell>
        </row>
      </sheetData>
      <sheetData sheetId="4272">
        <row r="2">
          <cell r="A2" t="str">
            <v>Complete</v>
          </cell>
        </row>
      </sheetData>
      <sheetData sheetId="4273">
        <row r="2">
          <cell r="A2" t="str">
            <v>Complete</v>
          </cell>
        </row>
      </sheetData>
      <sheetData sheetId="4274">
        <row r="2">
          <cell r="A2" t="str">
            <v>Complete</v>
          </cell>
        </row>
      </sheetData>
      <sheetData sheetId="4275">
        <row r="2">
          <cell r="A2" t="str">
            <v>Complete</v>
          </cell>
        </row>
      </sheetData>
      <sheetData sheetId="4276">
        <row r="2">
          <cell r="A2" t="str">
            <v>Complete</v>
          </cell>
        </row>
      </sheetData>
      <sheetData sheetId="4277">
        <row r="2">
          <cell r="A2" t="str">
            <v>Complete</v>
          </cell>
        </row>
      </sheetData>
      <sheetData sheetId="4278">
        <row r="2">
          <cell r="A2" t="str">
            <v>Complete</v>
          </cell>
        </row>
      </sheetData>
      <sheetData sheetId="4279">
        <row r="2">
          <cell r="A2" t="str">
            <v>Complete</v>
          </cell>
        </row>
      </sheetData>
      <sheetData sheetId="4280">
        <row r="2">
          <cell r="A2" t="str">
            <v>Complete</v>
          </cell>
        </row>
      </sheetData>
      <sheetData sheetId="4281">
        <row r="2">
          <cell r="A2" t="str">
            <v>Complete</v>
          </cell>
        </row>
      </sheetData>
      <sheetData sheetId="4282">
        <row r="2">
          <cell r="A2" t="str">
            <v>Complete</v>
          </cell>
        </row>
      </sheetData>
      <sheetData sheetId="4283">
        <row r="2">
          <cell r="A2" t="str">
            <v>Complete</v>
          </cell>
        </row>
      </sheetData>
      <sheetData sheetId="4284">
        <row r="2">
          <cell r="A2" t="str">
            <v>Complete</v>
          </cell>
        </row>
      </sheetData>
      <sheetData sheetId="4285">
        <row r="2">
          <cell r="A2" t="str">
            <v>Complete</v>
          </cell>
        </row>
      </sheetData>
      <sheetData sheetId="4286">
        <row r="2">
          <cell r="A2" t="str">
            <v>Complete</v>
          </cell>
        </row>
      </sheetData>
      <sheetData sheetId="4287">
        <row r="2">
          <cell r="A2" t="str">
            <v>Complete</v>
          </cell>
        </row>
      </sheetData>
      <sheetData sheetId="4288">
        <row r="2">
          <cell r="A2" t="str">
            <v>Complete</v>
          </cell>
        </row>
      </sheetData>
      <sheetData sheetId="4289">
        <row r="2">
          <cell r="A2" t="str">
            <v>Complete</v>
          </cell>
        </row>
      </sheetData>
      <sheetData sheetId="4290">
        <row r="2">
          <cell r="A2" t="str">
            <v>Complete</v>
          </cell>
        </row>
      </sheetData>
      <sheetData sheetId="4291">
        <row r="2">
          <cell r="A2" t="str">
            <v>Complete</v>
          </cell>
        </row>
      </sheetData>
      <sheetData sheetId="4292">
        <row r="2">
          <cell r="A2" t="str">
            <v>Complete</v>
          </cell>
        </row>
      </sheetData>
      <sheetData sheetId="4293">
        <row r="2">
          <cell r="A2" t="str">
            <v>Complete</v>
          </cell>
        </row>
      </sheetData>
      <sheetData sheetId="4294">
        <row r="2">
          <cell r="A2" t="str">
            <v>Complete</v>
          </cell>
        </row>
      </sheetData>
      <sheetData sheetId="4295">
        <row r="2">
          <cell r="A2" t="str">
            <v>Complete</v>
          </cell>
        </row>
      </sheetData>
      <sheetData sheetId="4296">
        <row r="2">
          <cell r="A2" t="str">
            <v>Complete</v>
          </cell>
        </row>
      </sheetData>
      <sheetData sheetId="4297">
        <row r="2">
          <cell r="A2" t="str">
            <v>Complete</v>
          </cell>
        </row>
      </sheetData>
      <sheetData sheetId="4298">
        <row r="2">
          <cell r="A2" t="str">
            <v>Complete</v>
          </cell>
        </row>
      </sheetData>
      <sheetData sheetId="4299">
        <row r="2">
          <cell r="A2" t="str">
            <v>Complete</v>
          </cell>
        </row>
      </sheetData>
      <sheetData sheetId="4300">
        <row r="2">
          <cell r="A2" t="str">
            <v>Complete</v>
          </cell>
        </row>
      </sheetData>
      <sheetData sheetId="4301">
        <row r="2">
          <cell r="A2" t="str">
            <v>Complete</v>
          </cell>
        </row>
      </sheetData>
      <sheetData sheetId="4302">
        <row r="2">
          <cell r="A2" t="str">
            <v>Complete</v>
          </cell>
        </row>
      </sheetData>
      <sheetData sheetId="4303">
        <row r="2">
          <cell r="A2" t="str">
            <v>Complete</v>
          </cell>
        </row>
      </sheetData>
      <sheetData sheetId="4304">
        <row r="2">
          <cell r="A2" t="str">
            <v>Complete</v>
          </cell>
        </row>
      </sheetData>
      <sheetData sheetId="4305">
        <row r="2">
          <cell r="A2" t="str">
            <v>Complete</v>
          </cell>
        </row>
      </sheetData>
      <sheetData sheetId="4306">
        <row r="2">
          <cell r="A2" t="str">
            <v>Complete</v>
          </cell>
        </row>
      </sheetData>
      <sheetData sheetId="4307">
        <row r="2">
          <cell r="A2" t="str">
            <v>Complete</v>
          </cell>
        </row>
      </sheetData>
      <sheetData sheetId="4308">
        <row r="2">
          <cell r="A2" t="str">
            <v>Complete</v>
          </cell>
        </row>
      </sheetData>
      <sheetData sheetId="4309">
        <row r="2">
          <cell r="A2" t="str">
            <v>Complete</v>
          </cell>
        </row>
      </sheetData>
      <sheetData sheetId="4310">
        <row r="2">
          <cell r="A2" t="str">
            <v>Complete</v>
          </cell>
        </row>
      </sheetData>
      <sheetData sheetId="4311">
        <row r="2">
          <cell r="A2" t="str">
            <v>Complete</v>
          </cell>
        </row>
      </sheetData>
      <sheetData sheetId="4312">
        <row r="2">
          <cell r="A2" t="str">
            <v>Complete</v>
          </cell>
        </row>
      </sheetData>
      <sheetData sheetId="4313">
        <row r="2">
          <cell r="A2" t="str">
            <v>Complete</v>
          </cell>
        </row>
      </sheetData>
      <sheetData sheetId="4314">
        <row r="2">
          <cell r="A2" t="str">
            <v>Complete</v>
          </cell>
        </row>
      </sheetData>
      <sheetData sheetId="4315">
        <row r="2">
          <cell r="A2" t="str">
            <v>Complete</v>
          </cell>
        </row>
      </sheetData>
      <sheetData sheetId="4316">
        <row r="2">
          <cell r="A2" t="str">
            <v>Complete</v>
          </cell>
        </row>
      </sheetData>
      <sheetData sheetId="4317">
        <row r="2">
          <cell r="A2" t="str">
            <v>Complete</v>
          </cell>
        </row>
      </sheetData>
      <sheetData sheetId="4318">
        <row r="2">
          <cell r="A2" t="str">
            <v>Complete</v>
          </cell>
        </row>
      </sheetData>
      <sheetData sheetId="4319">
        <row r="2">
          <cell r="A2" t="str">
            <v>Complete</v>
          </cell>
        </row>
      </sheetData>
      <sheetData sheetId="4320">
        <row r="2">
          <cell r="A2" t="str">
            <v>Complete</v>
          </cell>
        </row>
      </sheetData>
      <sheetData sheetId="4321">
        <row r="2">
          <cell r="A2" t="str">
            <v>Complete</v>
          </cell>
        </row>
      </sheetData>
      <sheetData sheetId="4322">
        <row r="2">
          <cell r="A2" t="str">
            <v>Complete</v>
          </cell>
        </row>
      </sheetData>
      <sheetData sheetId="4323">
        <row r="2">
          <cell r="A2" t="str">
            <v>Complete</v>
          </cell>
        </row>
      </sheetData>
      <sheetData sheetId="4324">
        <row r="2">
          <cell r="A2" t="str">
            <v>Complete</v>
          </cell>
        </row>
      </sheetData>
      <sheetData sheetId="4325">
        <row r="2">
          <cell r="A2" t="str">
            <v>Complete</v>
          </cell>
        </row>
      </sheetData>
      <sheetData sheetId="4326">
        <row r="2">
          <cell r="A2" t="str">
            <v>Complete</v>
          </cell>
        </row>
      </sheetData>
      <sheetData sheetId="4327">
        <row r="2">
          <cell r="A2" t="str">
            <v>Complete</v>
          </cell>
        </row>
      </sheetData>
      <sheetData sheetId="4328">
        <row r="2">
          <cell r="A2" t="str">
            <v>Complete</v>
          </cell>
        </row>
      </sheetData>
      <sheetData sheetId="4329">
        <row r="2">
          <cell r="A2" t="str">
            <v>Complete</v>
          </cell>
        </row>
      </sheetData>
      <sheetData sheetId="4330">
        <row r="2">
          <cell r="A2" t="str">
            <v>Complete</v>
          </cell>
        </row>
      </sheetData>
      <sheetData sheetId="4331">
        <row r="2">
          <cell r="A2" t="str">
            <v>Complete</v>
          </cell>
        </row>
      </sheetData>
      <sheetData sheetId="4332">
        <row r="2">
          <cell r="A2" t="str">
            <v>Complete</v>
          </cell>
        </row>
      </sheetData>
      <sheetData sheetId="4333">
        <row r="2">
          <cell r="A2" t="str">
            <v>Complete</v>
          </cell>
        </row>
      </sheetData>
      <sheetData sheetId="4334">
        <row r="2">
          <cell r="A2" t="str">
            <v>Complete</v>
          </cell>
        </row>
      </sheetData>
      <sheetData sheetId="4335">
        <row r="2">
          <cell r="A2" t="str">
            <v>Complete</v>
          </cell>
        </row>
      </sheetData>
      <sheetData sheetId="4336">
        <row r="2">
          <cell r="A2" t="str">
            <v>Complete</v>
          </cell>
        </row>
      </sheetData>
      <sheetData sheetId="4337">
        <row r="2">
          <cell r="A2" t="str">
            <v>Complete</v>
          </cell>
        </row>
      </sheetData>
      <sheetData sheetId="4338">
        <row r="2">
          <cell r="A2" t="str">
            <v>Complete</v>
          </cell>
        </row>
      </sheetData>
      <sheetData sheetId="4339">
        <row r="2">
          <cell r="A2" t="str">
            <v>Complete</v>
          </cell>
        </row>
      </sheetData>
      <sheetData sheetId="4340">
        <row r="2">
          <cell r="A2" t="str">
            <v>Complete</v>
          </cell>
        </row>
      </sheetData>
      <sheetData sheetId="4341">
        <row r="2">
          <cell r="A2" t="str">
            <v>Complete</v>
          </cell>
        </row>
      </sheetData>
      <sheetData sheetId="4342">
        <row r="2">
          <cell r="A2" t="str">
            <v>Complete</v>
          </cell>
        </row>
      </sheetData>
      <sheetData sheetId="4343">
        <row r="2">
          <cell r="A2" t="str">
            <v>Complete</v>
          </cell>
        </row>
      </sheetData>
      <sheetData sheetId="4344">
        <row r="2">
          <cell r="A2" t="str">
            <v>Complete</v>
          </cell>
        </row>
      </sheetData>
      <sheetData sheetId="4345">
        <row r="2">
          <cell r="A2" t="str">
            <v>Complete</v>
          </cell>
        </row>
      </sheetData>
      <sheetData sheetId="4346">
        <row r="2">
          <cell r="A2" t="str">
            <v>Complete</v>
          </cell>
        </row>
      </sheetData>
      <sheetData sheetId="4347">
        <row r="2">
          <cell r="A2" t="str">
            <v>Complete</v>
          </cell>
        </row>
      </sheetData>
      <sheetData sheetId="4348">
        <row r="2">
          <cell r="A2" t="str">
            <v>Complete</v>
          </cell>
        </row>
      </sheetData>
      <sheetData sheetId="4349">
        <row r="2">
          <cell r="A2" t="str">
            <v>Complete</v>
          </cell>
        </row>
      </sheetData>
      <sheetData sheetId="4350">
        <row r="2">
          <cell r="A2" t="str">
            <v>Complete</v>
          </cell>
        </row>
      </sheetData>
      <sheetData sheetId="4351">
        <row r="2">
          <cell r="A2" t="str">
            <v>Complete</v>
          </cell>
        </row>
      </sheetData>
      <sheetData sheetId="4352">
        <row r="2">
          <cell r="A2" t="str">
            <v>Complete</v>
          </cell>
        </row>
      </sheetData>
      <sheetData sheetId="4353">
        <row r="2">
          <cell r="A2" t="str">
            <v>Complete</v>
          </cell>
        </row>
      </sheetData>
      <sheetData sheetId="4354">
        <row r="2">
          <cell r="A2" t="str">
            <v>Complete</v>
          </cell>
        </row>
      </sheetData>
      <sheetData sheetId="4355">
        <row r="2">
          <cell r="A2" t="str">
            <v>Complete</v>
          </cell>
        </row>
      </sheetData>
      <sheetData sheetId="4356">
        <row r="2">
          <cell r="A2" t="str">
            <v>Complete</v>
          </cell>
        </row>
      </sheetData>
      <sheetData sheetId="4357">
        <row r="2">
          <cell r="A2" t="str">
            <v>Complete</v>
          </cell>
        </row>
      </sheetData>
      <sheetData sheetId="4358">
        <row r="2">
          <cell r="A2" t="str">
            <v>Complete</v>
          </cell>
        </row>
      </sheetData>
      <sheetData sheetId="4359">
        <row r="2">
          <cell r="A2" t="str">
            <v>Complete</v>
          </cell>
        </row>
      </sheetData>
      <sheetData sheetId="4360">
        <row r="2">
          <cell r="A2" t="str">
            <v>Complete</v>
          </cell>
        </row>
      </sheetData>
      <sheetData sheetId="4361">
        <row r="2">
          <cell r="A2" t="str">
            <v>Complete</v>
          </cell>
        </row>
      </sheetData>
      <sheetData sheetId="4362">
        <row r="2">
          <cell r="A2" t="str">
            <v>Complete</v>
          </cell>
        </row>
      </sheetData>
      <sheetData sheetId="4363">
        <row r="2">
          <cell r="A2" t="str">
            <v>Complete</v>
          </cell>
        </row>
      </sheetData>
      <sheetData sheetId="4364">
        <row r="2">
          <cell r="A2" t="str">
            <v>Complete</v>
          </cell>
        </row>
      </sheetData>
      <sheetData sheetId="4365">
        <row r="2">
          <cell r="A2" t="str">
            <v>Complete</v>
          </cell>
        </row>
      </sheetData>
      <sheetData sheetId="4366">
        <row r="2">
          <cell r="A2" t="str">
            <v>Complete</v>
          </cell>
        </row>
      </sheetData>
      <sheetData sheetId="4367">
        <row r="2">
          <cell r="A2" t="str">
            <v>Complete</v>
          </cell>
        </row>
      </sheetData>
      <sheetData sheetId="4368">
        <row r="2">
          <cell r="A2">
            <v>43462</v>
          </cell>
        </row>
      </sheetData>
      <sheetData sheetId="4369">
        <row r="2">
          <cell r="A2">
            <v>43462</v>
          </cell>
        </row>
      </sheetData>
      <sheetData sheetId="4370">
        <row r="2">
          <cell r="A2">
            <v>43462</v>
          </cell>
        </row>
      </sheetData>
      <sheetData sheetId="4371">
        <row r="2">
          <cell r="A2">
            <v>43462</v>
          </cell>
        </row>
      </sheetData>
      <sheetData sheetId="4372">
        <row r="2">
          <cell r="A2">
            <v>43462</v>
          </cell>
        </row>
      </sheetData>
      <sheetData sheetId="4373">
        <row r="2">
          <cell r="A2">
            <v>43462</v>
          </cell>
        </row>
      </sheetData>
      <sheetData sheetId="4374">
        <row r="2">
          <cell r="A2">
            <v>43462</v>
          </cell>
        </row>
      </sheetData>
      <sheetData sheetId="4375">
        <row r="2">
          <cell r="A2">
            <v>43462</v>
          </cell>
        </row>
      </sheetData>
      <sheetData sheetId="4376">
        <row r="2">
          <cell r="A2">
            <v>43462</v>
          </cell>
        </row>
      </sheetData>
      <sheetData sheetId="4377">
        <row r="2">
          <cell r="A2">
            <v>43462</v>
          </cell>
        </row>
      </sheetData>
      <sheetData sheetId="4378">
        <row r="2">
          <cell r="A2">
            <v>43462</v>
          </cell>
        </row>
      </sheetData>
      <sheetData sheetId="4379">
        <row r="2">
          <cell r="A2">
            <v>43462</v>
          </cell>
        </row>
      </sheetData>
      <sheetData sheetId="4380">
        <row r="2">
          <cell r="A2">
            <v>43462</v>
          </cell>
        </row>
      </sheetData>
      <sheetData sheetId="4381">
        <row r="2">
          <cell r="A2">
            <v>43462</v>
          </cell>
        </row>
      </sheetData>
      <sheetData sheetId="4382">
        <row r="2">
          <cell r="A2">
            <v>43462</v>
          </cell>
        </row>
      </sheetData>
      <sheetData sheetId="4383">
        <row r="2">
          <cell r="A2">
            <v>43462</v>
          </cell>
        </row>
      </sheetData>
      <sheetData sheetId="4384">
        <row r="2">
          <cell r="A2">
            <v>43462</v>
          </cell>
        </row>
      </sheetData>
      <sheetData sheetId="4385">
        <row r="2">
          <cell r="A2">
            <v>43462</v>
          </cell>
        </row>
      </sheetData>
      <sheetData sheetId="4386">
        <row r="2">
          <cell r="A2">
            <v>43462</v>
          </cell>
        </row>
      </sheetData>
      <sheetData sheetId="4387">
        <row r="2">
          <cell r="A2">
            <v>43462</v>
          </cell>
        </row>
      </sheetData>
      <sheetData sheetId="4388">
        <row r="2">
          <cell r="A2">
            <v>43462</v>
          </cell>
        </row>
      </sheetData>
      <sheetData sheetId="4389">
        <row r="2">
          <cell r="A2">
            <v>43462</v>
          </cell>
        </row>
      </sheetData>
      <sheetData sheetId="4390">
        <row r="2">
          <cell r="A2">
            <v>43462</v>
          </cell>
        </row>
      </sheetData>
      <sheetData sheetId="4391">
        <row r="2">
          <cell r="A2">
            <v>43462</v>
          </cell>
        </row>
      </sheetData>
      <sheetData sheetId="4392">
        <row r="2">
          <cell r="A2">
            <v>43462</v>
          </cell>
        </row>
      </sheetData>
      <sheetData sheetId="4393">
        <row r="2">
          <cell r="A2">
            <v>43462</v>
          </cell>
        </row>
      </sheetData>
      <sheetData sheetId="4394">
        <row r="2">
          <cell r="A2">
            <v>43462</v>
          </cell>
        </row>
      </sheetData>
      <sheetData sheetId="4395">
        <row r="2">
          <cell r="A2">
            <v>43462</v>
          </cell>
        </row>
      </sheetData>
      <sheetData sheetId="4396">
        <row r="2">
          <cell r="A2">
            <v>43462</v>
          </cell>
        </row>
      </sheetData>
      <sheetData sheetId="4397">
        <row r="2">
          <cell r="A2">
            <v>43462</v>
          </cell>
        </row>
      </sheetData>
      <sheetData sheetId="4398">
        <row r="2">
          <cell r="A2">
            <v>43462</v>
          </cell>
        </row>
      </sheetData>
      <sheetData sheetId="4399">
        <row r="2">
          <cell r="A2">
            <v>43462</v>
          </cell>
        </row>
      </sheetData>
      <sheetData sheetId="4400">
        <row r="2">
          <cell r="A2">
            <v>43462</v>
          </cell>
        </row>
      </sheetData>
      <sheetData sheetId="4401">
        <row r="2">
          <cell r="A2">
            <v>43462</v>
          </cell>
        </row>
      </sheetData>
      <sheetData sheetId="4402">
        <row r="2">
          <cell r="A2">
            <v>43462</v>
          </cell>
        </row>
      </sheetData>
      <sheetData sheetId="4403">
        <row r="2">
          <cell r="A2">
            <v>43462</v>
          </cell>
        </row>
      </sheetData>
      <sheetData sheetId="4404">
        <row r="2">
          <cell r="A2">
            <v>43462</v>
          </cell>
        </row>
      </sheetData>
      <sheetData sheetId="4405">
        <row r="2">
          <cell r="A2">
            <v>43462</v>
          </cell>
        </row>
      </sheetData>
      <sheetData sheetId="4406">
        <row r="2">
          <cell r="A2">
            <v>43462</v>
          </cell>
        </row>
      </sheetData>
      <sheetData sheetId="4407">
        <row r="2">
          <cell r="A2">
            <v>43462</v>
          </cell>
        </row>
      </sheetData>
      <sheetData sheetId="4408">
        <row r="2">
          <cell r="A2">
            <v>43462</v>
          </cell>
        </row>
      </sheetData>
      <sheetData sheetId="4409">
        <row r="2">
          <cell r="A2">
            <v>43462</v>
          </cell>
        </row>
      </sheetData>
      <sheetData sheetId="4410">
        <row r="2">
          <cell r="A2">
            <v>43462</v>
          </cell>
        </row>
      </sheetData>
      <sheetData sheetId="4411">
        <row r="2">
          <cell r="A2">
            <v>43462</v>
          </cell>
        </row>
      </sheetData>
      <sheetData sheetId="4412">
        <row r="2">
          <cell r="A2">
            <v>43462</v>
          </cell>
        </row>
      </sheetData>
      <sheetData sheetId="4413">
        <row r="2">
          <cell r="A2">
            <v>43462</v>
          </cell>
        </row>
      </sheetData>
      <sheetData sheetId="4414">
        <row r="2">
          <cell r="A2">
            <v>43462</v>
          </cell>
        </row>
      </sheetData>
      <sheetData sheetId="4415">
        <row r="2">
          <cell r="A2">
            <v>43462</v>
          </cell>
        </row>
      </sheetData>
      <sheetData sheetId="4416">
        <row r="2">
          <cell r="A2">
            <v>43462</v>
          </cell>
        </row>
      </sheetData>
      <sheetData sheetId="4417">
        <row r="2">
          <cell r="A2">
            <v>43462</v>
          </cell>
        </row>
      </sheetData>
      <sheetData sheetId="4418">
        <row r="2">
          <cell r="A2">
            <v>43462</v>
          </cell>
        </row>
      </sheetData>
      <sheetData sheetId="4419">
        <row r="2">
          <cell r="A2">
            <v>43462</v>
          </cell>
        </row>
      </sheetData>
      <sheetData sheetId="4420">
        <row r="2">
          <cell r="A2">
            <v>43462</v>
          </cell>
        </row>
      </sheetData>
      <sheetData sheetId="4421">
        <row r="2">
          <cell r="A2">
            <v>43462</v>
          </cell>
        </row>
      </sheetData>
      <sheetData sheetId="4422">
        <row r="2">
          <cell r="A2">
            <v>43462</v>
          </cell>
        </row>
      </sheetData>
      <sheetData sheetId="4423">
        <row r="2">
          <cell r="A2">
            <v>43462</v>
          </cell>
        </row>
      </sheetData>
      <sheetData sheetId="4424">
        <row r="2">
          <cell r="A2">
            <v>43462</v>
          </cell>
        </row>
      </sheetData>
      <sheetData sheetId="4425">
        <row r="2">
          <cell r="A2">
            <v>43462</v>
          </cell>
        </row>
      </sheetData>
      <sheetData sheetId="4426">
        <row r="2">
          <cell r="A2">
            <v>43462</v>
          </cell>
        </row>
      </sheetData>
      <sheetData sheetId="4427">
        <row r="2">
          <cell r="A2">
            <v>43462</v>
          </cell>
        </row>
      </sheetData>
      <sheetData sheetId="4428">
        <row r="2">
          <cell r="A2">
            <v>43462</v>
          </cell>
        </row>
      </sheetData>
      <sheetData sheetId="4429">
        <row r="2">
          <cell r="A2">
            <v>43462</v>
          </cell>
        </row>
      </sheetData>
      <sheetData sheetId="4430">
        <row r="2">
          <cell r="A2">
            <v>43462</v>
          </cell>
        </row>
      </sheetData>
      <sheetData sheetId="4431">
        <row r="2">
          <cell r="A2">
            <v>43462</v>
          </cell>
        </row>
      </sheetData>
      <sheetData sheetId="4432">
        <row r="2">
          <cell r="A2">
            <v>43462</v>
          </cell>
        </row>
      </sheetData>
      <sheetData sheetId="4433">
        <row r="2">
          <cell r="A2">
            <v>43462</v>
          </cell>
        </row>
      </sheetData>
      <sheetData sheetId="4434">
        <row r="2">
          <cell r="A2">
            <v>43462</v>
          </cell>
        </row>
      </sheetData>
      <sheetData sheetId="4435">
        <row r="2">
          <cell r="A2">
            <v>43462</v>
          </cell>
        </row>
      </sheetData>
      <sheetData sheetId="4436">
        <row r="2">
          <cell r="A2">
            <v>43462</v>
          </cell>
        </row>
      </sheetData>
      <sheetData sheetId="4437">
        <row r="2">
          <cell r="A2">
            <v>43462</v>
          </cell>
        </row>
      </sheetData>
      <sheetData sheetId="4438">
        <row r="2">
          <cell r="A2">
            <v>43462</v>
          </cell>
        </row>
      </sheetData>
      <sheetData sheetId="4439">
        <row r="2">
          <cell r="A2">
            <v>43462</v>
          </cell>
        </row>
      </sheetData>
      <sheetData sheetId="4440">
        <row r="2">
          <cell r="A2">
            <v>43462</v>
          </cell>
        </row>
      </sheetData>
      <sheetData sheetId="4441">
        <row r="2">
          <cell r="A2">
            <v>43462</v>
          </cell>
        </row>
      </sheetData>
      <sheetData sheetId="4442">
        <row r="2">
          <cell r="A2">
            <v>43462</v>
          </cell>
        </row>
      </sheetData>
      <sheetData sheetId="4443">
        <row r="2">
          <cell r="A2">
            <v>43462</v>
          </cell>
        </row>
      </sheetData>
      <sheetData sheetId="4444">
        <row r="2">
          <cell r="A2">
            <v>43462</v>
          </cell>
        </row>
      </sheetData>
      <sheetData sheetId="4445">
        <row r="2">
          <cell r="A2">
            <v>43462</v>
          </cell>
        </row>
      </sheetData>
      <sheetData sheetId="4446">
        <row r="2">
          <cell r="A2" t="str">
            <v>Complete</v>
          </cell>
        </row>
      </sheetData>
      <sheetData sheetId="4447">
        <row r="2">
          <cell r="A2" t="str">
            <v>Complete</v>
          </cell>
        </row>
      </sheetData>
      <sheetData sheetId="4448">
        <row r="2">
          <cell r="A2" t="str">
            <v>Complete</v>
          </cell>
        </row>
      </sheetData>
      <sheetData sheetId="4449">
        <row r="2">
          <cell r="A2" t="str">
            <v>Complete</v>
          </cell>
        </row>
      </sheetData>
      <sheetData sheetId="4450">
        <row r="2">
          <cell r="A2" t="str">
            <v>Complete</v>
          </cell>
        </row>
      </sheetData>
      <sheetData sheetId="4451">
        <row r="2">
          <cell r="A2" t="str">
            <v>Complete</v>
          </cell>
        </row>
      </sheetData>
      <sheetData sheetId="4452">
        <row r="2">
          <cell r="A2" t="str">
            <v>Complete</v>
          </cell>
        </row>
      </sheetData>
      <sheetData sheetId="4453">
        <row r="2">
          <cell r="A2" t="str">
            <v>Complete</v>
          </cell>
        </row>
      </sheetData>
      <sheetData sheetId="4454">
        <row r="2">
          <cell r="A2" t="str">
            <v>Complete</v>
          </cell>
        </row>
      </sheetData>
      <sheetData sheetId="4455">
        <row r="2">
          <cell r="A2" t="str">
            <v>Complete</v>
          </cell>
        </row>
      </sheetData>
      <sheetData sheetId="4456">
        <row r="2">
          <cell r="A2" t="str">
            <v>Complete</v>
          </cell>
        </row>
      </sheetData>
      <sheetData sheetId="4457">
        <row r="2">
          <cell r="A2" t="str">
            <v>Complete</v>
          </cell>
        </row>
      </sheetData>
      <sheetData sheetId="4458">
        <row r="2">
          <cell r="A2" t="str">
            <v>Complete</v>
          </cell>
        </row>
      </sheetData>
      <sheetData sheetId="4459">
        <row r="2">
          <cell r="A2" t="str">
            <v>Complete</v>
          </cell>
        </row>
      </sheetData>
      <sheetData sheetId="4460">
        <row r="2">
          <cell r="A2" t="str">
            <v>Complete</v>
          </cell>
        </row>
      </sheetData>
      <sheetData sheetId="4461">
        <row r="2">
          <cell r="A2" t="str">
            <v>Complete</v>
          </cell>
        </row>
      </sheetData>
      <sheetData sheetId="4462">
        <row r="2">
          <cell r="A2" t="str">
            <v>Complete</v>
          </cell>
        </row>
      </sheetData>
      <sheetData sheetId="4463">
        <row r="2">
          <cell r="A2" t="str">
            <v>Complete</v>
          </cell>
        </row>
      </sheetData>
      <sheetData sheetId="4464">
        <row r="2">
          <cell r="A2" t="str">
            <v>Complete</v>
          </cell>
        </row>
      </sheetData>
      <sheetData sheetId="4465">
        <row r="2">
          <cell r="A2" t="str">
            <v>Complete</v>
          </cell>
        </row>
      </sheetData>
      <sheetData sheetId="4466">
        <row r="2">
          <cell r="A2" t="str">
            <v>Complete</v>
          </cell>
        </row>
      </sheetData>
      <sheetData sheetId="4467">
        <row r="2">
          <cell r="A2" t="str">
            <v>Complete</v>
          </cell>
        </row>
      </sheetData>
      <sheetData sheetId="4468">
        <row r="2">
          <cell r="A2" t="str">
            <v>Complete</v>
          </cell>
        </row>
      </sheetData>
      <sheetData sheetId="4469">
        <row r="2">
          <cell r="A2" t="str">
            <v>Complete</v>
          </cell>
        </row>
      </sheetData>
      <sheetData sheetId="4470">
        <row r="2">
          <cell r="A2" t="str">
            <v>Complete</v>
          </cell>
        </row>
      </sheetData>
      <sheetData sheetId="4471">
        <row r="2">
          <cell r="A2" t="str">
            <v>Complete</v>
          </cell>
        </row>
      </sheetData>
      <sheetData sheetId="4472">
        <row r="2">
          <cell r="A2" t="str">
            <v>Complete</v>
          </cell>
        </row>
      </sheetData>
      <sheetData sheetId="4473">
        <row r="2">
          <cell r="A2" t="str">
            <v>Complete</v>
          </cell>
        </row>
      </sheetData>
      <sheetData sheetId="4474">
        <row r="2">
          <cell r="A2" t="str">
            <v>Complete</v>
          </cell>
        </row>
      </sheetData>
      <sheetData sheetId="4475">
        <row r="2">
          <cell r="A2" t="str">
            <v>Complete</v>
          </cell>
        </row>
      </sheetData>
      <sheetData sheetId="4476">
        <row r="2">
          <cell r="A2" t="str">
            <v>Complete</v>
          </cell>
        </row>
      </sheetData>
      <sheetData sheetId="4477">
        <row r="2">
          <cell r="A2" t="str">
            <v>Complete</v>
          </cell>
        </row>
      </sheetData>
      <sheetData sheetId="4478">
        <row r="2">
          <cell r="A2" t="str">
            <v>Complete</v>
          </cell>
        </row>
      </sheetData>
      <sheetData sheetId="4479">
        <row r="2">
          <cell r="A2" t="str">
            <v>Complete</v>
          </cell>
        </row>
      </sheetData>
      <sheetData sheetId="4480">
        <row r="2">
          <cell r="A2">
            <v>43462</v>
          </cell>
        </row>
      </sheetData>
      <sheetData sheetId="4481">
        <row r="2">
          <cell r="A2">
            <v>43462</v>
          </cell>
        </row>
      </sheetData>
      <sheetData sheetId="4482">
        <row r="2">
          <cell r="A2">
            <v>43462</v>
          </cell>
        </row>
      </sheetData>
      <sheetData sheetId="4483">
        <row r="2">
          <cell r="A2">
            <v>43462</v>
          </cell>
        </row>
      </sheetData>
      <sheetData sheetId="4484">
        <row r="2">
          <cell r="A2">
            <v>43462</v>
          </cell>
        </row>
      </sheetData>
      <sheetData sheetId="4485">
        <row r="2">
          <cell r="A2">
            <v>43462</v>
          </cell>
        </row>
      </sheetData>
      <sheetData sheetId="4486">
        <row r="2">
          <cell r="A2">
            <v>43462</v>
          </cell>
        </row>
      </sheetData>
      <sheetData sheetId="4487">
        <row r="2">
          <cell r="A2">
            <v>43462</v>
          </cell>
        </row>
      </sheetData>
      <sheetData sheetId="4488">
        <row r="2">
          <cell r="A2">
            <v>43462</v>
          </cell>
        </row>
      </sheetData>
      <sheetData sheetId="4489">
        <row r="2">
          <cell r="A2">
            <v>43462</v>
          </cell>
        </row>
      </sheetData>
      <sheetData sheetId="4490">
        <row r="2">
          <cell r="A2">
            <v>43462</v>
          </cell>
        </row>
      </sheetData>
      <sheetData sheetId="4491">
        <row r="2">
          <cell r="A2">
            <v>43462</v>
          </cell>
        </row>
      </sheetData>
      <sheetData sheetId="4492">
        <row r="2">
          <cell r="A2">
            <v>43462</v>
          </cell>
        </row>
      </sheetData>
      <sheetData sheetId="4493">
        <row r="2">
          <cell r="A2">
            <v>43462</v>
          </cell>
        </row>
      </sheetData>
      <sheetData sheetId="4494">
        <row r="2">
          <cell r="A2">
            <v>43462</v>
          </cell>
        </row>
      </sheetData>
      <sheetData sheetId="4495">
        <row r="2">
          <cell r="A2">
            <v>43462</v>
          </cell>
        </row>
      </sheetData>
      <sheetData sheetId="4496">
        <row r="2">
          <cell r="A2">
            <v>43462</v>
          </cell>
        </row>
      </sheetData>
      <sheetData sheetId="4497">
        <row r="2">
          <cell r="A2">
            <v>43462</v>
          </cell>
        </row>
      </sheetData>
      <sheetData sheetId="4498">
        <row r="2">
          <cell r="A2">
            <v>43462</v>
          </cell>
        </row>
      </sheetData>
      <sheetData sheetId="4499">
        <row r="2">
          <cell r="A2">
            <v>43462</v>
          </cell>
        </row>
      </sheetData>
      <sheetData sheetId="4500">
        <row r="2">
          <cell r="A2">
            <v>43462</v>
          </cell>
        </row>
      </sheetData>
      <sheetData sheetId="4501">
        <row r="2">
          <cell r="A2">
            <v>43462</v>
          </cell>
        </row>
      </sheetData>
      <sheetData sheetId="4502">
        <row r="2">
          <cell r="A2">
            <v>43462</v>
          </cell>
        </row>
      </sheetData>
      <sheetData sheetId="4503">
        <row r="2">
          <cell r="A2">
            <v>43462</v>
          </cell>
        </row>
      </sheetData>
      <sheetData sheetId="4504">
        <row r="2">
          <cell r="A2">
            <v>43462</v>
          </cell>
        </row>
      </sheetData>
      <sheetData sheetId="4505">
        <row r="2">
          <cell r="A2">
            <v>43462</v>
          </cell>
        </row>
      </sheetData>
      <sheetData sheetId="4506">
        <row r="2">
          <cell r="A2">
            <v>43462</v>
          </cell>
        </row>
      </sheetData>
      <sheetData sheetId="4507">
        <row r="2">
          <cell r="A2" t="str">
            <v>Complete</v>
          </cell>
        </row>
      </sheetData>
      <sheetData sheetId="4508">
        <row r="2">
          <cell r="A2" t="str">
            <v>Complete</v>
          </cell>
        </row>
      </sheetData>
      <sheetData sheetId="4509">
        <row r="2">
          <cell r="A2">
            <v>43462</v>
          </cell>
        </row>
      </sheetData>
      <sheetData sheetId="4510">
        <row r="2">
          <cell r="A2">
            <v>43462</v>
          </cell>
        </row>
      </sheetData>
      <sheetData sheetId="4511">
        <row r="2">
          <cell r="A2">
            <v>43462</v>
          </cell>
        </row>
      </sheetData>
      <sheetData sheetId="4512">
        <row r="2">
          <cell r="A2">
            <v>43462</v>
          </cell>
        </row>
      </sheetData>
      <sheetData sheetId="4513">
        <row r="2">
          <cell r="A2">
            <v>43462</v>
          </cell>
        </row>
      </sheetData>
      <sheetData sheetId="4514">
        <row r="2">
          <cell r="A2">
            <v>43462</v>
          </cell>
        </row>
      </sheetData>
      <sheetData sheetId="4515">
        <row r="2">
          <cell r="A2">
            <v>43462</v>
          </cell>
        </row>
      </sheetData>
      <sheetData sheetId="4516">
        <row r="2">
          <cell r="A2">
            <v>43462</v>
          </cell>
        </row>
      </sheetData>
      <sheetData sheetId="4517">
        <row r="2">
          <cell r="A2">
            <v>43462</v>
          </cell>
        </row>
      </sheetData>
      <sheetData sheetId="4518">
        <row r="2">
          <cell r="A2" t="str">
            <v>Complete</v>
          </cell>
        </row>
      </sheetData>
      <sheetData sheetId="4519">
        <row r="2">
          <cell r="A2" t="str">
            <v>Complete</v>
          </cell>
        </row>
      </sheetData>
      <sheetData sheetId="4520">
        <row r="2">
          <cell r="A2" t="str">
            <v>Complete</v>
          </cell>
        </row>
      </sheetData>
      <sheetData sheetId="4521">
        <row r="2">
          <cell r="A2" t="str">
            <v>Complete</v>
          </cell>
        </row>
      </sheetData>
      <sheetData sheetId="4522">
        <row r="2">
          <cell r="A2" t="str">
            <v>Complete</v>
          </cell>
        </row>
      </sheetData>
      <sheetData sheetId="4523">
        <row r="2">
          <cell r="A2" t="str">
            <v>Complete</v>
          </cell>
        </row>
      </sheetData>
      <sheetData sheetId="4524">
        <row r="2">
          <cell r="A2">
            <v>43462</v>
          </cell>
        </row>
      </sheetData>
      <sheetData sheetId="4525">
        <row r="2">
          <cell r="A2">
            <v>43462</v>
          </cell>
        </row>
      </sheetData>
      <sheetData sheetId="4526">
        <row r="2">
          <cell r="A2">
            <v>43462</v>
          </cell>
        </row>
      </sheetData>
      <sheetData sheetId="4527">
        <row r="2">
          <cell r="A2">
            <v>43462</v>
          </cell>
        </row>
      </sheetData>
      <sheetData sheetId="4528">
        <row r="2">
          <cell r="A2">
            <v>43462</v>
          </cell>
        </row>
      </sheetData>
      <sheetData sheetId="4529">
        <row r="2">
          <cell r="A2" t="str">
            <v>Complete</v>
          </cell>
        </row>
      </sheetData>
      <sheetData sheetId="4530">
        <row r="2">
          <cell r="A2" t="str">
            <v>Complete</v>
          </cell>
        </row>
      </sheetData>
      <sheetData sheetId="4531">
        <row r="2">
          <cell r="A2" t="str">
            <v>Complete</v>
          </cell>
        </row>
      </sheetData>
      <sheetData sheetId="4532">
        <row r="2">
          <cell r="A2" t="str">
            <v>Complete</v>
          </cell>
        </row>
      </sheetData>
      <sheetData sheetId="4533">
        <row r="2">
          <cell r="A2" t="str">
            <v>Complete</v>
          </cell>
        </row>
      </sheetData>
      <sheetData sheetId="4534">
        <row r="2">
          <cell r="A2" t="str">
            <v>Complete</v>
          </cell>
        </row>
      </sheetData>
      <sheetData sheetId="4535">
        <row r="2">
          <cell r="A2" t="str">
            <v>Complete</v>
          </cell>
        </row>
      </sheetData>
      <sheetData sheetId="4536">
        <row r="2">
          <cell r="A2" t="str">
            <v>Complete</v>
          </cell>
        </row>
      </sheetData>
      <sheetData sheetId="4537">
        <row r="2">
          <cell r="A2" t="str">
            <v>Complete</v>
          </cell>
        </row>
      </sheetData>
      <sheetData sheetId="4538">
        <row r="2">
          <cell r="A2" t="str">
            <v>Complete</v>
          </cell>
        </row>
      </sheetData>
      <sheetData sheetId="4539">
        <row r="2">
          <cell r="A2" t="str">
            <v>Complete</v>
          </cell>
        </row>
      </sheetData>
      <sheetData sheetId="4540">
        <row r="2">
          <cell r="A2" t="str">
            <v>Complete</v>
          </cell>
        </row>
      </sheetData>
      <sheetData sheetId="4541">
        <row r="2">
          <cell r="A2" t="str">
            <v>Complete</v>
          </cell>
        </row>
      </sheetData>
      <sheetData sheetId="4542">
        <row r="2">
          <cell r="A2" t="str">
            <v>Complete</v>
          </cell>
        </row>
      </sheetData>
      <sheetData sheetId="4543">
        <row r="2">
          <cell r="A2" t="str">
            <v>Complete</v>
          </cell>
        </row>
      </sheetData>
      <sheetData sheetId="4544">
        <row r="2">
          <cell r="A2" t="str">
            <v>Complete</v>
          </cell>
        </row>
      </sheetData>
      <sheetData sheetId="4545">
        <row r="2">
          <cell r="A2" t="str">
            <v>Complete</v>
          </cell>
        </row>
      </sheetData>
      <sheetData sheetId="4546">
        <row r="2">
          <cell r="A2" t="str">
            <v>Complete</v>
          </cell>
        </row>
      </sheetData>
      <sheetData sheetId="4547">
        <row r="2">
          <cell r="A2" t="str">
            <v>Complete</v>
          </cell>
        </row>
      </sheetData>
      <sheetData sheetId="4548">
        <row r="2">
          <cell r="A2" t="str">
            <v>Complete</v>
          </cell>
        </row>
      </sheetData>
      <sheetData sheetId="4549">
        <row r="2">
          <cell r="A2" t="str">
            <v>Complete</v>
          </cell>
        </row>
      </sheetData>
      <sheetData sheetId="4550">
        <row r="2">
          <cell r="A2" t="str">
            <v>Complete</v>
          </cell>
        </row>
      </sheetData>
      <sheetData sheetId="4551">
        <row r="2">
          <cell r="A2" t="str">
            <v>Complete</v>
          </cell>
        </row>
      </sheetData>
      <sheetData sheetId="4552">
        <row r="2">
          <cell r="A2" t="str">
            <v>Complete</v>
          </cell>
        </row>
      </sheetData>
      <sheetData sheetId="4553">
        <row r="2">
          <cell r="A2" t="str">
            <v>Complete</v>
          </cell>
        </row>
      </sheetData>
      <sheetData sheetId="4554">
        <row r="2">
          <cell r="A2" t="str">
            <v>Complete</v>
          </cell>
        </row>
      </sheetData>
      <sheetData sheetId="4555">
        <row r="2">
          <cell r="A2" t="str">
            <v>Complete</v>
          </cell>
        </row>
      </sheetData>
      <sheetData sheetId="4556">
        <row r="2">
          <cell r="A2" t="str">
            <v>Complete</v>
          </cell>
        </row>
      </sheetData>
      <sheetData sheetId="4557">
        <row r="2">
          <cell r="A2" t="str">
            <v>Complete</v>
          </cell>
        </row>
      </sheetData>
      <sheetData sheetId="4558">
        <row r="2">
          <cell r="A2" t="str">
            <v>Complete</v>
          </cell>
        </row>
      </sheetData>
      <sheetData sheetId="4559">
        <row r="2">
          <cell r="A2" t="str">
            <v>Complete</v>
          </cell>
        </row>
      </sheetData>
      <sheetData sheetId="4560">
        <row r="2">
          <cell r="A2" t="str">
            <v>Complete</v>
          </cell>
        </row>
      </sheetData>
      <sheetData sheetId="4561">
        <row r="2">
          <cell r="A2">
            <v>43462</v>
          </cell>
        </row>
      </sheetData>
      <sheetData sheetId="4562">
        <row r="2">
          <cell r="A2">
            <v>43462</v>
          </cell>
        </row>
      </sheetData>
      <sheetData sheetId="4563">
        <row r="2">
          <cell r="A2">
            <v>43462</v>
          </cell>
        </row>
      </sheetData>
      <sheetData sheetId="4564">
        <row r="2">
          <cell r="A2">
            <v>43462</v>
          </cell>
        </row>
      </sheetData>
      <sheetData sheetId="4565">
        <row r="2">
          <cell r="A2">
            <v>43462</v>
          </cell>
        </row>
      </sheetData>
      <sheetData sheetId="4566">
        <row r="2">
          <cell r="A2">
            <v>43462</v>
          </cell>
        </row>
      </sheetData>
      <sheetData sheetId="4567">
        <row r="2">
          <cell r="A2">
            <v>43462</v>
          </cell>
        </row>
      </sheetData>
      <sheetData sheetId="4568">
        <row r="2">
          <cell r="A2">
            <v>43462</v>
          </cell>
        </row>
      </sheetData>
      <sheetData sheetId="4569">
        <row r="2">
          <cell r="A2">
            <v>43462</v>
          </cell>
        </row>
      </sheetData>
      <sheetData sheetId="4570">
        <row r="2">
          <cell r="A2">
            <v>43462</v>
          </cell>
        </row>
      </sheetData>
      <sheetData sheetId="4571">
        <row r="2">
          <cell r="A2">
            <v>43462</v>
          </cell>
        </row>
      </sheetData>
      <sheetData sheetId="4572">
        <row r="2">
          <cell r="A2">
            <v>43462</v>
          </cell>
        </row>
      </sheetData>
      <sheetData sheetId="4573">
        <row r="2">
          <cell r="A2">
            <v>43462</v>
          </cell>
        </row>
      </sheetData>
      <sheetData sheetId="4574">
        <row r="2">
          <cell r="A2">
            <v>43462</v>
          </cell>
        </row>
      </sheetData>
      <sheetData sheetId="4575">
        <row r="2">
          <cell r="A2">
            <v>43462</v>
          </cell>
        </row>
      </sheetData>
      <sheetData sheetId="4576">
        <row r="2">
          <cell r="A2">
            <v>43462</v>
          </cell>
        </row>
      </sheetData>
      <sheetData sheetId="4577">
        <row r="2">
          <cell r="A2">
            <v>43462</v>
          </cell>
        </row>
      </sheetData>
      <sheetData sheetId="4578">
        <row r="2">
          <cell r="A2">
            <v>43462</v>
          </cell>
        </row>
      </sheetData>
      <sheetData sheetId="4579">
        <row r="2">
          <cell r="A2" t="str">
            <v>Complete</v>
          </cell>
        </row>
      </sheetData>
      <sheetData sheetId="4580">
        <row r="2">
          <cell r="A2" t="str">
            <v>Complete</v>
          </cell>
        </row>
      </sheetData>
      <sheetData sheetId="4581">
        <row r="2">
          <cell r="A2">
            <v>43462</v>
          </cell>
        </row>
      </sheetData>
      <sheetData sheetId="4582">
        <row r="2">
          <cell r="A2">
            <v>43462</v>
          </cell>
        </row>
      </sheetData>
      <sheetData sheetId="4583">
        <row r="2">
          <cell r="A2">
            <v>43462</v>
          </cell>
        </row>
      </sheetData>
      <sheetData sheetId="4584">
        <row r="2">
          <cell r="A2">
            <v>43462</v>
          </cell>
        </row>
      </sheetData>
      <sheetData sheetId="4585">
        <row r="2">
          <cell r="A2">
            <v>43462</v>
          </cell>
        </row>
      </sheetData>
      <sheetData sheetId="4586">
        <row r="2">
          <cell r="A2">
            <v>43462</v>
          </cell>
        </row>
      </sheetData>
      <sheetData sheetId="4587">
        <row r="2">
          <cell r="A2">
            <v>43462</v>
          </cell>
        </row>
      </sheetData>
      <sheetData sheetId="4588">
        <row r="2">
          <cell r="A2">
            <v>43462</v>
          </cell>
        </row>
      </sheetData>
      <sheetData sheetId="4589">
        <row r="2">
          <cell r="A2">
            <v>43462</v>
          </cell>
        </row>
      </sheetData>
      <sheetData sheetId="4590">
        <row r="2">
          <cell r="A2" t="str">
            <v>Complete</v>
          </cell>
        </row>
      </sheetData>
      <sheetData sheetId="4591">
        <row r="2">
          <cell r="A2" t="str">
            <v>Complete</v>
          </cell>
        </row>
      </sheetData>
      <sheetData sheetId="4592">
        <row r="2">
          <cell r="A2" t="str">
            <v>Complete</v>
          </cell>
        </row>
      </sheetData>
      <sheetData sheetId="4593">
        <row r="2">
          <cell r="A2" t="str">
            <v>Complete</v>
          </cell>
        </row>
      </sheetData>
      <sheetData sheetId="4594">
        <row r="2">
          <cell r="A2" t="str">
            <v>Complete</v>
          </cell>
        </row>
      </sheetData>
      <sheetData sheetId="4595">
        <row r="2">
          <cell r="A2" t="str">
            <v>Complete</v>
          </cell>
        </row>
      </sheetData>
      <sheetData sheetId="4596">
        <row r="2">
          <cell r="A2">
            <v>43462</v>
          </cell>
        </row>
      </sheetData>
      <sheetData sheetId="4597">
        <row r="2">
          <cell r="A2">
            <v>43462</v>
          </cell>
        </row>
      </sheetData>
      <sheetData sheetId="4598">
        <row r="2">
          <cell r="A2">
            <v>43462</v>
          </cell>
        </row>
      </sheetData>
      <sheetData sheetId="4599">
        <row r="2">
          <cell r="A2">
            <v>43462</v>
          </cell>
        </row>
      </sheetData>
      <sheetData sheetId="4600">
        <row r="2">
          <cell r="A2">
            <v>43462</v>
          </cell>
        </row>
      </sheetData>
      <sheetData sheetId="4601">
        <row r="2">
          <cell r="A2" t="str">
            <v>Complete</v>
          </cell>
        </row>
      </sheetData>
      <sheetData sheetId="4602">
        <row r="2">
          <cell r="A2" t="str">
            <v>Complete</v>
          </cell>
        </row>
      </sheetData>
      <sheetData sheetId="4603">
        <row r="2">
          <cell r="A2" t="str">
            <v>Complete</v>
          </cell>
        </row>
      </sheetData>
      <sheetData sheetId="4604">
        <row r="2">
          <cell r="A2" t="str">
            <v>Complete</v>
          </cell>
        </row>
      </sheetData>
      <sheetData sheetId="4605">
        <row r="2">
          <cell r="A2" t="str">
            <v>Complete</v>
          </cell>
        </row>
      </sheetData>
      <sheetData sheetId="4606">
        <row r="2">
          <cell r="A2" t="str">
            <v>Complete</v>
          </cell>
        </row>
      </sheetData>
      <sheetData sheetId="4607">
        <row r="2">
          <cell r="A2" t="str">
            <v>Complete</v>
          </cell>
        </row>
      </sheetData>
      <sheetData sheetId="4608">
        <row r="2">
          <cell r="A2" t="str">
            <v>Complete</v>
          </cell>
        </row>
      </sheetData>
      <sheetData sheetId="4609">
        <row r="2">
          <cell r="A2" t="str">
            <v>Complete</v>
          </cell>
        </row>
      </sheetData>
      <sheetData sheetId="4610">
        <row r="2">
          <cell r="A2" t="str">
            <v>Complete</v>
          </cell>
        </row>
      </sheetData>
      <sheetData sheetId="4611">
        <row r="2">
          <cell r="A2" t="str">
            <v>Complete</v>
          </cell>
        </row>
      </sheetData>
      <sheetData sheetId="4612">
        <row r="2">
          <cell r="A2" t="str">
            <v>Complete</v>
          </cell>
        </row>
      </sheetData>
      <sheetData sheetId="4613">
        <row r="2">
          <cell r="A2" t="str">
            <v>Complete</v>
          </cell>
        </row>
      </sheetData>
      <sheetData sheetId="4614">
        <row r="2">
          <cell r="A2" t="str">
            <v>Complete</v>
          </cell>
        </row>
      </sheetData>
      <sheetData sheetId="4615">
        <row r="2">
          <cell r="A2" t="str">
            <v>Complete</v>
          </cell>
        </row>
      </sheetData>
      <sheetData sheetId="4616">
        <row r="2">
          <cell r="A2" t="str">
            <v>Complete</v>
          </cell>
        </row>
      </sheetData>
      <sheetData sheetId="4617">
        <row r="2">
          <cell r="A2" t="str">
            <v>Complete</v>
          </cell>
        </row>
      </sheetData>
      <sheetData sheetId="4618">
        <row r="2">
          <cell r="A2" t="str">
            <v>Complete</v>
          </cell>
        </row>
      </sheetData>
      <sheetData sheetId="4619">
        <row r="2">
          <cell r="A2" t="str">
            <v>Complete</v>
          </cell>
        </row>
      </sheetData>
      <sheetData sheetId="4620">
        <row r="2">
          <cell r="A2" t="str">
            <v>Complete</v>
          </cell>
        </row>
      </sheetData>
      <sheetData sheetId="4621">
        <row r="2">
          <cell r="A2" t="str">
            <v>Complete</v>
          </cell>
        </row>
      </sheetData>
      <sheetData sheetId="4622">
        <row r="2">
          <cell r="A2" t="str">
            <v>Complete</v>
          </cell>
        </row>
      </sheetData>
      <sheetData sheetId="4623">
        <row r="2">
          <cell r="A2" t="str">
            <v>Complete</v>
          </cell>
        </row>
      </sheetData>
      <sheetData sheetId="4624">
        <row r="2">
          <cell r="A2" t="str">
            <v>Complete</v>
          </cell>
        </row>
      </sheetData>
      <sheetData sheetId="4625">
        <row r="2">
          <cell r="A2" t="str">
            <v>Complete</v>
          </cell>
        </row>
      </sheetData>
      <sheetData sheetId="4626">
        <row r="2">
          <cell r="A2" t="str">
            <v>Complete</v>
          </cell>
        </row>
      </sheetData>
      <sheetData sheetId="4627">
        <row r="2">
          <cell r="A2" t="str">
            <v>Complete</v>
          </cell>
        </row>
      </sheetData>
      <sheetData sheetId="4628">
        <row r="2">
          <cell r="A2" t="str">
            <v>Complete</v>
          </cell>
        </row>
      </sheetData>
      <sheetData sheetId="4629">
        <row r="2">
          <cell r="A2" t="str">
            <v>Complete</v>
          </cell>
        </row>
      </sheetData>
      <sheetData sheetId="4630">
        <row r="2">
          <cell r="A2" t="str">
            <v>Complete</v>
          </cell>
        </row>
      </sheetData>
      <sheetData sheetId="4631">
        <row r="2">
          <cell r="A2" t="str">
            <v>Complete</v>
          </cell>
        </row>
      </sheetData>
      <sheetData sheetId="4632">
        <row r="2">
          <cell r="A2" t="str">
            <v>Complete</v>
          </cell>
        </row>
      </sheetData>
      <sheetData sheetId="4633">
        <row r="2">
          <cell r="A2" t="str">
            <v>Complete</v>
          </cell>
        </row>
      </sheetData>
      <sheetData sheetId="4634">
        <row r="2">
          <cell r="A2">
            <v>43462</v>
          </cell>
        </row>
      </sheetData>
      <sheetData sheetId="4635">
        <row r="2">
          <cell r="A2">
            <v>43462</v>
          </cell>
        </row>
      </sheetData>
      <sheetData sheetId="4636">
        <row r="2">
          <cell r="A2">
            <v>43462</v>
          </cell>
        </row>
      </sheetData>
      <sheetData sheetId="4637">
        <row r="2">
          <cell r="A2">
            <v>43462</v>
          </cell>
        </row>
      </sheetData>
      <sheetData sheetId="4638">
        <row r="2">
          <cell r="A2">
            <v>43462</v>
          </cell>
        </row>
      </sheetData>
      <sheetData sheetId="4639">
        <row r="2">
          <cell r="A2">
            <v>43462</v>
          </cell>
        </row>
      </sheetData>
      <sheetData sheetId="4640">
        <row r="2">
          <cell r="A2">
            <v>43462</v>
          </cell>
        </row>
      </sheetData>
      <sheetData sheetId="4641">
        <row r="2">
          <cell r="A2">
            <v>43462</v>
          </cell>
        </row>
      </sheetData>
      <sheetData sheetId="4642">
        <row r="2">
          <cell r="A2">
            <v>43462</v>
          </cell>
        </row>
      </sheetData>
      <sheetData sheetId="4643">
        <row r="2">
          <cell r="A2">
            <v>43462</v>
          </cell>
        </row>
      </sheetData>
      <sheetData sheetId="4644">
        <row r="2">
          <cell r="A2">
            <v>43462</v>
          </cell>
        </row>
      </sheetData>
      <sheetData sheetId="4645">
        <row r="2">
          <cell r="A2">
            <v>43462</v>
          </cell>
        </row>
      </sheetData>
      <sheetData sheetId="4646">
        <row r="2">
          <cell r="A2">
            <v>43462</v>
          </cell>
        </row>
      </sheetData>
      <sheetData sheetId="4647">
        <row r="2">
          <cell r="A2">
            <v>43462</v>
          </cell>
        </row>
      </sheetData>
      <sheetData sheetId="4648">
        <row r="2">
          <cell r="A2">
            <v>43462</v>
          </cell>
        </row>
      </sheetData>
      <sheetData sheetId="4649">
        <row r="2">
          <cell r="A2">
            <v>43462</v>
          </cell>
        </row>
      </sheetData>
      <sheetData sheetId="4650">
        <row r="2">
          <cell r="A2">
            <v>43462</v>
          </cell>
        </row>
      </sheetData>
      <sheetData sheetId="4651">
        <row r="2">
          <cell r="A2" t="str">
            <v>Complete</v>
          </cell>
        </row>
      </sheetData>
      <sheetData sheetId="4652">
        <row r="2">
          <cell r="A2" t="str">
            <v>Complete</v>
          </cell>
        </row>
      </sheetData>
      <sheetData sheetId="4653">
        <row r="2">
          <cell r="A2">
            <v>43462</v>
          </cell>
        </row>
      </sheetData>
      <sheetData sheetId="4654">
        <row r="2">
          <cell r="A2">
            <v>43462</v>
          </cell>
        </row>
      </sheetData>
      <sheetData sheetId="4655">
        <row r="2">
          <cell r="A2">
            <v>43462</v>
          </cell>
        </row>
      </sheetData>
      <sheetData sheetId="4656">
        <row r="2">
          <cell r="A2">
            <v>43462</v>
          </cell>
        </row>
      </sheetData>
      <sheetData sheetId="4657">
        <row r="2">
          <cell r="A2">
            <v>43462</v>
          </cell>
        </row>
      </sheetData>
      <sheetData sheetId="4658">
        <row r="2">
          <cell r="A2">
            <v>43462</v>
          </cell>
        </row>
      </sheetData>
      <sheetData sheetId="4659">
        <row r="2">
          <cell r="A2">
            <v>43462</v>
          </cell>
        </row>
      </sheetData>
      <sheetData sheetId="4660">
        <row r="2">
          <cell r="A2">
            <v>43462</v>
          </cell>
        </row>
      </sheetData>
      <sheetData sheetId="4661">
        <row r="2">
          <cell r="A2">
            <v>43462</v>
          </cell>
        </row>
      </sheetData>
      <sheetData sheetId="4662">
        <row r="2">
          <cell r="A2" t="str">
            <v>Complete</v>
          </cell>
        </row>
      </sheetData>
      <sheetData sheetId="4663">
        <row r="2">
          <cell r="A2" t="str">
            <v>Complete</v>
          </cell>
        </row>
      </sheetData>
      <sheetData sheetId="4664">
        <row r="2">
          <cell r="A2" t="str">
            <v>Complete</v>
          </cell>
        </row>
      </sheetData>
      <sheetData sheetId="4665">
        <row r="2">
          <cell r="A2" t="str">
            <v>Complete</v>
          </cell>
        </row>
      </sheetData>
      <sheetData sheetId="4666">
        <row r="2">
          <cell r="A2" t="str">
            <v>Complete</v>
          </cell>
        </row>
      </sheetData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>
        <row r="2">
          <cell r="A2" t="str">
            <v>Complete</v>
          </cell>
        </row>
      </sheetData>
      <sheetData sheetId="4680">
        <row r="2">
          <cell r="A2" t="str">
            <v>Complete</v>
          </cell>
        </row>
      </sheetData>
      <sheetData sheetId="4681">
        <row r="2">
          <cell r="A2" t="str">
            <v>Complete</v>
          </cell>
        </row>
      </sheetData>
      <sheetData sheetId="4682">
        <row r="2">
          <cell r="A2" t="str">
            <v>Complete</v>
          </cell>
        </row>
      </sheetData>
      <sheetData sheetId="4683">
        <row r="2">
          <cell r="A2" t="str">
            <v>Complete</v>
          </cell>
        </row>
      </sheetData>
      <sheetData sheetId="4684">
        <row r="2">
          <cell r="A2" t="str">
            <v>Complete</v>
          </cell>
        </row>
      </sheetData>
      <sheetData sheetId="4685">
        <row r="2">
          <cell r="A2" t="str">
            <v>Complete</v>
          </cell>
        </row>
      </sheetData>
      <sheetData sheetId="4686">
        <row r="2">
          <cell r="A2" t="str">
            <v>Complete</v>
          </cell>
        </row>
      </sheetData>
      <sheetData sheetId="4687">
        <row r="2">
          <cell r="A2" t="str">
            <v>Complete</v>
          </cell>
        </row>
      </sheetData>
      <sheetData sheetId="4688">
        <row r="2">
          <cell r="A2" t="str">
            <v>Complete</v>
          </cell>
        </row>
      </sheetData>
      <sheetData sheetId="4689">
        <row r="2">
          <cell r="A2" t="str">
            <v>Complete</v>
          </cell>
        </row>
      </sheetData>
      <sheetData sheetId="4690">
        <row r="2">
          <cell r="A2" t="str">
            <v>Complete</v>
          </cell>
        </row>
      </sheetData>
      <sheetData sheetId="4691">
        <row r="2">
          <cell r="A2" t="str">
            <v>Complete</v>
          </cell>
        </row>
      </sheetData>
      <sheetData sheetId="4692">
        <row r="2">
          <cell r="A2" t="str">
            <v>Complete</v>
          </cell>
        </row>
      </sheetData>
      <sheetData sheetId="4693">
        <row r="2">
          <cell r="A2" t="str">
            <v>Complete</v>
          </cell>
        </row>
      </sheetData>
      <sheetData sheetId="4694">
        <row r="2">
          <cell r="A2" t="str">
            <v>Complete</v>
          </cell>
        </row>
      </sheetData>
      <sheetData sheetId="4695">
        <row r="2">
          <cell r="A2" t="str">
            <v>Complete</v>
          </cell>
        </row>
      </sheetData>
      <sheetData sheetId="4696">
        <row r="2">
          <cell r="A2" t="str">
            <v>Complete</v>
          </cell>
        </row>
      </sheetData>
      <sheetData sheetId="4697">
        <row r="2">
          <cell r="A2" t="str">
            <v>Complete</v>
          </cell>
        </row>
      </sheetData>
      <sheetData sheetId="4698">
        <row r="2">
          <cell r="A2" t="str">
            <v>Complete</v>
          </cell>
        </row>
      </sheetData>
      <sheetData sheetId="4699">
        <row r="2">
          <cell r="A2" t="str">
            <v>Complete</v>
          </cell>
        </row>
      </sheetData>
      <sheetData sheetId="4700">
        <row r="2">
          <cell r="A2" t="str">
            <v>Complete</v>
          </cell>
        </row>
      </sheetData>
      <sheetData sheetId="4701">
        <row r="2">
          <cell r="A2" t="str">
            <v>Complete</v>
          </cell>
        </row>
      </sheetData>
      <sheetData sheetId="4702">
        <row r="2">
          <cell r="A2" t="str">
            <v>Complete</v>
          </cell>
        </row>
      </sheetData>
      <sheetData sheetId="4703">
        <row r="2">
          <cell r="A2" t="str">
            <v>Complete</v>
          </cell>
        </row>
      </sheetData>
      <sheetData sheetId="4704">
        <row r="2">
          <cell r="A2" t="str">
            <v>Complete</v>
          </cell>
        </row>
      </sheetData>
      <sheetData sheetId="4705">
        <row r="2">
          <cell r="A2" t="str">
            <v>Complete</v>
          </cell>
        </row>
      </sheetData>
      <sheetData sheetId="4706">
        <row r="2">
          <cell r="A2" t="str">
            <v>Complete</v>
          </cell>
        </row>
      </sheetData>
      <sheetData sheetId="4707">
        <row r="2">
          <cell r="A2" t="str">
            <v>Complete</v>
          </cell>
        </row>
      </sheetData>
      <sheetData sheetId="4708">
        <row r="2">
          <cell r="A2" t="str">
            <v>Complete</v>
          </cell>
        </row>
      </sheetData>
      <sheetData sheetId="4709">
        <row r="2">
          <cell r="A2" t="str">
            <v>Complete</v>
          </cell>
        </row>
      </sheetData>
      <sheetData sheetId="4710">
        <row r="2">
          <cell r="A2" t="str">
            <v>Complete</v>
          </cell>
        </row>
      </sheetData>
      <sheetData sheetId="4711">
        <row r="2">
          <cell r="A2" t="str">
            <v>Complete</v>
          </cell>
        </row>
      </sheetData>
      <sheetData sheetId="4712">
        <row r="2">
          <cell r="A2" t="str">
            <v>Complete</v>
          </cell>
        </row>
      </sheetData>
      <sheetData sheetId="4713">
        <row r="2">
          <cell r="A2" t="str">
            <v>Complete</v>
          </cell>
        </row>
      </sheetData>
      <sheetData sheetId="4714">
        <row r="2">
          <cell r="A2" t="str">
            <v>Complete</v>
          </cell>
        </row>
      </sheetData>
      <sheetData sheetId="4715">
        <row r="2">
          <cell r="A2" t="str">
            <v>Complete</v>
          </cell>
        </row>
      </sheetData>
      <sheetData sheetId="4716">
        <row r="2">
          <cell r="A2" t="str">
            <v>Complete</v>
          </cell>
        </row>
      </sheetData>
      <sheetData sheetId="4717">
        <row r="2">
          <cell r="A2" t="str">
            <v>Complete</v>
          </cell>
        </row>
      </sheetData>
      <sheetData sheetId="4718">
        <row r="2">
          <cell r="A2" t="str">
            <v>Complete</v>
          </cell>
        </row>
      </sheetData>
      <sheetData sheetId="4719">
        <row r="2">
          <cell r="A2" t="str">
            <v>Complete</v>
          </cell>
        </row>
      </sheetData>
      <sheetData sheetId="4720">
        <row r="2">
          <cell r="A2" t="str">
            <v>Complete</v>
          </cell>
        </row>
      </sheetData>
      <sheetData sheetId="4721">
        <row r="2">
          <cell r="A2" t="str">
            <v>Complete</v>
          </cell>
        </row>
      </sheetData>
      <sheetData sheetId="4722">
        <row r="2">
          <cell r="A2" t="str">
            <v>Complete</v>
          </cell>
        </row>
      </sheetData>
      <sheetData sheetId="4723">
        <row r="2">
          <cell r="A2" t="str">
            <v>Complete</v>
          </cell>
        </row>
      </sheetData>
      <sheetData sheetId="4724">
        <row r="2">
          <cell r="A2" t="str">
            <v>Complete</v>
          </cell>
        </row>
      </sheetData>
      <sheetData sheetId="4725">
        <row r="2">
          <cell r="A2" t="str">
            <v>Complete</v>
          </cell>
        </row>
      </sheetData>
      <sheetData sheetId="4726">
        <row r="2">
          <cell r="A2" t="str">
            <v>Complete</v>
          </cell>
        </row>
      </sheetData>
      <sheetData sheetId="4727">
        <row r="2">
          <cell r="A2" t="str">
            <v>Complete</v>
          </cell>
        </row>
      </sheetData>
      <sheetData sheetId="4728">
        <row r="2">
          <cell r="A2" t="str">
            <v>Complete</v>
          </cell>
        </row>
      </sheetData>
      <sheetData sheetId="4729">
        <row r="2">
          <cell r="A2" t="str">
            <v>Complete</v>
          </cell>
        </row>
      </sheetData>
      <sheetData sheetId="4730">
        <row r="2">
          <cell r="A2" t="str">
            <v>Complete</v>
          </cell>
        </row>
      </sheetData>
      <sheetData sheetId="4731">
        <row r="2">
          <cell r="A2" t="str">
            <v>Complete</v>
          </cell>
        </row>
      </sheetData>
      <sheetData sheetId="4732">
        <row r="2">
          <cell r="A2" t="str">
            <v>Complete</v>
          </cell>
        </row>
      </sheetData>
      <sheetData sheetId="4733">
        <row r="2">
          <cell r="A2" t="str">
            <v>Complete</v>
          </cell>
        </row>
      </sheetData>
      <sheetData sheetId="4734">
        <row r="2">
          <cell r="A2" t="str">
            <v>Complete</v>
          </cell>
        </row>
      </sheetData>
      <sheetData sheetId="4735">
        <row r="2">
          <cell r="A2" t="str">
            <v>Complete</v>
          </cell>
        </row>
      </sheetData>
      <sheetData sheetId="4736">
        <row r="2">
          <cell r="A2" t="str">
            <v>Complete</v>
          </cell>
        </row>
      </sheetData>
      <sheetData sheetId="4737">
        <row r="2">
          <cell r="A2" t="str">
            <v>Complete</v>
          </cell>
        </row>
      </sheetData>
      <sheetData sheetId="4738">
        <row r="2">
          <cell r="A2" t="str">
            <v>Complete</v>
          </cell>
        </row>
      </sheetData>
      <sheetData sheetId="4739">
        <row r="2">
          <cell r="A2" t="str">
            <v>Complete</v>
          </cell>
        </row>
      </sheetData>
      <sheetData sheetId="4740">
        <row r="2">
          <cell r="A2" t="str">
            <v>Complete</v>
          </cell>
        </row>
      </sheetData>
      <sheetData sheetId="4741">
        <row r="2">
          <cell r="A2" t="str">
            <v>Complete</v>
          </cell>
        </row>
      </sheetData>
      <sheetData sheetId="4742">
        <row r="2">
          <cell r="A2" t="str">
            <v>Complete</v>
          </cell>
        </row>
      </sheetData>
      <sheetData sheetId="4743">
        <row r="2">
          <cell r="A2" t="str">
            <v>Complete</v>
          </cell>
        </row>
      </sheetData>
      <sheetData sheetId="4744">
        <row r="2">
          <cell r="A2" t="str">
            <v>Complete</v>
          </cell>
        </row>
      </sheetData>
      <sheetData sheetId="4745">
        <row r="2">
          <cell r="A2" t="str">
            <v>Complete</v>
          </cell>
        </row>
      </sheetData>
      <sheetData sheetId="4746">
        <row r="2">
          <cell r="A2" t="str">
            <v>Complete</v>
          </cell>
        </row>
      </sheetData>
      <sheetData sheetId="4747">
        <row r="2">
          <cell r="A2" t="str">
            <v>Complete</v>
          </cell>
        </row>
      </sheetData>
      <sheetData sheetId="4748">
        <row r="2">
          <cell r="A2" t="str">
            <v>Complete</v>
          </cell>
        </row>
      </sheetData>
      <sheetData sheetId="4749">
        <row r="2">
          <cell r="A2" t="str">
            <v>Complete</v>
          </cell>
        </row>
      </sheetData>
      <sheetData sheetId="4750">
        <row r="2">
          <cell r="A2" t="str">
            <v>Complete</v>
          </cell>
        </row>
      </sheetData>
      <sheetData sheetId="4751">
        <row r="2">
          <cell r="A2" t="str">
            <v>Complete</v>
          </cell>
        </row>
      </sheetData>
      <sheetData sheetId="4752">
        <row r="2">
          <cell r="A2" t="str">
            <v>Complete</v>
          </cell>
        </row>
      </sheetData>
      <sheetData sheetId="4753">
        <row r="2">
          <cell r="A2" t="str">
            <v>Complete</v>
          </cell>
        </row>
      </sheetData>
      <sheetData sheetId="4754">
        <row r="2">
          <cell r="A2">
            <v>43462</v>
          </cell>
        </row>
      </sheetData>
      <sheetData sheetId="4755">
        <row r="2">
          <cell r="A2" t="str">
            <v>Complete</v>
          </cell>
        </row>
      </sheetData>
      <sheetData sheetId="4756">
        <row r="2">
          <cell r="A2" t="str">
            <v>Complete</v>
          </cell>
        </row>
      </sheetData>
      <sheetData sheetId="4757">
        <row r="2">
          <cell r="A2" t="str">
            <v>Complete</v>
          </cell>
        </row>
      </sheetData>
      <sheetData sheetId="4758">
        <row r="2">
          <cell r="A2">
            <v>43462</v>
          </cell>
        </row>
      </sheetData>
      <sheetData sheetId="4759">
        <row r="2">
          <cell r="A2" t="str">
            <v>Complete</v>
          </cell>
        </row>
      </sheetData>
      <sheetData sheetId="4760">
        <row r="2">
          <cell r="A2" t="str">
            <v>Complete</v>
          </cell>
        </row>
      </sheetData>
      <sheetData sheetId="4761">
        <row r="2">
          <cell r="A2" t="str">
            <v>Complete</v>
          </cell>
        </row>
      </sheetData>
      <sheetData sheetId="4762">
        <row r="2">
          <cell r="A2" t="str">
            <v>Complete</v>
          </cell>
        </row>
      </sheetData>
      <sheetData sheetId="4763">
        <row r="2">
          <cell r="A2" t="str">
            <v>Complete</v>
          </cell>
        </row>
      </sheetData>
      <sheetData sheetId="4764">
        <row r="2">
          <cell r="A2" t="str">
            <v>Complete</v>
          </cell>
        </row>
      </sheetData>
      <sheetData sheetId="4765">
        <row r="2">
          <cell r="A2">
            <v>43462</v>
          </cell>
        </row>
      </sheetData>
      <sheetData sheetId="4766">
        <row r="2">
          <cell r="A2">
            <v>43462</v>
          </cell>
        </row>
      </sheetData>
      <sheetData sheetId="4767">
        <row r="2">
          <cell r="A2" t="str">
            <v>Complete</v>
          </cell>
        </row>
      </sheetData>
      <sheetData sheetId="4768">
        <row r="2">
          <cell r="A2" t="str">
            <v>Complete</v>
          </cell>
        </row>
      </sheetData>
      <sheetData sheetId="4769">
        <row r="2">
          <cell r="A2">
            <v>43462</v>
          </cell>
        </row>
      </sheetData>
      <sheetData sheetId="4770">
        <row r="2">
          <cell r="A2" t="str">
            <v>Complete</v>
          </cell>
        </row>
      </sheetData>
      <sheetData sheetId="4771">
        <row r="2">
          <cell r="A2" t="str">
            <v>Complete</v>
          </cell>
        </row>
      </sheetData>
      <sheetData sheetId="4772">
        <row r="2">
          <cell r="A2" t="str">
            <v>Complete</v>
          </cell>
        </row>
      </sheetData>
      <sheetData sheetId="4773">
        <row r="2">
          <cell r="A2" t="str">
            <v>Complete</v>
          </cell>
        </row>
      </sheetData>
      <sheetData sheetId="4774">
        <row r="2">
          <cell r="A2" t="str">
            <v>Complete</v>
          </cell>
        </row>
      </sheetData>
      <sheetData sheetId="4775">
        <row r="2">
          <cell r="A2" t="str">
            <v>Complete</v>
          </cell>
        </row>
      </sheetData>
      <sheetData sheetId="4776">
        <row r="2">
          <cell r="A2">
            <v>43462</v>
          </cell>
        </row>
      </sheetData>
      <sheetData sheetId="4777">
        <row r="2">
          <cell r="A2">
            <v>43462</v>
          </cell>
        </row>
      </sheetData>
      <sheetData sheetId="4778">
        <row r="2">
          <cell r="A2">
            <v>43462</v>
          </cell>
        </row>
      </sheetData>
      <sheetData sheetId="4779">
        <row r="2">
          <cell r="A2">
            <v>43462</v>
          </cell>
        </row>
      </sheetData>
      <sheetData sheetId="4780">
        <row r="2">
          <cell r="A2">
            <v>43462</v>
          </cell>
        </row>
      </sheetData>
      <sheetData sheetId="4781">
        <row r="2">
          <cell r="A2" t="str">
            <v>Complete</v>
          </cell>
        </row>
      </sheetData>
      <sheetData sheetId="4782">
        <row r="2">
          <cell r="A2" t="str">
            <v>Complete</v>
          </cell>
        </row>
      </sheetData>
      <sheetData sheetId="4783">
        <row r="2">
          <cell r="A2" t="str">
            <v>Complete</v>
          </cell>
        </row>
      </sheetData>
      <sheetData sheetId="4784">
        <row r="2">
          <cell r="A2" t="str">
            <v>Complete</v>
          </cell>
        </row>
      </sheetData>
      <sheetData sheetId="4785">
        <row r="2">
          <cell r="A2" t="str">
            <v>Complete</v>
          </cell>
        </row>
      </sheetData>
      <sheetData sheetId="4786">
        <row r="2">
          <cell r="A2" t="str">
            <v>Complete</v>
          </cell>
        </row>
      </sheetData>
      <sheetData sheetId="4787">
        <row r="2">
          <cell r="A2" t="str">
            <v>Complete</v>
          </cell>
        </row>
      </sheetData>
      <sheetData sheetId="4788">
        <row r="2">
          <cell r="A2">
            <v>43462</v>
          </cell>
        </row>
      </sheetData>
      <sheetData sheetId="4789">
        <row r="2">
          <cell r="A2">
            <v>43462</v>
          </cell>
        </row>
      </sheetData>
      <sheetData sheetId="4790">
        <row r="2">
          <cell r="A2">
            <v>43462</v>
          </cell>
        </row>
      </sheetData>
      <sheetData sheetId="4791">
        <row r="2">
          <cell r="A2">
            <v>43462</v>
          </cell>
        </row>
      </sheetData>
      <sheetData sheetId="4792">
        <row r="2">
          <cell r="A2">
            <v>43462</v>
          </cell>
        </row>
      </sheetData>
      <sheetData sheetId="4793">
        <row r="2">
          <cell r="A2" t="str">
            <v>Complete</v>
          </cell>
        </row>
      </sheetData>
      <sheetData sheetId="4794">
        <row r="2">
          <cell r="A2" t="str">
            <v>Complete</v>
          </cell>
        </row>
      </sheetData>
      <sheetData sheetId="4795">
        <row r="2">
          <cell r="A2" t="str">
            <v>Complete</v>
          </cell>
        </row>
      </sheetData>
      <sheetData sheetId="4796">
        <row r="2">
          <cell r="A2" t="str">
            <v>Complete</v>
          </cell>
        </row>
      </sheetData>
      <sheetData sheetId="4797">
        <row r="2">
          <cell r="A2" t="str">
            <v>Complete</v>
          </cell>
        </row>
      </sheetData>
      <sheetData sheetId="4798">
        <row r="2">
          <cell r="A2" t="str">
            <v>Complete</v>
          </cell>
        </row>
      </sheetData>
      <sheetData sheetId="4799">
        <row r="2">
          <cell r="A2" t="str">
            <v>Complete</v>
          </cell>
        </row>
      </sheetData>
      <sheetData sheetId="4800">
        <row r="2">
          <cell r="A2">
            <v>43462</v>
          </cell>
        </row>
      </sheetData>
      <sheetData sheetId="4801">
        <row r="2">
          <cell r="A2">
            <v>43462</v>
          </cell>
        </row>
      </sheetData>
      <sheetData sheetId="4802">
        <row r="2">
          <cell r="A2">
            <v>43462</v>
          </cell>
        </row>
      </sheetData>
      <sheetData sheetId="4803">
        <row r="2">
          <cell r="A2">
            <v>43462</v>
          </cell>
        </row>
      </sheetData>
      <sheetData sheetId="4804">
        <row r="2">
          <cell r="A2">
            <v>43462</v>
          </cell>
        </row>
      </sheetData>
      <sheetData sheetId="4805">
        <row r="2">
          <cell r="A2" t="str">
            <v>Complete</v>
          </cell>
        </row>
      </sheetData>
      <sheetData sheetId="4806">
        <row r="2">
          <cell r="A2" t="str">
            <v>Complete</v>
          </cell>
        </row>
      </sheetData>
      <sheetData sheetId="4807">
        <row r="2">
          <cell r="A2" t="str">
            <v>Complete</v>
          </cell>
        </row>
      </sheetData>
      <sheetData sheetId="4808">
        <row r="2">
          <cell r="A2" t="str">
            <v>Complete</v>
          </cell>
        </row>
      </sheetData>
      <sheetData sheetId="4809">
        <row r="2">
          <cell r="A2" t="str">
            <v>Complete</v>
          </cell>
        </row>
      </sheetData>
      <sheetData sheetId="4810">
        <row r="2">
          <cell r="A2" t="str">
            <v>Complete</v>
          </cell>
        </row>
      </sheetData>
      <sheetData sheetId="4811">
        <row r="2">
          <cell r="A2" t="str">
            <v>Complete</v>
          </cell>
        </row>
      </sheetData>
      <sheetData sheetId="4812">
        <row r="2">
          <cell r="A2" t="str">
            <v>Complete</v>
          </cell>
        </row>
      </sheetData>
      <sheetData sheetId="4813">
        <row r="2">
          <cell r="A2" t="str">
            <v>Complete</v>
          </cell>
        </row>
      </sheetData>
      <sheetData sheetId="4814">
        <row r="2">
          <cell r="A2" t="str">
            <v>Complete</v>
          </cell>
        </row>
      </sheetData>
      <sheetData sheetId="4815">
        <row r="2">
          <cell r="A2" t="str">
            <v>Complete</v>
          </cell>
        </row>
      </sheetData>
      <sheetData sheetId="4816">
        <row r="2">
          <cell r="A2" t="str">
            <v>Complete</v>
          </cell>
        </row>
      </sheetData>
      <sheetData sheetId="4817">
        <row r="2">
          <cell r="A2" t="str">
            <v>Complete</v>
          </cell>
        </row>
      </sheetData>
      <sheetData sheetId="4818">
        <row r="2">
          <cell r="A2" t="str">
            <v>Complete</v>
          </cell>
        </row>
      </sheetData>
      <sheetData sheetId="4819">
        <row r="2">
          <cell r="A2" t="str">
            <v>Complete</v>
          </cell>
        </row>
      </sheetData>
      <sheetData sheetId="4820">
        <row r="2">
          <cell r="A2" t="str">
            <v>Complete</v>
          </cell>
        </row>
      </sheetData>
      <sheetData sheetId="4821">
        <row r="2">
          <cell r="A2" t="str">
            <v>Complete</v>
          </cell>
        </row>
      </sheetData>
      <sheetData sheetId="4822">
        <row r="2">
          <cell r="A2" t="str">
            <v>Complete</v>
          </cell>
        </row>
      </sheetData>
      <sheetData sheetId="4823">
        <row r="2">
          <cell r="A2" t="str">
            <v>Complete</v>
          </cell>
        </row>
      </sheetData>
      <sheetData sheetId="4824">
        <row r="2">
          <cell r="A2" t="str">
            <v>Complete</v>
          </cell>
        </row>
      </sheetData>
      <sheetData sheetId="4825">
        <row r="2">
          <cell r="A2" t="str">
            <v>Complete</v>
          </cell>
        </row>
      </sheetData>
      <sheetData sheetId="4826">
        <row r="2">
          <cell r="A2" t="str">
            <v>Complete</v>
          </cell>
        </row>
      </sheetData>
      <sheetData sheetId="4827">
        <row r="2">
          <cell r="A2" t="str">
            <v>Complete</v>
          </cell>
        </row>
      </sheetData>
      <sheetData sheetId="4828">
        <row r="2">
          <cell r="A2" t="str">
            <v>Complete</v>
          </cell>
        </row>
      </sheetData>
      <sheetData sheetId="4829">
        <row r="2">
          <cell r="A2" t="str">
            <v>Complete</v>
          </cell>
        </row>
      </sheetData>
      <sheetData sheetId="4830">
        <row r="2">
          <cell r="A2" t="str">
            <v>Complete</v>
          </cell>
        </row>
      </sheetData>
      <sheetData sheetId="4831">
        <row r="2">
          <cell r="A2" t="str">
            <v>Complete</v>
          </cell>
        </row>
      </sheetData>
      <sheetData sheetId="4832">
        <row r="2">
          <cell r="A2" t="str">
            <v>Complete</v>
          </cell>
        </row>
      </sheetData>
      <sheetData sheetId="4833">
        <row r="2">
          <cell r="A2" t="str">
            <v>Complete</v>
          </cell>
        </row>
      </sheetData>
      <sheetData sheetId="4834">
        <row r="2">
          <cell r="A2" t="str">
            <v>Complete</v>
          </cell>
        </row>
      </sheetData>
      <sheetData sheetId="4835">
        <row r="2">
          <cell r="A2" t="str">
            <v>Complete</v>
          </cell>
        </row>
      </sheetData>
      <sheetData sheetId="4836">
        <row r="2">
          <cell r="A2" t="str">
            <v>Complete</v>
          </cell>
        </row>
      </sheetData>
      <sheetData sheetId="4837">
        <row r="2">
          <cell r="A2" t="str">
            <v>Complete</v>
          </cell>
        </row>
      </sheetData>
      <sheetData sheetId="4838">
        <row r="2">
          <cell r="A2" t="str">
            <v>Complete</v>
          </cell>
        </row>
      </sheetData>
      <sheetData sheetId="4839">
        <row r="2">
          <cell r="A2" t="str">
            <v>Complete</v>
          </cell>
        </row>
      </sheetData>
      <sheetData sheetId="4840">
        <row r="2">
          <cell r="A2" t="str">
            <v>Complete</v>
          </cell>
        </row>
      </sheetData>
      <sheetData sheetId="4841">
        <row r="2">
          <cell r="A2" t="str">
            <v>Complete</v>
          </cell>
        </row>
      </sheetData>
      <sheetData sheetId="4842">
        <row r="2">
          <cell r="A2" t="str">
            <v>Complete</v>
          </cell>
        </row>
      </sheetData>
      <sheetData sheetId="4843">
        <row r="2">
          <cell r="A2" t="str">
            <v>Complete</v>
          </cell>
        </row>
      </sheetData>
      <sheetData sheetId="4844">
        <row r="2">
          <cell r="A2" t="str">
            <v>Complete</v>
          </cell>
        </row>
      </sheetData>
      <sheetData sheetId="4845">
        <row r="2">
          <cell r="A2" t="str">
            <v>Complete</v>
          </cell>
        </row>
      </sheetData>
      <sheetData sheetId="4846">
        <row r="2">
          <cell r="A2" t="str">
            <v>Complete</v>
          </cell>
        </row>
      </sheetData>
      <sheetData sheetId="4847">
        <row r="2">
          <cell r="A2" t="str">
            <v>Complete</v>
          </cell>
        </row>
      </sheetData>
      <sheetData sheetId="4848">
        <row r="2">
          <cell r="A2" t="str">
            <v>Complete</v>
          </cell>
        </row>
      </sheetData>
      <sheetData sheetId="4849">
        <row r="2">
          <cell r="A2" t="str">
            <v>Complete</v>
          </cell>
        </row>
      </sheetData>
      <sheetData sheetId="4850">
        <row r="2">
          <cell r="A2" t="str">
            <v>Complete</v>
          </cell>
        </row>
      </sheetData>
      <sheetData sheetId="4851">
        <row r="2">
          <cell r="A2" t="str">
            <v>Complete</v>
          </cell>
        </row>
      </sheetData>
      <sheetData sheetId="4852">
        <row r="2">
          <cell r="A2" t="str">
            <v>Complete</v>
          </cell>
        </row>
      </sheetData>
      <sheetData sheetId="4853">
        <row r="2">
          <cell r="A2" t="str">
            <v>Complete</v>
          </cell>
        </row>
      </sheetData>
      <sheetData sheetId="4854">
        <row r="2">
          <cell r="A2" t="str">
            <v>Complete</v>
          </cell>
        </row>
      </sheetData>
      <sheetData sheetId="4855">
        <row r="2">
          <cell r="A2" t="str">
            <v>Complete</v>
          </cell>
        </row>
      </sheetData>
      <sheetData sheetId="4856">
        <row r="2">
          <cell r="A2" t="str">
            <v>Complete</v>
          </cell>
        </row>
      </sheetData>
      <sheetData sheetId="4857">
        <row r="2">
          <cell r="A2" t="str">
            <v>Complete</v>
          </cell>
        </row>
      </sheetData>
      <sheetData sheetId="4858">
        <row r="2">
          <cell r="A2" t="str">
            <v>Complete</v>
          </cell>
        </row>
      </sheetData>
      <sheetData sheetId="4859">
        <row r="2">
          <cell r="A2" t="str">
            <v>Complete</v>
          </cell>
        </row>
      </sheetData>
      <sheetData sheetId="4860">
        <row r="2">
          <cell r="A2" t="str">
            <v>Complete</v>
          </cell>
        </row>
      </sheetData>
      <sheetData sheetId="4861">
        <row r="2">
          <cell r="A2" t="str">
            <v>Complete</v>
          </cell>
        </row>
      </sheetData>
      <sheetData sheetId="4862">
        <row r="2">
          <cell r="A2" t="str">
            <v>Complete</v>
          </cell>
        </row>
      </sheetData>
      <sheetData sheetId="4863">
        <row r="2">
          <cell r="A2" t="str">
            <v>Complete</v>
          </cell>
        </row>
      </sheetData>
      <sheetData sheetId="4864">
        <row r="2">
          <cell r="A2" t="str">
            <v>Complete</v>
          </cell>
        </row>
      </sheetData>
      <sheetData sheetId="4865">
        <row r="2">
          <cell r="A2" t="str">
            <v>Complete</v>
          </cell>
        </row>
      </sheetData>
      <sheetData sheetId="4866">
        <row r="2">
          <cell r="A2" t="str">
            <v>Complete</v>
          </cell>
        </row>
      </sheetData>
      <sheetData sheetId="4867">
        <row r="2">
          <cell r="A2" t="str">
            <v>Complete</v>
          </cell>
        </row>
      </sheetData>
      <sheetData sheetId="4868">
        <row r="2">
          <cell r="A2" t="str">
            <v>Complete</v>
          </cell>
        </row>
      </sheetData>
      <sheetData sheetId="4869">
        <row r="2">
          <cell r="A2" t="str">
            <v>Complete</v>
          </cell>
        </row>
      </sheetData>
      <sheetData sheetId="4870">
        <row r="2">
          <cell r="A2" t="str">
            <v>Complete</v>
          </cell>
        </row>
      </sheetData>
      <sheetData sheetId="4871">
        <row r="2">
          <cell r="A2" t="str">
            <v>Complete</v>
          </cell>
        </row>
      </sheetData>
      <sheetData sheetId="4872">
        <row r="2">
          <cell r="A2" t="str">
            <v>Complete</v>
          </cell>
        </row>
      </sheetData>
      <sheetData sheetId="4873">
        <row r="2">
          <cell r="A2" t="str">
            <v>Complete</v>
          </cell>
        </row>
      </sheetData>
      <sheetData sheetId="4874">
        <row r="2">
          <cell r="A2" t="str">
            <v>Complete</v>
          </cell>
        </row>
      </sheetData>
      <sheetData sheetId="4875">
        <row r="2">
          <cell r="A2" t="str">
            <v>Complete</v>
          </cell>
        </row>
      </sheetData>
      <sheetData sheetId="4876">
        <row r="2">
          <cell r="A2" t="str">
            <v>Complete</v>
          </cell>
        </row>
      </sheetData>
      <sheetData sheetId="4877">
        <row r="2">
          <cell r="A2" t="str">
            <v>Complete</v>
          </cell>
        </row>
      </sheetData>
      <sheetData sheetId="4878">
        <row r="2">
          <cell r="A2" t="str">
            <v>Complete</v>
          </cell>
        </row>
      </sheetData>
      <sheetData sheetId="4879">
        <row r="2">
          <cell r="A2" t="str">
            <v>Complete</v>
          </cell>
        </row>
      </sheetData>
      <sheetData sheetId="4880">
        <row r="2">
          <cell r="A2" t="str">
            <v>Complete</v>
          </cell>
        </row>
      </sheetData>
      <sheetData sheetId="4881">
        <row r="2">
          <cell r="A2" t="str">
            <v>Complete</v>
          </cell>
        </row>
      </sheetData>
      <sheetData sheetId="4882">
        <row r="2">
          <cell r="A2" t="str">
            <v>Complete</v>
          </cell>
        </row>
      </sheetData>
      <sheetData sheetId="4883">
        <row r="2">
          <cell r="A2" t="str">
            <v>Complete</v>
          </cell>
        </row>
      </sheetData>
      <sheetData sheetId="4884">
        <row r="2">
          <cell r="A2" t="str">
            <v>Complete</v>
          </cell>
        </row>
      </sheetData>
      <sheetData sheetId="4885">
        <row r="2">
          <cell r="A2" t="str">
            <v>Complete</v>
          </cell>
        </row>
      </sheetData>
      <sheetData sheetId="4886">
        <row r="2">
          <cell r="A2" t="str">
            <v>Complete</v>
          </cell>
        </row>
      </sheetData>
      <sheetData sheetId="4887">
        <row r="2">
          <cell r="A2" t="str">
            <v>Complete</v>
          </cell>
        </row>
      </sheetData>
      <sheetData sheetId="4888">
        <row r="2">
          <cell r="A2" t="str">
            <v>Complete</v>
          </cell>
        </row>
      </sheetData>
      <sheetData sheetId="4889">
        <row r="2">
          <cell r="A2" t="str">
            <v>Complete</v>
          </cell>
        </row>
      </sheetData>
      <sheetData sheetId="4890">
        <row r="2">
          <cell r="A2" t="str">
            <v>Complete</v>
          </cell>
        </row>
      </sheetData>
      <sheetData sheetId="4891">
        <row r="2">
          <cell r="A2" t="str">
            <v>Complete</v>
          </cell>
        </row>
      </sheetData>
      <sheetData sheetId="4892">
        <row r="2">
          <cell r="A2" t="str">
            <v>Complete</v>
          </cell>
        </row>
      </sheetData>
      <sheetData sheetId="4893">
        <row r="2">
          <cell r="A2" t="str">
            <v>Complete</v>
          </cell>
        </row>
      </sheetData>
      <sheetData sheetId="4894">
        <row r="2">
          <cell r="A2" t="str">
            <v>Complete</v>
          </cell>
        </row>
      </sheetData>
      <sheetData sheetId="4895">
        <row r="2">
          <cell r="A2" t="str">
            <v>Complete</v>
          </cell>
        </row>
      </sheetData>
      <sheetData sheetId="4896">
        <row r="2">
          <cell r="A2" t="str">
            <v>Complete</v>
          </cell>
        </row>
      </sheetData>
      <sheetData sheetId="4897">
        <row r="2">
          <cell r="A2" t="str">
            <v>Complete</v>
          </cell>
        </row>
      </sheetData>
      <sheetData sheetId="4898">
        <row r="2">
          <cell r="A2" t="str">
            <v>Complete</v>
          </cell>
        </row>
      </sheetData>
      <sheetData sheetId="4899">
        <row r="2">
          <cell r="A2" t="str">
            <v>Complete</v>
          </cell>
        </row>
      </sheetData>
      <sheetData sheetId="4900">
        <row r="2">
          <cell r="A2" t="str">
            <v>Complete</v>
          </cell>
        </row>
      </sheetData>
      <sheetData sheetId="4901">
        <row r="2">
          <cell r="A2" t="str">
            <v>Complete</v>
          </cell>
        </row>
      </sheetData>
      <sheetData sheetId="4902">
        <row r="2">
          <cell r="A2" t="str">
            <v>Complete</v>
          </cell>
        </row>
      </sheetData>
      <sheetData sheetId="4903">
        <row r="2">
          <cell r="A2" t="str">
            <v>Complete</v>
          </cell>
        </row>
      </sheetData>
      <sheetData sheetId="4904">
        <row r="2">
          <cell r="A2" t="str">
            <v>Complete</v>
          </cell>
        </row>
      </sheetData>
      <sheetData sheetId="4905">
        <row r="2">
          <cell r="A2" t="str">
            <v>Complete</v>
          </cell>
        </row>
      </sheetData>
      <sheetData sheetId="4906">
        <row r="2">
          <cell r="A2" t="str">
            <v>Complete</v>
          </cell>
        </row>
      </sheetData>
      <sheetData sheetId="4907">
        <row r="2">
          <cell r="A2" t="str">
            <v>Complete</v>
          </cell>
        </row>
      </sheetData>
      <sheetData sheetId="4908">
        <row r="2">
          <cell r="A2" t="str">
            <v>Complete</v>
          </cell>
        </row>
      </sheetData>
      <sheetData sheetId="4909">
        <row r="2">
          <cell r="A2" t="str">
            <v>Complete</v>
          </cell>
        </row>
      </sheetData>
      <sheetData sheetId="4910">
        <row r="2">
          <cell r="A2" t="str">
            <v>Complete</v>
          </cell>
        </row>
      </sheetData>
      <sheetData sheetId="4911">
        <row r="2">
          <cell r="A2" t="str">
            <v>Complete</v>
          </cell>
        </row>
      </sheetData>
      <sheetData sheetId="4912">
        <row r="2">
          <cell r="A2" t="str">
            <v>Complete</v>
          </cell>
        </row>
      </sheetData>
      <sheetData sheetId="4913">
        <row r="2">
          <cell r="A2" t="str">
            <v>Complete</v>
          </cell>
        </row>
      </sheetData>
      <sheetData sheetId="4914">
        <row r="2">
          <cell r="A2" t="str">
            <v>Complete</v>
          </cell>
        </row>
      </sheetData>
      <sheetData sheetId="4915">
        <row r="2">
          <cell r="A2" t="str">
            <v>Complete</v>
          </cell>
        </row>
      </sheetData>
      <sheetData sheetId="4916">
        <row r="2">
          <cell r="A2" t="str">
            <v>Complete</v>
          </cell>
        </row>
      </sheetData>
      <sheetData sheetId="4917">
        <row r="2">
          <cell r="A2" t="str">
            <v>Complete</v>
          </cell>
        </row>
      </sheetData>
      <sheetData sheetId="4918">
        <row r="2">
          <cell r="A2" t="str">
            <v>Complete</v>
          </cell>
        </row>
      </sheetData>
      <sheetData sheetId="4919">
        <row r="2">
          <cell r="A2" t="str">
            <v>Complete</v>
          </cell>
        </row>
      </sheetData>
      <sheetData sheetId="4920">
        <row r="2">
          <cell r="A2" t="str">
            <v>Complete</v>
          </cell>
        </row>
      </sheetData>
      <sheetData sheetId="4921">
        <row r="2">
          <cell r="A2" t="str">
            <v>Complete</v>
          </cell>
        </row>
      </sheetData>
      <sheetData sheetId="4922">
        <row r="2">
          <cell r="A2" t="str">
            <v>Complete</v>
          </cell>
        </row>
      </sheetData>
      <sheetData sheetId="4923">
        <row r="2">
          <cell r="A2" t="str">
            <v>Complete</v>
          </cell>
        </row>
      </sheetData>
      <sheetData sheetId="4924">
        <row r="2">
          <cell r="A2" t="str">
            <v>Complete</v>
          </cell>
        </row>
      </sheetData>
      <sheetData sheetId="4925">
        <row r="2">
          <cell r="A2" t="str">
            <v>Complete</v>
          </cell>
        </row>
      </sheetData>
      <sheetData sheetId="4926">
        <row r="2">
          <cell r="A2" t="str">
            <v>Complete</v>
          </cell>
        </row>
      </sheetData>
      <sheetData sheetId="4927">
        <row r="2">
          <cell r="A2" t="str">
            <v>Complete</v>
          </cell>
        </row>
      </sheetData>
      <sheetData sheetId="4928">
        <row r="2">
          <cell r="A2" t="str">
            <v>Complete</v>
          </cell>
        </row>
      </sheetData>
      <sheetData sheetId="4929">
        <row r="2">
          <cell r="A2" t="str">
            <v>Complete</v>
          </cell>
        </row>
      </sheetData>
      <sheetData sheetId="4930">
        <row r="2">
          <cell r="A2" t="str">
            <v>Complete</v>
          </cell>
        </row>
      </sheetData>
      <sheetData sheetId="4931">
        <row r="2">
          <cell r="A2" t="str">
            <v>Complete</v>
          </cell>
        </row>
      </sheetData>
      <sheetData sheetId="4932">
        <row r="2">
          <cell r="A2" t="str">
            <v>Complete</v>
          </cell>
        </row>
      </sheetData>
      <sheetData sheetId="4933">
        <row r="2">
          <cell r="A2" t="str">
            <v>Complete</v>
          </cell>
        </row>
      </sheetData>
      <sheetData sheetId="4934">
        <row r="2">
          <cell r="A2" t="str">
            <v>Complete</v>
          </cell>
        </row>
      </sheetData>
      <sheetData sheetId="4935">
        <row r="2">
          <cell r="A2" t="str">
            <v>Complete</v>
          </cell>
        </row>
      </sheetData>
      <sheetData sheetId="4936">
        <row r="2">
          <cell r="A2" t="str">
            <v>Complete</v>
          </cell>
        </row>
      </sheetData>
      <sheetData sheetId="4937">
        <row r="2">
          <cell r="A2" t="str">
            <v>Complete</v>
          </cell>
        </row>
      </sheetData>
      <sheetData sheetId="4938">
        <row r="2">
          <cell r="A2" t="str">
            <v>Complete</v>
          </cell>
        </row>
      </sheetData>
      <sheetData sheetId="4939">
        <row r="2">
          <cell r="A2" t="str">
            <v>Complete</v>
          </cell>
        </row>
      </sheetData>
      <sheetData sheetId="4940">
        <row r="2">
          <cell r="A2" t="str">
            <v>Complete</v>
          </cell>
        </row>
      </sheetData>
      <sheetData sheetId="4941">
        <row r="2">
          <cell r="A2" t="str">
            <v>Complete</v>
          </cell>
        </row>
      </sheetData>
      <sheetData sheetId="4942">
        <row r="2">
          <cell r="A2" t="str">
            <v>Complete</v>
          </cell>
        </row>
      </sheetData>
      <sheetData sheetId="4943">
        <row r="2">
          <cell r="A2" t="str">
            <v>Complete</v>
          </cell>
        </row>
      </sheetData>
      <sheetData sheetId="4944">
        <row r="2">
          <cell r="A2" t="str">
            <v>Complete</v>
          </cell>
        </row>
      </sheetData>
      <sheetData sheetId="4945">
        <row r="2">
          <cell r="A2" t="str">
            <v>Complete</v>
          </cell>
        </row>
      </sheetData>
      <sheetData sheetId="4946">
        <row r="2">
          <cell r="A2" t="str">
            <v>Complete</v>
          </cell>
        </row>
      </sheetData>
      <sheetData sheetId="4947">
        <row r="2">
          <cell r="A2" t="str">
            <v>Complete</v>
          </cell>
        </row>
      </sheetData>
      <sheetData sheetId="4948">
        <row r="2">
          <cell r="A2" t="str">
            <v>Complete</v>
          </cell>
        </row>
      </sheetData>
      <sheetData sheetId="4949">
        <row r="2">
          <cell r="A2" t="str">
            <v>Complete</v>
          </cell>
        </row>
      </sheetData>
      <sheetData sheetId="4950">
        <row r="2">
          <cell r="A2" t="str">
            <v>Complete</v>
          </cell>
        </row>
      </sheetData>
      <sheetData sheetId="4951">
        <row r="2">
          <cell r="A2" t="str">
            <v>Complete</v>
          </cell>
        </row>
      </sheetData>
      <sheetData sheetId="4952">
        <row r="2">
          <cell r="A2" t="str">
            <v>Complete</v>
          </cell>
        </row>
      </sheetData>
      <sheetData sheetId="4953">
        <row r="2">
          <cell r="A2" t="str">
            <v>Complete</v>
          </cell>
        </row>
      </sheetData>
      <sheetData sheetId="4954">
        <row r="2">
          <cell r="A2" t="str">
            <v>Complete</v>
          </cell>
        </row>
      </sheetData>
      <sheetData sheetId="4955">
        <row r="2">
          <cell r="A2" t="str">
            <v>Complete</v>
          </cell>
        </row>
      </sheetData>
      <sheetData sheetId="4956">
        <row r="2">
          <cell r="A2" t="str">
            <v>Complete</v>
          </cell>
        </row>
      </sheetData>
      <sheetData sheetId="4957">
        <row r="2">
          <cell r="A2" t="str">
            <v>Complete</v>
          </cell>
        </row>
      </sheetData>
      <sheetData sheetId="4958">
        <row r="2">
          <cell r="A2" t="str">
            <v>Complete</v>
          </cell>
        </row>
      </sheetData>
      <sheetData sheetId="4959">
        <row r="2">
          <cell r="A2" t="str">
            <v>Complete</v>
          </cell>
        </row>
      </sheetData>
      <sheetData sheetId="4960">
        <row r="2">
          <cell r="A2" t="str">
            <v>Complete</v>
          </cell>
        </row>
      </sheetData>
      <sheetData sheetId="4961">
        <row r="2">
          <cell r="A2" t="str">
            <v>Complete</v>
          </cell>
        </row>
      </sheetData>
      <sheetData sheetId="4962">
        <row r="2">
          <cell r="A2" t="str">
            <v>Complete</v>
          </cell>
        </row>
      </sheetData>
      <sheetData sheetId="4963">
        <row r="2">
          <cell r="A2" t="str">
            <v>Complete</v>
          </cell>
        </row>
      </sheetData>
      <sheetData sheetId="4964">
        <row r="2">
          <cell r="A2" t="str">
            <v>Complete</v>
          </cell>
        </row>
      </sheetData>
      <sheetData sheetId="4965">
        <row r="2">
          <cell r="A2" t="str">
            <v>Complete</v>
          </cell>
        </row>
      </sheetData>
      <sheetData sheetId="4966">
        <row r="2">
          <cell r="A2" t="str">
            <v>Complete</v>
          </cell>
        </row>
      </sheetData>
      <sheetData sheetId="4967">
        <row r="2">
          <cell r="A2" t="str">
            <v>Complete</v>
          </cell>
        </row>
      </sheetData>
      <sheetData sheetId="4968">
        <row r="2">
          <cell r="A2" t="str">
            <v>Complete</v>
          </cell>
        </row>
      </sheetData>
      <sheetData sheetId="4969">
        <row r="2">
          <cell r="A2" t="str">
            <v>Complete</v>
          </cell>
        </row>
      </sheetData>
      <sheetData sheetId="4970">
        <row r="2">
          <cell r="A2" t="str">
            <v>Complete</v>
          </cell>
        </row>
      </sheetData>
      <sheetData sheetId="4971">
        <row r="2">
          <cell r="A2" t="str">
            <v>Complete</v>
          </cell>
        </row>
      </sheetData>
      <sheetData sheetId="4972">
        <row r="2">
          <cell r="A2" t="str">
            <v>Complete</v>
          </cell>
        </row>
      </sheetData>
      <sheetData sheetId="4973">
        <row r="2">
          <cell r="A2" t="str">
            <v>Complete</v>
          </cell>
        </row>
      </sheetData>
      <sheetData sheetId="4974">
        <row r="2">
          <cell r="A2" t="str">
            <v>Complete</v>
          </cell>
        </row>
      </sheetData>
      <sheetData sheetId="4975">
        <row r="2">
          <cell r="A2" t="str">
            <v>Complete</v>
          </cell>
        </row>
      </sheetData>
      <sheetData sheetId="4976">
        <row r="2">
          <cell r="A2" t="str">
            <v>Complete</v>
          </cell>
        </row>
      </sheetData>
      <sheetData sheetId="4977">
        <row r="2">
          <cell r="A2" t="str">
            <v>Complete</v>
          </cell>
        </row>
      </sheetData>
      <sheetData sheetId="4978">
        <row r="2">
          <cell r="A2" t="str">
            <v>Complete</v>
          </cell>
        </row>
      </sheetData>
      <sheetData sheetId="4979">
        <row r="2">
          <cell r="A2" t="str">
            <v>Complete</v>
          </cell>
        </row>
      </sheetData>
      <sheetData sheetId="4980">
        <row r="2">
          <cell r="A2" t="str">
            <v>Complete</v>
          </cell>
        </row>
      </sheetData>
      <sheetData sheetId="4981">
        <row r="2">
          <cell r="A2" t="str">
            <v>Complete</v>
          </cell>
        </row>
      </sheetData>
      <sheetData sheetId="4982">
        <row r="2">
          <cell r="A2" t="str">
            <v>Complete</v>
          </cell>
        </row>
      </sheetData>
      <sheetData sheetId="4983">
        <row r="2">
          <cell r="A2" t="str">
            <v>Complete</v>
          </cell>
        </row>
      </sheetData>
      <sheetData sheetId="4984">
        <row r="2">
          <cell r="A2" t="str">
            <v>Complete</v>
          </cell>
        </row>
      </sheetData>
      <sheetData sheetId="4985">
        <row r="2">
          <cell r="A2" t="str">
            <v>Complete</v>
          </cell>
        </row>
      </sheetData>
      <sheetData sheetId="4986">
        <row r="2">
          <cell r="A2" t="str">
            <v>Complete</v>
          </cell>
        </row>
      </sheetData>
      <sheetData sheetId="4987">
        <row r="2">
          <cell r="A2" t="str">
            <v>Complete</v>
          </cell>
        </row>
      </sheetData>
      <sheetData sheetId="4988">
        <row r="2">
          <cell r="A2" t="str">
            <v>Complete</v>
          </cell>
        </row>
      </sheetData>
      <sheetData sheetId="4989">
        <row r="2">
          <cell r="A2" t="str">
            <v>Complete</v>
          </cell>
        </row>
      </sheetData>
      <sheetData sheetId="4990">
        <row r="2">
          <cell r="A2" t="str">
            <v>Complete</v>
          </cell>
        </row>
      </sheetData>
      <sheetData sheetId="4991">
        <row r="2">
          <cell r="A2" t="str">
            <v>Complete</v>
          </cell>
        </row>
      </sheetData>
      <sheetData sheetId="4992">
        <row r="2">
          <cell r="A2" t="str">
            <v>Complete</v>
          </cell>
        </row>
      </sheetData>
      <sheetData sheetId="4993">
        <row r="2">
          <cell r="A2" t="str">
            <v>Complete</v>
          </cell>
        </row>
      </sheetData>
      <sheetData sheetId="4994">
        <row r="2">
          <cell r="A2" t="str">
            <v>Complete</v>
          </cell>
        </row>
      </sheetData>
      <sheetData sheetId="4995">
        <row r="2">
          <cell r="A2" t="str">
            <v>Complete</v>
          </cell>
        </row>
      </sheetData>
      <sheetData sheetId="4996">
        <row r="2">
          <cell r="A2" t="str">
            <v>Complete</v>
          </cell>
        </row>
      </sheetData>
      <sheetData sheetId="4997">
        <row r="2">
          <cell r="A2" t="str">
            <v>Complete</v>
          </cell>
        </row>
      </sheetData>
      <sheetData sheetId="4998">
        <row r="2">
          <cell r="A2" t="str">
            <v>Complete</v>
          </cell>
        </row>
      </sheetData>
      <sheetData sheetId="4999">
        <row r="2">
          <cell r="A2" t="str">
            <v>Complete</v>
          </cell>
        </row>
      </sheetData>
      <sheetData sheetId="5000">
        <row r="2">
          <cell r="A2" t="str">
            <v>Complete</v>
          </cell>
        </row>
      </sheetData>
      <sheetData sheetId="5001">
        <row r="2">
          <cell r="A2" t="str">
            <v>Complete</v>
          </cell>
        </row>
      </sheetData>
      <sheetData sheetId="5002">
        <row r="2">
          <cell r="A2" t="str">
            <v>Complete</v>
          </cell>
        </row>
      </sheetData>
      <sheetData sheetId="5003">
        <row r="2">
          <cell r="A2" t="str">
            <v>Complete</v>
          </cell>
        </row>
      </sheetData>
      <sheetData sheetId="5004">
        <row r="2">
          <cell r="A2" t="str">
            <v>Complete</v>
          </cell>
        </row>
      </sheetData>
      <sheetData sheetId="5005">
        <row r="2">
          <cell r="A2" t="str">
            <v>Complete</v>
          </cell>
        </row>
      </sheetData>
      <sheetData sheetId="5006">
        <row r="2">
          <cell r="A2" t="str">
            <v>Complete</v>
          </cell>
        </row>
      </sheetData>
      <sheetData sheetId="5007">
        <row r="2">
          <cell r="A2" t="str">
            <v>Complete</v>
          </cell>
        </row>
      </sheetData>
      <sheetData sheetId="5008">
        <row r="2">
          <cell r="A2" t="str">
            <v>Complete</v>
          </cell>
        </row>
      </sheetData>
      <sheetData sheetId="5009">
        <row r="2">
          <cell r="A2" t="str">
            <v>Complete</v>
          </cell>
        </row>
      </sheetData>
      <sheetData sheetId="5010">
        <row r="2">
          <cell r="A2" t="str">
            <v>Complete</v>
          </cell>
        </row>
      </sheetData>
      <sheetData sheetId="5011">
        <row r="2">
          <cell r="A2" t="str">
            <v>Complete</v>
          </cell>
        </row>
      </sheetData>
      <sheetData sheetId="5012">
        <row r="2">
          <cell r="A2" t="str">
            <v>Complete</v>
          </cell>
        </row>
      </sheetData>
      <sheetData sheetId="5013">
        <row r="2">
          <cell r="A2" t="str">
            <v>Complete</v>
          </cell>
        </row>
      </sheetData>
      <sheetData sheetId="5014">
        <row r="2">
          <cell r="A2" t="str">
            <v>Complete</v>
          </cell>
        </row>
      </sheetData>
      <sheetData sheetId="5015">
        <row r="2">
          <cell r="A2" t="str">
            <v>Complete</v>
          </cell>
        </row>
      </sheetData>
      <sheetData sheetId="5016">
        <row r="2">
          <cell r="A2" t="str">
            <v>Complete</v>
          </cell>
        </row>
      </sheetData>
      <sheetData sheetId="5017">
        <row r="2">
          <cell r="A2" t="str">
            <v>Complete</v>
          </cell>
        </row>
      </sheetData>
      <sheetData sheetId="5018">
        <row r="2">
          <cell r="A2" t="str">
            <v>Complete</v>
          </cell>
        </row>
      </sheetData>
      <sheetData sheetId="5019">
        <row r="2">
          <cell r="A2" t="str">
            <v>Complete</v>
          </cell>
        </row>
      </sheetData>
      <sheetData sheetId="5020">
        <row r="2">
          <cell r="A2" t="str">
            <v>Complete</v>
          </cell>
        </row>
      </sheetData>
      <sheetData sheetId="5021">
        <row r="2">
          <cell r="A2" t="str">
            <v>Complete</v>
          </cell>
        </row>
      </sheetData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 refreshError="1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>
        <row r="2">
          <cell r="A2" t="str">
            <v>Complete</v>
          </cell>
        </row>
      </sheetData>
      <sheetData sheetId="5223">
        <row r="2">
          <cell r="A2" t="str">
            <v>Complete</v>
          </cell>
        </row>
      </sheetData>
      <sheetData sheetId="5224">
        <row r="2">
          <cell r="A2" t="str">
            <v>Complete</v>
          </cell>
        </row>
      </sheetData>
      <sheetData sheetId="5225">
        <row r="2">
          <cell r="A2" t="str">
            <v>Complete</v>
          </cell>
        </row>
      </sheetData>
      <sheetData sheetId="5226">
        <row r="2">
          <cell r="A2" t="str">
            <v>Complete</v>
          </cell>
        </row>
      </sheetData>
      <sheetData sheetId="5227">
        <row r="2">
          <cell r="A2" t="str">
            <v>Complete</v>
          </cell>
        </row>
      </sheetData>
      <sheetData sheetId="5228">
        <row r="2">
          <cell r="A2" t="str">
            <v>Complete</v>
          </cell>
        </row>
      </sheetData>
      <sheetData sheetId="5229">
        <row r="2">
          <cell r="A2" t="str">
            <v>Complete</v>
          </cell>
        </row>
      </sheetData>
      <sheetData sheetId="5230">
        <row r="2">
          <cell r="A2" t="str">
            <v>Complete</v>
          </cell>
        </row>
      </sheetData>
      <sheetData sheetId="5231">
        <row r="2">
          <cell r="A2" t="str">
            <v>Complete</v>
          </cell>
        </row>
      </sheetData>
      <sheetData sheetId="5232">
        <row r="2">
          <cell r="A2" t="str">
            <v>Complete</v>
          </cell>
        </row>
      </sheetData>
      <sheetData sheetId="5233">
        <row r="2">
          <cell r="A2" t="str">
            <v>Complete</v>
          </cell>
        </row>
      </sheetData>
      <sheetData sheetId="5234">
        <row r="2">
          <cell r="A2" t="str">
            <v>Complete</v>
          </cell>
        </row>
      </sheetData>
      <sheetData sheetId="5235">
        <row r="2">
          <cell r="A2" t="str">
            <v>Complete</v>
          </cell>
        </row>
      </sheetData>
      <sheetData sheetId="5236">
        <row r="2">
          <cell r="A2" t="str">
            <v>Complete</v>
          </cell>
        </row>
      </sheetData>
      <sheetData sheetId="5237">
        <row r="2">
          <cell r="A2" t="str">
            <v>Complete</v>
          </cell>
        </row>
      </sheetData>
      <sheetData sheetId="5238">
        <row r="2">
          <cell r="A2" t="str">
            <v>Complete</v>
          </cell>
        </row>
      </sheetData>
      <sheetData sheetId="5239">
        <row r="2">
          <cell r="A2" t="str">
            <v>Complete</v>
          </cell>
        </row>
      </sheetData>
      <sheetData sheetId="5240">
        <row r="2">
          <cell r="A2" t="str">
            <v>Complete</v>
          </cell>
        </row>
      </sheetData>
      <sheetData sheetId="5241">
        <row r="2">
          <cell r="A2" t="str">
            <v>Complete</v>
          </cell>
        </row>
      </sheetData>
      <sheetData sheetId="5242">
        <row r="2">
          <cell r="A2" t="str">
            <v>Complete</v>
          </cell>
        </row>
      </sheetData>
      <sheetData sheetId="5243">
        <row r="2">
          <cell r="A2" t="str">
            <v>Complete</v>
          </cell>
        </row>
      </sheetData>
      <sheetData sheetId="5244">
        <row r="2">
          <cell r="A2" t="str">
            <v>Complete</v>
          </cell>
        </row>
      </sheetData>
      <sheetData sheetId="5245">
        <row r="2">
          <cell r="A2" t="str">
            <v>Complete</v>
          </cell>
        </row>
      </sheetData>
      <sheetData sheetId="5246">
        <row r="2">
          <cell r="A2" t="str">
            <v>Complete</v>
          </cell>
        </row>
      </sheetData>
      <sheetData sheetId="5247">
        <row r="2">
          <cell r="A2" t="str">
            <v>Complete</v>
          </cell>
        </row>
      </sheetData>
      <sheetData sheetId="5248">
        <row r="2">
          <cell r="A2" t="str">
            <v>Complete</v>
          </cell>
        </row>
      </sheetData>
      <sheetData sheetId="5249">
        <row r="2">
          <cell r="A2" t="str">
            <v>Complete</v>
          </cell>
        </row>
      </sheetData>
      <sheetData sheetId="5250">
        <row r="2">
          <cell r="A2" t="str">
            <v>Complete</v>
          </cell>
        </row>
      </sheetData>
      <sheetData sheetId="5251">
        <row r="2">
          <cell r="A2" t="str">
            <v>Complete</v>
          </cell>
        </row>
      </sheetData>
      <sheetData sheetId="5252">
        <row r="2">
          <cell r="A2" t="str">
            <v>Complete</v>
          </cell>
        </row>
      </sheetData>
      <sheetData sheetId="5253">
        <row r="2">
          <cell r="A2" t="str">
            <v>Complete</v>
          </cell>
        </row>
      </sheetData>
      <sheetData sheetId="5254">
        <row r="2">
          <cell r="A2" t="str">
            <v>Complete</v>
          </cell>
        </row>
      </sheetData>
      <sheetData sheetId="5255">
        <row r="2">
          <cell r="A2" t="str">
            <v>Complete</v>
          </cell>
        </row>
      </sheetData>
      <sheetData sheetId="5256">
        <row r="2">
          <cell r="A2" t="str">
            <v>Complete</v>
          </cell>
        </row>
      </sheetData>
      <sheetData sheetId="5257">
        <row r="2">
          <cell r="A2" t="str">
            <v>Complete</v>
          </cell>
        </row>
      </sheetData>
      <sheetData sheetId="5258">
        <row r="2">
          <cell r="A2" t="str">
            <v>Complete</v>
          </cell>
        </row>
      </sheetData>
      <sheetData sheetId="5259">
        <row r="2">
          <cell r="A2" t="str">
            <v>Complete</v>
          </cell>
        </row>
      </sheetData>
      <sheetData sheetId="5260">
        <row r="2">
          <cell r="A2" t="str">
            <v>Complete</v>
          </cell>
        </row>
      </sheetData>
      <sheetData sheetId="5261">
        <row r="2">
          <cell r="A2" t="str">
            <v>Complete</v>
          </cell>
        </row>
      </sheetData>
      <sheetData sheetId="5262">
        <row r="2">
          <cell r="A2" t="str">
            <v>Complete</v>
          </cell>
        </row>
      </sheetData>
      <sheetData sheetId="5263">
        <row r="2">
          <cell r="A2" t="str">
            <v>Complete</v>
          </cell>
        </row>
      </sheetData>
      <sheetData sheetId="5264">
        <row r="2">
          <cell r="A2" t="str">
            <v>Complete</v>
          </cell>
        </row>
      </sheetData>
      <sheetData sheetId="5265">
        <row r="2">
          <cell r="A2" t="str">
            <v>Complete</v>
          </cell>
        </row>
      </sheetData>
      <sheetData sheetId="5266">
        <row r="2">
          <cell r="A2" t="str">
            <v>Complete</v>
          </cell>
        </row>
      </sheetData>
      <sheetData sheetId="5267">
        <row r="2">
          <cell r="A2" t="str">
            <v>Complete</v>
          </cell>
        </row>
      </sheetData>
      <sheetData sheetId="5268">
        <row r="2">
          <cell r="A2" t="str">
            <v>Complete</v>
          </cell>
        </row>
      </sheetData>
      <sheetData sheetId="5269">
        <row r="2">
          <cell r="A2" t="str">
            <v>Complete</v>
          </cell>
        </row>
      </sheetData>
      <sheetData sheetId="5270">
        <row r="2">
          <cell r="A2" t="str">
            <v>Complete</v>
          </cell>
        </row>
      </sheetData>
      <sheetData sheetId="5271">
        <row r="2">
          <cell r="A2" t="str">
            <v>Complete</v>
          </cell>
        </row>
      </sheetData>
      <sheetData sheetId="5272">
        <row r="2">
          <cell r="A2" t="str">
            <v>Complete</v>
          </cell>
        </row>
      </sheetData>
      <sheetData sheetId="5273">
        <row r="2">
          <cell r="A2" t="str">
            <v>Complete</v>
          </cell>
        </row>
      </sheetData>
      <sheetData sheetId="5274">
        <row r="2">
          <cell r="A2" t="str">
            <v>Complete</v>
          </cell>
        </row>
      </sheetData>
      <sheetData sheetId="5275">
        <row r="2">
          <cell r="A2" t="str">
            <v>Complete</v>
          </cell>
        </row>
      </sheetData>
      <sheetData sheetId="5276">
        <row r="2">
          <cell r="A2" t="str">
            <v>Complete</v>
          </cell>
        </row>
      </sheetData>
      <sheetData sheetId="5277">
        <row r="2">
          <cell r="A2" t="str">
            <v>Complete</v>
          </cell>
        </row>
      </sheetData>
      <sheetData sheetId="5278">
        <row r="2">
          <cell r="A2" t="str">
            <v>Complete</v>
          </cell>
        </row>
      </sheetData>
      <sheetData sheetId="5279">
        <row r="2">
          <cell r="A2" t="str">
            <v>Complete</v>
          </cell>
        </row>
      </sheetData>
      <sheetData sheetId="5280">
        <row r="2">
          <cell r="A2" t="str">
            <v>Complete</v>
          </cell>
        </row>
      </sheetData>
      <sheetData sheetId="5281">
        <row r="2">
          <cell r="A2" t="str">
            <v>Complete</v>
          </cell>
        </row>
      </sheetData>
      <sheetData sheetId="5282">
        <row r="2">
          <cell r="A2" t="str">
            <v>Complete</v>
          </cell>
        </row>
      </sheetData>
      <sheetData sheetId="5283">
        <row r="2">
          <cell r="A2" t="str">
            <v>Complete</v>
          </cell>
        </row>
      </sheetData>
      <sheetData sheetId="5284">
        <row r="2">
          <cell r="A2" t="str">
            <v>Complete</v>
          </cell>
        </row>
      </sheetData>
      <sheetData sheetId="5285">
        <row r="2">
          <cell r="A2" t="str">
            <v>Complete</v>
          </cell>
        </row>
      </sheetData>
      <sheetData sheetId="5286">
        <row r="2">
          <cell r="A2" t="str">
            <v>Complete</v>
          </cell>
        </row>
      </sheetData>
      <sheetData sheetId="5287">
        <row r="2">
          <cell r="A2" t="str">
            <v>Complete</v>
          </cell>
        </row>
      </sheetData>
      <sheetData sheetId="5288">
        <row r="2">
          <cell r="A2" t="str">
            <v>Complete</v>
          </cell>
        </row>
      </sheetData>
      <sheetData sheetId="5289">
        <row r="2">
          <cell r="A2" t="str">
            <v>Complete</v>
          </cell>
        </row>
      </sheetData>
      <sheetData sheetId="5290">
        <row r="2">
          <cell r="A2" t="str">
            <v>Complete</v>
          </cell>
        </row>
      </sheetData>
      <sheetData sheetId="5291">
        <row r="2">
          <cell r="A2" t="str">
            <v>Complete</v>
          </cell>
        </row>
      </sheetData>
      <sheetData sheetId="5292">
        <row r="2">
          <cell r="A2" t="str">
            <v>Complete</v>
          </cell>
        </row>
      </sheetData>
      <sheetData sheetId="5293">
        <row r="2">
          <cell r="A2" t="str">
            <v>Complete</v>
          </cell>
        </row>
      </sheetData>
      <sheetData sheetId="5294">
        <row r="2">
          <cell r="A2" t="str">
            <v>Complete</v>
          </cell>
        </row>
      </sheetData>
      <sheetData sheetId="5295">
        <row r="2">
          <cell r="A2" t="str">
            <v>Complete</v>
          </cell>
        </row>
      </sheetData>
      <sheetData sheetId="5296">
        <row r="2">
          <cell r="A2" t="str">
            <v>Complete</v>
          </cell>
        </row>
      </sheetData>
      <sheetData sheetId="5297">
        <row r="2">
          <cell r="A2" t="str">
            <v>Complete</v>
          </cell>
        </row>
      </sheetData>
      <sheetData sheetId="5298">
        <row r="2">
          <cell r="A2" t="str">
            <v>Complete</v>
          </cell>
        </row>
      </sheetData>
      <sheetData sheetId="5299">
        <row r="2">
          <cell r="A2" t="str">
            <v>Complete</v>
          </cell>
        </row>
      </sheetData>
      <sheetData sheetId="5300">
        <row r="2">
          <cell r="A2" t="str">
            <v>Complete</v>
          </cell>
        </row>
      </sheetData>
      <sheetData sheetId="5301">
        <row r="2">
          <cell r="A2" t="str">
            <v>Complete</v>
          </cell>
        </row>
      </sheetData>
      <sheetData sheetId="5302">
        <row r="2">
          <cell r="A2" t="str">
            <v>Complete</v>
          </cell>
        </row>
      </sheetData>
      <sheetData sheetId="5303">
        <row r="2">
          <cell r="A2" t="str">
            <v>Complete</v>
          </cell>
        </row>
      </sheetData>
      <sheetData sheetId="5304">
        <row r="2">
          <cell r="A2" t="str">
            <v>Complete</v>
          </cell>
        </row>
      </sheetData>
      <sheetData sheetId="5305">
        <row r="2">
          <cell r="A2" t="str">
            <v>Complete</v>
          </cell>
        </row>
      </sheetData>
      <sheetData sheetId="5306">
        <row r="2">
          <cell r="A2" t="str">
            <v>Complete</v>
          </cell>
        </row>
      </sheetData>
      <sheetData sheetId="5307">
        <row r="2">
          <cell r="A2" t="str">
            <v>Complete</v>
          </cell>
        </row>
      </sheetData>
      <sheetData sheetId="5308">
        <row r="2">
          <cell r="A2" t="str">
            <v>Complete</v>
          </cell>
        </row>
      </sheetData>
      <sheetData sheetId="5309">
        <row r="2">
          <cell r="A2" t="str">
            <v>Complete</v>
          </cell>
        </row>
      </sheetData>
      <sheetData sheetId="5310">
        <row r="2">
          <cell r="A2" t="str">
            <v>Complete</v>
          </cell>
        </row>
      </sheetData>
      <sheetData sheetId="5311">
        <row r="2">
          <cell r="A2" t="str">
            <v>Complete</v>
          </cell>
        </row>
      </sheetData>
      <sheetData sheetId="5312">
        <row r="2">
          <cell r="A2" t="str">
            <v>Complete</v>
          </cell>
        </row>
      </sheetData>
      <sheetData sheetId="5313">
        <row r="2">
          <cell r="A2" t="str">
            <v>Complete</v>
          </cell>
        </row>
      </sheetData>
      <sheetData sheetId="5314">
        <row r="2">
          <cell r="A2" t="str">
            <v>Complete</v>
          </cell>
        </row>
      </sheetData>
      <sheetData sheetId="5315">
        <row r="2">
          <cell r="A2" t="str">
            <v>Complete</v>
          </cell>
        </row>
      </sheetData>
      <sheetData sheetId="5316">
        <row r="2">
          <cell r="A2" t="str">
            <v>Complete</v>
          </cell>
        </row>
      </sheetData>
      <sheetData sheetId="5317">
        <row r="2">
          <cell r="A2" t="str">
            <v>Complete</v>
          </cell>
        </row>
      </sheetData>
      <sheetData sheetId="5318">
        <row r="2">
          <cell r="A2" t="str">
            <v>Complete</v>
          </cell>
        </row>
      </sheetData>
      <sheetData sheetId="5319">
        <row r="2">
          <cell r="A2" t="str">
            <v>Complete</v>
          </cell>
        </row>
      </sheetData>
      <sheetData sheetId="5320">
        <row r="2">
          <cell r="A2" t="str">
            <v>Complete</v>
          </cell>
        </row>
      </sheetData>
      <sheetData sheetId="5321">
        <row r="2">
          <cell r="A2" t="str">
            <v>Complete</v>
          </cell>
        </row>
      </sheetData>
      <sheetData sheetId="5322">
        <row r="2">
          <cell r="A2" t="str">
            <v>Complete</v>
          </cell>
        </row>
      </sheetData>
      <sheetData sheetId="5323">
        <row r="2">
          <cell r="A2" t="str">
            <v>Complete</v>
          </cell>
        </row>
      </sheetData>
      <sheetData sheetId="5324">
        <row r="2">
          <cell r="A2" t="str">
            <v>Complete</v>
          </cell>
        </row>
      </sheetData>
      <sheetData sheetId="5325">
        <row r="2">
          <cell r="A2" t="str">
            <v>Complete</v>
          </cell>
        </row>
      </sheetData>
      <sheetData sheetId="5326">
        <row r="2">
          <cell r="A2" t="str">
            <v>Complete</v>
          </cell>
        </row>
      </sheetData>
      <sheetData sheetId="5327">
        <row r="2">
          <cell r="A2" t="str">
            <v>Complete</v>
          </cell>
        </row>
      </sheetData>
      <sheetData sheetId="5328">
        <row r="2">
          <cell r="A2" t="str">
            <v>Complete</v>
          </cell>
        </row>
      </sheetData>
      <sheetData sheetId="5329">
        <row r="2">
          <cell r="A2" t="str">
            <v>Complete</v>
          </cell>
        </row>
      </sheetData>
      <sheetData sheetId="5330">
        <row r="2">
          <cell r="A2" t="str">
            <v>Complete</v>
          </cell>
        </row>
      </sheetData>
      <sheetData sheetId="5331">
        <row r="2">
          <cell r="A2" t="str">
            <v>Complete</v>
          </cell>
        </row>
      </sheetData>
      <sheetData sheetId="5332">
        <row r="2">
          <cell r="A2" t="str">
            <v>Complete</v>
          </cell>
        </row>
      </sheetData>
      <sheetData sheetId="5333">
        <row r="2">
          <cell r="A2" t="str">
            <v>Complete</v>
          </cell>
        </row>
      </sheetData>
      <sheetData sheetId="5334">
        <row r="2">
          <cell r="A2" t="str">
            <v>Complete</v>
          </cell>
        </row>
      </sheetData>
      <sheetData sheetId="5335">
        <row r="2">
          <cell r="A2" t="str">
            <v>Complete</v>
          </cell>
        </row>
      </sheetData>
      <sheetData sheetId="5336">
        <row r="2">
          <cell r="A2" t="str">
            <v>Complete</v>
          </cell>
        </row>
      </sheetData>
      <sheetData sheetId="5337">
        <row r="2">
          <cell r="A2" t="str">
            <v>Complete</v>
          </cell>
        </row>
      </sheetData>
      <sheetData sheetId="5338">
        <row r="2">
          <cell r="A2" t="str">
            <v>Complete</v>
          </cell>
        </row>
      </sheetData>
      <sheetData sheetId="5339">
        <row r="2">
          <cell r="A2" t="str">
            <v>Complete</v>
          </cell>
        </row>
      </sheetData>
      <sheetData sheetId="5340">
        <row r="2">
          <cell r="A2" t="str">
            <v>Complete</v>
          </cell>
        </row>
      </sheetData>
      <sheetData sheetId="5341">
        <row r="2">
          <cell r="A2" t="str">
            <v>Complete</v>
          </cell>
        </row>
      </sheetData>
      <sheetData sheetId="5342">
        <row r="2">
          <cell r="A2" t="str">
            <v>Complete</v>
          </cell>
        </row>
      </sheetData>
      <sheetData sheetId="5343">
        <row r="2">
          <cell r="A2" t="str">
            <v>Complete</v>
          </cell>
        </row>
      </sheetData>
      <sheetData sheetId="5344">
        <row r="2">
          <cell r="A2" t="str">
            <v>Complete</v>
          </cell>
        </row>
      </sheetData>
      <sheetData sheetId="5345">
        <row r="2">
          <cell r="A2" t="str">
            <v>Complete</v>
          </cell>
        </row>
      </sheetData>
      <sheetData sheetId="5346">
        <row r="2">
          <cell r="A2" t="str">
            <v>Complete</v>
          </cell>
        </row>
      </sheetData>
      <sheetData sheetId="5347">
        <row r="2">
          <cell r="A2" t="str">
            <v>Complete</v>
          </cell>
        </row>
      </sheetData>
      <sheetData sheetId="5348">
        <row r="2">
          <cell r="A2" t="str">
            <v>Complete</v>
          </cell>
        </row>
      </sheetData>
      <sheetData sheetId="5349">
        <row r="2">
          <cell r="A2" t="str">
            <v>Complete</v>
          </cell>
        </row>
      </sheetData>
      <sheetData sheetId="5350">
        <row r="2">
          <cell r="A2" t="str">
            <v>Complete</v>
          </cell>
        </row>
      </sheetData>
      <sheetData sheetId="5351">
        <row r="2">
          <cell r="A2" t="str">
            <v>Complete</v>
          </cell>
        </row>
      </sheetData>
      <sheetData sheetId="5352">
        <row r="2">
          <cell r="A2" t="str">
            <v>Complete</v>
          </cell>
        </row>
      </sheetData>
      <sheetData sheetId="5353">
        <row r="2">
          <cell r="A2" t="str">
            <v>Complete</v>
          </cell>
        </row>
      </sheetData>
      <sheetData sheetId="5354">
        <row r="2">
          <cell r="A2" t="str">
            <v>Complete</v>
          </cell>
        </row>
      </sheetData>
      <sheetData sheetId="5355">
        <row r="2">
          <cell r="A2" t="str">
            <v>Complete</v>
          </cell>
        </row>
      </sheetData>
      <sheetData sheetId="5356">
        <row r="2">
          <cell r="A2" t="str">
            <v>Complete</v>
          </cell>
        </row>
      </sheetData>
      <sheetData sheetId="5357">
        <row r="2">
          <cell r="A2" t="str">
            <v>Complete</v>
          </cell>
        </row>
      </sheetData>
      <sheetData sheetId="5358">
        <row r="2">
          <cell r="A2" t="str">
            <v>Complete</v>
          </cell>
        </row>
      </sheetData>
      <sheetData sheetId="5359">
        <row r="2">
          <cell r="A2" t="str">
            <v>Complete</v>
          </cell>
        </row>
      </sheetData>
      <sheetData sheetId="5360">
        <row r="2">
          <cell r="A2" t="str">
            <v>Complete</v>
          </cell>
        </row>
      </sheetData>
      <sheetData sheetId="5361">
        <row r="2">
          <cell r="A2" t="str">
            <v>Complete</v>
          </cell>
        </row>
      </sheetData>
      <sheetData sheetId="5362">
        <row r="2">
          <cell r="A2" t="str">
            <v>Complete</v>
          </cell>
        </row>
      </sheetData>
      <sheetData sheetId="5363">
        <row r="2">
          <cell r="A2" t="str">
            <v>Complete</v>
          </cell>
        </row>
      </sheetData>
      <sheetData sheetId="5364">
        <row r="2">
          <cell r="A2" t="str">
            <v>Complete</v>
          </cell>
        </row>
      </sheetData>
      <sheetData sheetId="5365">
        <row r="2">
          <cell r="A2" t="str">
            <v>Complete</v>
          </cell>
        </row>
      </sheetData>
      <sheetData sheetId="5366">
        <row r="2">
          <cell r="A2" t="str">
            <v>Complete</v>
          </cell>
        </row>
      </sheetData>
      <sheetData sheetId="5367">
        <row r="2">
          <cell r="A2" t="str">
            <v>Complete</v>
          </cell>
        </row>
      </sheetData>
      <sheetData sheetId="5368">
        <row r="2">
          <cell r="A2" t="str">
            <v>Complete</v>
          </cell>
        </row>
      </sheetData>
      <sheetData sheetId="5369">
        <row r="2">
          <cell r="A2" t="str">
            <v>Complete</v>
          </cell>
        </row>
      </sheetData>
      <sheetData sheetId="5370">
        <row r="2">
          <cell r="A2" t="str">
            <v>Complete</v>
          </cell>
        </row>
      </sheetData>
      <sheetData sheetId="5371">
        <row r="2">
          <cell r="A2" t="str">
            <v>Complete</v>
          </cell>
        </row>
      </sheetData>
      <sheetData sheetId="5372">
        <row r="2">
          <cell r="A2" t="str">
            <v>Complete</v>
          </cell>
        </row>
      </sheetData>
      <sheetData sheetId="5373">
        <row r="2">
          <cell r="A2" t="str">
            <v>Complete</v>
          </cell>
        </row>
      </sheetData>
      <sheetData sheetId="5374">
        <row r="2">
          <cell r="A2" t="str">
            <v>Complete</v>
          </cell>
        </row>
      </sheetData>
      <sheetData sheetId="5375">
        <row r="2">
          <cell r="A2" t="str">
            <v>Complete</v>
          </cell>
        </row>
      </sheetData>
      <sheetData sheetId="5376">
        <row r="2">
          <cell r="A2" t="str">
            <v>Complete</v>
          </cell>
        </row>
      </sheetData>
      <sheetData sheetId="5377">
        <row r="2">
          <cell r="A2" t="str">
            <v>Complete</v>
          </cell>
        </row>
      </sheetData>
      <sheetData sheetId="5378">
        <row r="2">
          <cell r="A2" t="str">
            <v>Complete</v>
          </cell>
        </row>
      </sheetData>
      <sheetData sheetId="5379">
        <row r="2">
          <cell r="A2" t="str">
            <v>Complete</v>
          </cell>
        </row>
      </sheetData>
      <sheetData sheetId="5380">
        <row r="2">
          <cell r="A2" t="str">
            <v>Complete</v>
          </cell>
        </row>
      </sheetData>
      <sheetData sheetId="5381">
        <row r="2">
          <cell r="A2" t="str">
            <v>Complete</v>
          </cell>
        </row>
      </sheetData>
      <sheetData sheetId="5382">
        <row r="2">
          <cell r="A2" t="str">
            <v>Complete</v>
          </cell>
        </row>
      </sheetData>
      <sheetData sheetId="5383">
        <row r="2">
          <cell r="A2" t="str">
            <v>Complete</v>
          </cell>
        </row>
      </sheetData>
      <sheetData sheetId="5384">
        <row r="2">
          <cell r="A2" t="str">
            <v>Complete</v>
          </cell>
        </row>
      </sheetData>
      <sheetData sheetId="5385">
        <row r="2">
          <cell r="A2" t="str">
            <v>Complete</v>
          </cell>
        </row>
      </sheetData>
      <sheetData sheetId="5386">
        <row r="2">
          <cell r="A2" t="str">
            <v>Complete</v>
          </cell>
        </row>
      </sheetData>
      <sheetData sheetId="5387">
        <row r="2">
          <cell r="A2" t="str">
            <v>Complete</v>
          </cell>
        </row>
      </sheetData>
      <sheetData sheetId="5388">
        <row r="2">
          <cell r="A2" t="str">
            <v>Complete</v>
          </cell>
        </row>
      </sheetData>
      <sheetData sheetId="5389">
        <row r="2">
          <cell r="A2" t="str">
            <v>Complete</v>
          </cell>
        </row>
      </sheetData>
      <sheetData sheetId="5390">
        <row r="2">
          <cell r="A2" t="str">
            <v>Complete</v>
          </cell>
        </row>
      </sheetData>
      <sheetData sheetId="5391">
        <row r="2">
          <cell r="A2" t="str">
            <v>Complete</v>
          </cell>
        </row>
      </sheetData>
      <sheetData sheetId="5392">
        <row r="2">
          <cell r="A2" t="str">
            <v>Complete</v>
          </cell>
        </row>
      </sheetData>
      <sheetData sheetId="5393">
        <row r="2">
          <cell r="A2" t="str">
            <v>Complete</v>
          </cell>
        </row>
      </sheetData>
      <sheetData sheetId="5394">
        <row r="2">
          <cell r="A2" t="str">
            <v>Complete</v>
          </cell>
        </row>
      </sheetData>
      <sheetData sheetId="5395">
        <row r="2">
          <cell r="A2" t="str">
            <v>Complete</v>
          </cell>
        </row>
      </sheetData>
      <sheetData sheetId="5396">
        <row r="2">
          <cell r="A2" t="str">
            <v>Complete</v>
          </cell>
        </row>
      </sheetData>
      <sheetData sheetId="5397">
        <row r="2">
          <cell r="A2" t="str">
            <v>Complete</v>
          </cell>
        </row>
      </sheetData>
      <sheetData sheetId="5398">
        <row r="2">
          <cell r="A2" t="str">
            <v>Complete</v>
          </cell>
        </row>
      </sheetData>
      <sheetData sheetId="5399">
        <row r="2">
          <cell r="A2" t="str">
            <v>Complete</v>
          </cell>
        </row>
      </sheetData>
      <sheetData sheetId="5400">
        <row r="2">
          <cell r="A2" t="str">
            <v>Complete</v>
          </cell>
        </row>
      </sheetData>
      <sheetData sheetId="5401">
        <row r="2">
          <cell r="A2" t="str">
            <v>Complete</v>
          </cell>
        </row>
      </sheetData>
      <sheetData sheetId="5402">
        <row r="2">
          <cell r="A2" t="str">
            <v>Complete</v>
          </cell>
        </row>
      </sheetData>
      <sheetData sheetId="5403">
        <row r="2">
          <cell r="A2" t="str">
            <v>Complete</v>
          </cell>
        </row>
      </sheetData>
      <sheetData sheetId="5404">
        <row r="2">
          <cell r="A2" t="str">
            <v>Complete</v>
          </cell>
        </row>
      </sheetData>
      <sheetData sheetId="5405">
        <row r="2">
          <cell r="A2" t="str">
            <v>Complete</v>
          </cell>
        </row>
      </sheetData>
      <sheetData sheetId="5406">
        <row r="2">
          <cell r="A2" t="str">
            <v>Complete</v>
          </cell>
        </row>
      </sheetData>
      <sheetData sheetId="5407">
        <row r="2">
          <cell r="A2" t="str">
            <v>Complete</v>
          </cell>
        </row>
      </sheetData>
      <sheetData sheetId="5408">
        <row r="2">
          <cell r="A2" t="str">
            <v>Complete</v>
          </cell>
        </row>
      </sheetData>
      <sheetData sheetId="5409">
        <row r="2">
          <cell r="A2" t="str">
            <v>Complete</v>
          </cell>
        </row>
      </sheetData>
      <sheetData sheetId="5410">
        <row r="2">
          <cell r="A2" t="str">
            <v>Complete</v>
          </cell>
        </row>
      </sheetData>
      <sheetData sheetId="5411">
        <row r="2">
          <cell r="A2" t="str">
            <v>Complete</v>
          </cell>
        </row>
      </sheetData>
      <sheetData sheetId="5412">
        <row r="2">
          <cell r="A2" t="str">
            <v>Complete</v>
          </cell>
        </row>
      </sheetData>
      <sheetData sheetId="5413">
        <row r="2">
          <cell r="A2" t="str">
            <v>Complete</v>
          </cell>
        </row>
      </sheetData>
      <sheetData sheetId="5414">
        <row r="2">
          <cell r="A2" t="str">
            <v>Complete</v>
          </cell>
        </row>
      </sheetData>
      <sheetData sheetId="5415">
        <row r="2">
          <cell r="A2" t="str">
            <v>Complete</v>
          </cell>
        </row>
      </sheetData>
      <sheetData sheetId="5416">
        <row r="2">
          <cell r="A2" t="str">
            <v>Complete</v>
          </cell>
        </row>
      </sheetData>
      <sheetData sheetId="5417">
        <row r="2">
          <cell r="A2" t="str">
            <v>Complete</v>
          </cell>
        </row>
      </sheetData>
      <sheetData sheetId="5418">
        <row r="2">
          <cell r="A2" t="str">
            <v>Complete</v>
          </cell>
        </row>
      </sheetData>
      <sheetData sheetId="5419">
        <row r="2">
          <cell r="A2" t="str">
            <v>Complete</v>
          </cell>
        </row>
      </sheetData>
      <sheetData sheetId="5420">
        <row r="2">
          <cell r="A2" t="str">
            <v>Complete</v>
          </cell>
        </row>
      </sheetData>
      <sheetData sheetId="5421">
        <row r="2">
          <cell r="A2" t="str">
            <v>Complete</v>
          </cell>
        </row>
      </sheetData>
      <sheetData sheetId="5422">
        <row r="2">
          <cell r="A2" t="str">
            <v>Complete</v>
          </cell>
        </row>
      </sheetData>
      <sheetData sheetId="5423">
        <row r="2">
          <cell r="A2" t="str">
            <v>Complete</v>
          </cell>
        </row>
      </sheetData>
      <sheetData sheetId="5424">
        <row r="2">
          <cell r="A2" t="str">
            <v>Complete</v>
          </cell>
        </row>
      </sheetData>
      <sheetData sheetId="5425">
        <row r="2">
          <cell r="A2" t="str">
            <v>Complete</v>
          </cell>
        </row>
      </sheetData>
      <sheetData sheetId="5426">
        <row r="2">
          <cell r="A2" t="str">
            <v>Complete</v>
          </cell>
        </row>
      </sheetData>
      <sheetData sheetId="5427">
        <row r="2">
          <cell r="A2" t="str">
            <v>Complete</v>
          </cell>
        </row>
      </sheetData>
      <sheetData sheetId="5428">
        <row r="2">
          <cell r="A2" t="str">
            <v>Complete</v>
          </cell>
        </row>
      </sheetData>
      <sheetData sheetId="5429">
        <row r="2">
          <cell r="A2" t="str">
            <v>Complete</v>
          </cell>
        </row>
      </sheetData>
      <sheetData sheetId="5430">
        <row r="2">
          <cell r="A2" t="str">
            <v>Complete</v>
          </cell>
        </row>
      </sheetData>
      <sheetData sheetId="5431">
        <row r="2">
          <cell r="A2" t="str">
            <v>Complete</v>
          </cell>
        </row>
      </sheetData>
      <sheetData sheetId="5432">
        <row r="2">
          <cell r="A2" t="str">
            <v>Complete</v>
          </cell>
        </row>
      </sheetData>
      <sheetData sheetId="5433">
        <row r="2">
          <cell r="A2" t="str">
            <v>Complete</v>
          </cell>
        </row>
      </sheetData>
      <sheetData sheetId="5434">
        <row r="2">
          <cell r="A2" t="str">
            <v>Complete</v>
          </cell>
        </row>
      </sheetData>
      <sheetData sheetId="5435">
        <row r="2">
          <cell r="A2" t="str">
            <v>Complete</v>
          </cell>
        </row>
      </sheetData>
      <sheetData sheetId="5436">
        <row r="2">
          <cell r="A2" t="str">
            <v>Complete</v>
          </cell>
        </row>
      </sheetData>
      <sheetData sheetId="5437">
        <row r="2">
          <cell r="A2" t="str">
            <v>Complete</v>
          </cell>
        </row>
      </sheetData>
      <sheetData sheetId="5438">
        <row r="2">
          <cell r="A2" t="str">
            <v>Complete</v>
          </cell>
        </row>
      </sheetData>
      <sheetData sheetId="5439">
        <row r="2">
          <cell r="A2" t="str">
            <v>Complete</v>
          </cell>
        </row>
      </sheetData>
      <sheetData sheetId="5440">
        <row r="2">
          <cell r="A2" t="str">
            <v>Complete</v>
          </cell>
        </row>
      </sheetData>
      <sheetData sheetId="5441">
        <row r="2">
          <cell r="A2" t="str">
            <v>Complete</v>
          </cell>
        </row>
      </sheetData>
      <sheetData sheetId="5442">
        <row r="2">
          <cell r="A2" t="str">
            <v>Complete</v>
          </cell>
        </row>
      </sheetData>
      <sheetData sheetId="5443">
        <row r="2">
          <cell r="A2" t="str">
            <v>Complete</v>
          </cell>
        </row>
      </sheetData>
      <sheetData sheetId="5444">
        <row r="2">
          <cell r="A2" t="str">
            <v>Complete</v>
          </cell>
        </row>
      </sheetData>
      <sheetData sheetId="5445">
        <row r="2">
          <cell r="A2" t="str">
            <v>Complete</v>
          </cell>
        </row>
      </sheetData>
      <sheetData sheetId="5446">
        <row r="2">
          <cell r="A2" t="str">
            <v>Complete</v>
          </cell>
        </row>
      </sheetData>
      <sheetData sheetId="5447">
        <row r="2">
          <cell r="A2" t="str">
            <v>Complete</v>
          </cell>
        </row>
      </sheetData>
      <sheetData sheetId="5448">
        <row r="2">
          <cell r="A2" t="str">
            <v>Complete</v>
          </cell>
        </row>
      </sheetData>
      <sheetData sheetId="5449">
        <row r="2">
          <cell r="A2" t="str">
            <v>Complete</v>
          </cell>
        </row>
      </sheetData>
      <sheetData sheetId="5450">
        <row r="2">
          <cell r="A2" t="str">
            <v>Complete</v>
          </cell>
        </row>
      </sheetData>
      <sheetData sheetId="5451">
        <row r="2">
          <cell r="A2" t="str">
            <v>Complete</v>
          </cell>
        </row>
      </sheetData>
      <sheetData sheetId="5452">
        <row r="2">
          <cell r="A2" t="str">
            <v>Complete</v>
          </cell>
        </row>
      </sheetData>
      <sheetData sheetId="5453">
        <row r="2">
          <cell r="A2" t="str">
            <v>Complete</v>
          </cell>
        </row>
      </sheetData>
      <sheetData sheetId="5454">
        <row r="2">
          <cell r="A2" t="str">
            <v>Complete</v>
          </cell>
        </row>
      </sheetData>
      <sheetData sheetId="5455">
        <row r="2">
          <cell r="A2" t="str">
            <v>Complete</v>
          </cell>
        </row>
      </sheetData>
      <sheetData sheetId="5456">
        <row r="2">
          <cell r="A2" t="str">
            <v>Complete</v>
          </cell>
        </row>
      </sheetData>
      <sheetData sheetId="5457">
        <row r="2">
          <cell r="A2" t="str">
            <v>Complete</v>
          </cell>
        </row>
      </sheetData>
      <sheetData sheetId="5458">
        <row r="2">
          <cell r="A2" t="str">
            <v>Complete</v>
          </cell>
        </row>
      </sheetData>
      <sheetData sheetId="5459" refreshError="1"/>
      <sheetData sheetId="5460">
        <row r="2">
          <cell r="A2" t="str">
            <v>Complete</v>
          </cell>
        </row>
      </sheetData>
      <sheetData sheetId="5461">
        <row r="2">
          <cell r="A2" t="str">
            <v>Complete</v>
          </cell>
        </row>
      </sheetData>
      <sheetData sheetId="5462">
        <row r="2">
          <cell r="A2" t="str">
            <v>Complete</v>
          </cell>
        </row>
      </sheetData>
      <sheetData sheetId="5463">
        <row r="2">
          <cell r="A2" t="str">
            <v>Complete</v>
          </cell>
        </row>
      </sheetData>
      <sheetData sheetId="5464">
        <row r="2">
          <cell r="A2" t="str">
            <v>Complete</v>
          </cell>
        </row>
      </sheetData>
      <sheetData sheetId="5465">
        <row r="2">
          <cell r="A2" t="str">
            <v>Complete</v>
          </cell>
        </row>
      </sheetData>
      <sheetData sheetId="5466">
        <row r="2">
          <cell r="A2" t="str">
            <v>Complete</v>
          </cell>
        </row>
      </sheetData>
      <sheetData sheetId="5467">
        <row r="2">
          <cell r="A2" t="str">
            <v>Complete</v>
          </cell>
        </row>
      </sheetData>
      <sheetData sheetId="5468">
        <row r="2">
          <cell r="A2" t="str">
            <v>Complete</v>
          </cell>
        </row>
      </sheetData>
      <sheetData sheetId="5469">
        <row r="2">
          <cell r="A2" t="str">
            <v>Complete</v>
          </cell>
        </row>
      </sheetData>
      <sheetData sheetId="5470">
        <row r="2">
          <cell r="A2" t="str">
            <v>Complete</v>
          </cell>
        </row>
      </sheetData>
      <sheetData sheetId="5471">
        <row r="2">
          <cell r="A2" t="str">
            <v>Complete</v>
          </cell>
        </row>
      </sheetData>
      <sheetData sheetId="5472">
        <row r="2">
          <cell r="A2" t="str">
            <v>Complete</v>
          </cell>
        </row>
      </sheetData>
      <sheetData sheetId="5473">
        <row r="2">
          <cell r="A2" t="str">
            <v>Complete</v>
          </cell>
        </row>
      </sheetData>
      <sheetData sheetId="5474">
        <row r="2">
          <cell r="A2" t="str">
            <v>Complete</v>
          </cell>
        </row>
      </sheetData>
      <sheetData sheetId="5475">
        <row r="2">
          <cell r="A2" t="str">
            <v>Complete</v>
          </cell>
        </row>
      </sheetData>
      <sheetData sheetId="5476">
        <row r="2">
          <cell r="A2" t="str">
            <v>Complete</v>
          </cell>
        </row>
      </sheetData>
      <sheetData sheetId="5477">
        <row r="2">
          <cell r="A2" t="str">
            <v>Complete</v>
          </cell>
        </row>
      </sheetData>
      <sheetData sheetId="5478">
        <row r="2">
          <cell r="A2" t="str">
            <v>Complete</v>
          </cell>
        </row>
      </sheetData>
      <sheetData sheetId="5479">
        <row r="2">
          <cell r="A2" t="str">
            <v>Complete</v>
          </cell>
        </row>
      </sheetData>
      <sheetData sheetId="5480">
        <row r="2">
          <cell r="A2" t="str">
            <v>Complete</v>
          </cell>
        </row>
      </sheetData>
      <sheetData sheetId="5481">
        <row r="2">
          <cell r="A2" t="str">
            <v>Complete</v>
          </cell>
        </row>
      </sheetData>
      <sheetData sheetId="5482">
        <row r="2">
          <cell r="A2" t="str">
            <v>Complete</v>
          </cell>
        </row>
      </sheetData>
      <sheetData sheetId="5483">
        <row r="2">
          <cell r="A2" t="str">
            <v>Complete</v>
          </cell>
        </row>
      </sheetData>
      <sheetData sheetId="5484">
        <row r="2">
          <cell r="A2" t="str">
            <v>Complete</v>
          </cell>
        </row>
      </sheetData>
      <sheetData sheetId="5485">
        <row r="2">
          <cell r="A2" t="str">
            <v>Complete</v>
          </cell>
        </row>
      </sheetData>
      <sheetData sheetId="5486">
        <row r="2">
          <cell r="A2" t="str">
            <v>Complete</v>
          </cell>
        </row>
      </sheetData>
      <sheetData sheetId="5487">
        <row r="2">
          <cell r="A2" t="str">
            <v>Complete</v>
          </cell>
        </row>
      </sheetData>
      <sheetData sheetId="5488">
        <row r="2">
          <cell r="A2" t="str">
            <v>Complete</v>
          </cell>
        </row>
      </sheetData>
      <sheetData sheetId="5489">
        <row r="2">
          <cell r="A2" t="str">
            <v>Complete</v>
          </cell>
        </row>
      </sheetData>
      <sheetData sheetId="5490">
        <row r="2">
          <cell r="A2" t="str">
            <v>Complete</v>
          </cell>
        </row>
      </sheetData>
      <sheetData sheetId="5491">
        <row r="2">
          <cell r="A2" t="str">
            <v>Complete</v>
          </cell>
        </row>
      </sheetData>
      <sheetData sheetId="5492">
        <row r="2">
          <cell r="A2" t="str">
            <v>Complete</v>
          </cell>
        </row>
      </sheetData>
      <sheetData sheetId="5493">
        <row r="2">
          <cell r="A2" t="str">
            <v>Complete</v>
          </cell>
        </row>
      </sheetData>
      <sheetData sheetId="5494">
        <row r="2">
          <cell r="A2" t="str">
            <v>Complete</v>
          </cell>
        </row>
      </sheetData>
      <sheetData sheetId="5495">
        <row r="2">
          <cell r="A2" t="str">
            <v>Complete</v>
          </cell>
        </row>
      </sheetData>
      <sheetData sheetId="5496">
        <row r="2">
          <cell r="A2" t="str">
            <v>Complete</v>
          </cell>
        </row>
      </sheetData>
      <sheetData sheetId="5497">
        <row r="2">
          <cell r="A2" t="str">
            <v>Complete</v>
          </cell>
        </row>
      </sheetData>
      <sheetData sheetId="5498">
        <row r="2">
          <cell r="A2" t="str">
            <v>Complete</v>
          </cell>
        </row>
      </sheetData>
      <sheetData sheetId="5499">
        <row r="2">
          <cell r="A2" t="str">
            <v>Complete</v>
          </cell>
        </row>
      </sheetData>
      <sheetData sheetId="5500">
        <row r="2">
          <cell r="A2" t="str">
            <v>Complete</v>
          </cell>
        </row>
      </sheetData>
      <sheetData sheetId="5501">
        <row r="2">
          <cell r="A2" t="str">
            <v>Complete</v>
          </cell>
        </row>
      </sheetData>
      <sheetData sheetId="5502">
        <row r="2">
          <cell r="A2" t="str">
            <v>Complete</v>
          </cell>
        </row>
      </sheetData>
      <sheetData sheetId="5503">
        <row r="2">
          <cell r="A2" t="str">
            <v>Complete</v>
          </cell>
        </row>
      </sheetData>
      <sheetData sheetId="5504">
        <row r="2">
          <cell r="A2" t="str">
            <v>Complete</v>
          </cell>
        </row>
      </sheetData>
      <sheetData sheetId="5505">
        <row r="2">
          <cell r="A2" t="str">
            <v>Complete</v>
          </cell>
        </row>
      </sheetData>
      <sheetData sheetId="5506">
        <row r="2">
          <cell r="A2" t="str">
            <v>Complete</v>
          </cell>
        </row>
      </sheetData>
      <sheetData sheetId="5507">
        <row r="2">
          <cell r="A2" t="str">
            <v>Complete</v>
          </cell>
        </row>
      </sheetData>
      <sheetData sheetId="5508">
        <row r="2">
          <cell r="A2" t="str">
            <v>Complete</v>
          </cell>
        </row>
      </sheetData>
      <sheetData sheetId="5509">
        <row r="2">
          <cell r="A2" t="str">
            <v>Complete</v>
          </cell>
        </row>
      </sheetData>
      <sheetData sheetId="5510">
        <row r="2">
          <cell r="A2" t="str">
            <v>Complete</v>
          </cell>
        </row>
      </sheetData>
      <sheetData sheetId="5511">
        <row r="2">
          <cell r="A2" t="str">
            <v>Complete</v>
          </cell>
        </row>
      </sheetData>
      <sheetData sheetId="5512">
        <row r="2">
          <cell r="A2" t="str">
            <v>Complete</v>
          </cell>
        </row>
      </sheetData>
      <sheetData sheetId="5513">
        <row r="2">
          <cell r="A2" t="str">
            <v>Complete</v>
          </cell>
        </row>
      </sheetData>
      <sheetData sheetId="5514">
        <row r="2">
          <cell r="A2" t="str">
            <v>Complete</v>
          </cell>
        </row>
      </sheetData>
      <sheetData sheetId="5515">
        <row r="2">
          <cell r="A2" t="str">
            <v>Complete</v>
          </cell>
        </row>
      </sheetData>
      <sheetData sheetId="5516">
        <row r="2">
          <cell r="A2" t="str">
            <v>Complete</v>
          </cell>
        </row>
      </sheetData>
      <sheetData sheetId="5517">
        <row r="2">
          <cell r="A2" t="str">
            <v>Complete</v>
          </cell>
        </row>
      </sheetData>
      <sheetData sheetId="5518">
        <row r="2">
          <cell r="A2" t="str">
            <v>Complete</v>
          </cell>
        </row>
      </sheetData>
      <sheetData sheetId="5519">
        <row r="2">
          <cell r="A2" t="str">
            <v>Complete</v>
          </cell>
        </row>
      </sheetData>
      <sheetData sheetId="5520">
        <row r="2">
          <cell r="A2" t="str">
            <v>Complete</v>
          </cell>
        </row>
      </sheetData>
      <sheetData sheetId="5521">
        <row r="2">
          <cell r="A2" t="str">
            <v>Complete</v>
          </cell>
        </row>
      </sheetData>
      <sheetData sheetId="5522">
        <row r="2">
          <cell r="A2" t="str">
            <v>Complete</v>
          </cell>
        </row>
      </sheetData>
      <sheetData sheetId="5523">
        <row r="2">
          <cell r="A2" t="str">
            <v>Complete</v>
          </cell>
        </row>
      </sheetData>
      <sheetData sheetId="5524">
        <row r="2">
          <cell r="A2" t="str">
            <v>Complete</v>
          </cell>
        </row>
      </sheetData>
      <sheetData sheetId="5525">
        <row r="2">
          <cell r="A2" t="str">
            <v>Complete</v>
          </cell>
        </row>
      </sheetData>
      <sheetData sheetId="5526">
        <row r="2">
          <cell r="A2" t="str">
            <v>Complete</v>
          </cell>
        </row>
      </sheetData>
      <sheetData sheetId="5527">
        <row r="2">
          <cell r="A2" t="str">
            <v>Complete</v>
          </cell>
        </row>
      </sheetData>
      <sheetData sheetId="5528">
        <row r="2">
          <cell r="A2" t="str">
            <v>Complete</v>
          </cell>
        </row>
      </sheetData>
      <sheetData sheetId="5529">
        <row r="2">
          <cell r="A2" t="str">
            <v>Complete</v>
          </cell>
        </row>
      </sheetData>
      <sheetData sheetId="5530">
        <row r="2">
          <cell r="A2" t="str">
            <v>Complete</v>
          </cell>
        </row>
      </sheetData>
      <sheetData sheetId="5531">
        <row r="2">
          <cell r="A2" t="str">
            <v>Complete</v>
          </cell>
        </row>
      </sheetData>
      <sheetData sheetId="5532">
        <row r="2">
          <cell r="A2" t="str">
            <v>Complete</v>
          </cell>
        </row>
      </sheetData>
      <sheetData sheetId="5533">
        <row r="2">
          <cell r="A2" t="str">
            <v>Complete</v>
          </cell>
        </row>
      </sheetData>
      <sheetData sheetId="5534">
        <row r="2">
          <cell r="A2" t="str">
            <v>Complete</v>
          </cell>
        </row>
      </sheetData>
      <sheetData sheetId="5535">
        <row r="2">
          <cell r="A2" t="str">
            <v>Complete</v>
          </cell>
        </row>
      </sheetData>
      <sheetData sheetId="5536">
        <row r="2">
          <cell r="A2" t="str">
            <v>Complete</v>
          </cell>
        </row>
      </sheetData>
      <sheetData sheetId="5537">
        <row r="2">
          <cell r="A2" t="str">
            <v>Complete</v>
          </cell>
        </row>
      </sheetData>
      <sheetData sheetId="5538">
        <row r="2">
          <cell r="A2" t="str">
            <v>Complete</v>
          </cell>
        </row>
      </sheetData>
      <sheetData sheetId="5539">
        <row r="2">
          <cell r="A2" t="str">
            <v>Complete</v>
          </cell>
        </row>
      </sheetData>
      <sheetData sheetId="5540">
        <row r="2">
          <cell r="A2" t="str">
            <v>Complete</v>
          </cell>
        </row>
      </sheetData>
      <sheetData sheetId="5541">
        <row r="2">
          <cell r="A2" t="str">
            <v>Complete</v>
          </cell>
        </row>
      </sheetData>
      <sheetData sheetId="5542">
        <row r="2">
          <cell r="A2" t="str">
            <v>Complete</v>
          </cell>
        </row>
      </sheetData>
      <sheetData sheetId="5543">
        <row r="2">
          <cell r="A2" t="str">
            <v>Complete</v>
          </cell>
        </row>
      </sheetData>
      <sheetData sheetId="5544">
        <row r="2">
          <cell r="A2" t="str">
            <v>Complete</v>
          </cell>
        </row>
      </sheetData>
      <sheetData sheetId="5545">
        <row r="2">
          <cell r="A2" t="str">
            <v>Complete</v>
          </cell>
        </row>
      </sheetData>
      <sheetData sheetId="5546">
        <row r="2">
          <cell r="A2" t="str">
            <v>Complete</v>
          </cell>
        </row>
      </sheetData>
      <sheetData sheetId="5547">
        <row r="2">
          <cell r="A2" t="str">
            <v>Complete</v>
          </cell>
        </row>
      </sheetData>
      <sheetData sheetId="5548">
        <row r="2">
          <cell r="A2" t="str">
            <v>Complete</v>
          </cell>
        </row>
      </sheetData>
      <sheetData sheetId="5549">
        <row r="2">
          <cell r="A2" t="str">
            <v>Complete</v>
          </cell>
        </row>
      </sheetData>
      <sheetData sheetId="5550">
        <row r="2">
          <cell r="A2" t="str">
            <v>Complete</v>
          </cell>
        </row>
      </sheetData>
      <sheetData sheetId="5551">
        <row r="2">
          <cell r="A2" t="str">
            <v>Complete</v>
          </cell>
        </row>
      </sheetData>
      <sheetData sheetId="5552">
        <row r="2">
          <cell r="A2" t="str">
            <v>Complete</v>
          </cell>
        </row>
      </sheetData>
      <sheetData sheetId="5553">
        <row r="2">
          <cell r="A2" t="str">
            <v>Complete</v>
          </cell>
        </row>
      </sheetData>
      <sheetData sheetId="5554">
        <row r="2">
          <cell r="A2" t="str">
            <v>Complete</v>
          </cell>
        </row>
      </sheetData>
      <sheetData sheetId="5555">
        <row r="2">
          <cell r="A2" t="str">
            <v>Complete</v>
          </cell>
        </row>
      </sheetData>
      <sheetData sheetId="5556">
        <row r="2">
          <cell r="A2" t="str">
            <v>Complete</v>
          </cell>
        </row>
      </sheetData>
      <sheetData sheetId="5557">
        <row r="2">
          <cell r="A2" t="str">
            <v>Complete</v>
          </cell>
        </row>
      </sheetData>
      <sheetData sheetId="5558">
        <row r="2">
          <cell r="A2" t="str">
            <v>Complete</v>
          </cell>
        </row>
      </sheetData>
      <sheetData sheetId="5559">
        <row r="2">
          <cell r="A2" t="str">
            <v>Complete</v>
          </cell>
        </row>
      </sheetData>
      <sheetData sheetId="5560">
        <row r="2">
          <cell r="A2" t="str">
            <v>Complete</v>
          </cell>
        </row>
      </sheetData>
      <sheetData sheetId="5561">
        <row r="2">
          <cell r="A2" t="str">
            <v>Complete</v>
          </cell>
        </row>
      </sheetData>
      <sheetData sheetId="5562">
        <row r="2">
          <cell r="A2" t="str">
            <v>Complete</v>
          </cell>
        </row>
      </sheetData>
      <sheetData sheetId="5563">
        <row r="2">
          <cell r="A2" t="str">
            <v>Complete</v>
          </cell>
        </row>
      </sheetData>
      <sheetData sheetId="5564">
        <row r="2">
          <cell r="A2" t="str">
            <v>Complete</v>
          </cell>
        </row>
      </sheetData>
      <sheetData sheetId="5565">
        <row r="2">
          <cell r="A2" t="str">
            <v>Complete</v>
          </cell>
        </row>
      </sheetData>
      <sheetData sheetId="5566">
        <row r="2">
          <cell r="A2" t="str">
            <v>Complete</v>
          </cell>
        </row>
      </sheetData>
      <sheetData sheetId="5567">
        <row r="2">
          <cell r="A2" t="str">
            <v>Complete</v>
          </cell>
        </row>
      </sheetData>
      <sheetData sheetId="5568">
        <row r="2">
          <cell r="A2" t="str">
            <v>Complete</v>
          </cell>
        </row>
      </sheetData>
      <sheetData sheetId="5569">
        <row r="2">
          <cell r="A2" t="str">
            <v>Complete</v>
          </cell>
        </row>
      </sheetData>
      <sheetData sheetId="5570">
        <row r="2">
          <cell r="A2" t="str">
            <v>Complete</v>
          </cell>
        </row>
      </sheetData>
      <sheetData sheetId="5571">
        <row r="2">
          <cell r="A2" t="str">
            <v>Complete</v>
          </cell>
        </row>
      </sheetData>
      <sheetData sheetId="5572">
        <row r="2">
          <cell r="A2" t="str">
            <v>Complete</v>
          </cell>
        </row>
      </sheetData>
      <sheetData sheetId="5573">
        <row r="2">
          <cell r="A2" t="str">
            <v>Complete</v>
          </cell>
        </row>
      </sheetData>
      <sheetData sheetId="5574">
        <row r="2">
          <cell r="A2" t="str">
            <v>Complete</v>
          </cell>
        </row>
      </sheetData>
      <sheetData sheetId="5575">
        <row r="2">
          <cell r="A2" t="str">
            <v>Complete</v>
          </cell>
        </row>
      </sheetData>
      <sheetData sheetId="5576">
        <row r="2">
          <cell r="A2" t="str">
            <v>Complete</v>
          </cell>
        </row>
      </sheetData>
      <sheetData sheetId="5577">
        <row r="2">
          <cell r="A2" t="str">
            <v>Complete</v>
          </cell>
        </row>
      </sheetData>
      <sheetData sheetId="5578">
        <row r="2">
          <cell r="A2" t="str">
            <v>Complete</v>
          </cell>
        </row>
      </sheetData>
      <sheetData sheetId="5579">
        <row r="2">
          <cell r="A2" t="str">
            <v>Complete</v>
          </cell>
        </row>
      </sheetData>
      <sheetData sheetId="5580">
        <row r="2">
          <cell r="A2" t="str">
            <v>Complete</v>
          </cell>
        </row>
      </sheetData>
      <sheetData sheetId="5581">
        <row r="2">
          <cell r="A2" t="str">
            <v>Complete</v>
          </cell>
        </row>
      </sheetData>
      <sheetData sheetId="5582">
        <row r="2">
          <cell r="A2" t="str">
            <v>Complete</v>
          </cell>
        </row>
      </sheetData>
      <sheetData sheetId="5583">
        <row r="2">
          <cell r="A2" t="str">
            <v>Complete</v>
          </cell>
        </row>
      </sheetData>
      <sheetData sheetId="5584">
        <row r="2">
          <cell r="A2" t="str">
            <v>Complete</v>
          </cell>
        </row>
      </sheetData>
      <sheetData sheetId="5585">
        <row r="2">
          <cell r="A2" t="str">
            <v>Complete</v>
          </cell>
        </row>
      </sheetData>
      <sheetData sheetId="5586">
        <row r="2">
          <cell r="A2" t="str">
            <v>Complete</v>
          </cell>
        </row>
      </sheetData>
      <sheetData sheetId="5587">
        <row r="2">
          <cell r="A2" t="str">
            <v>Complete</v>
          </cell>
        </row>
      </sheetData>
      <sheetData sheetId="5588">
        <row r="2">
          <cell r="A2" t="str">
            <v>Complete</v>
          </cell>
        </row>
      </sheetData>
      <sheetData sheetId="5589">
        <row r="2">
          <cell r="A2" t="str">
            <v>Complete</v>
          </cell>
        </row>
      </sheetData>
      <sheetData sheetId="5590">
        <row r="2">
          <cell r="A2" t="str">
            <v>Complete</v>
          </cell>
        </row>
      </sheetData>
      <sheetData sheetId="5591">
        <row r="2">
          <cell r="A2" t="str">
            <v>Complete</v>
          </cell>
        </row>
      </sheetData>
      <sheetData sheetId="5592">
        <row r="2">
          <cell r="A2" t="str">
            <v>Complete</v>
          </cell>
        </row>
      </sheetData>
      <sheetData sheetId="5593">
        <row r="2">
          <cell r="A2" t="str">
            <v>Complete</v>
          </cell>
        </row>
      </sheetData>
      <sheetData sheetId="5594">
        <row r="2">
          <cell r="A2" t="str">
            <v>Complete</v>
          </cell>
        </row>
      </sheetData>
      <sheetData sheetId="5595">
        <row r="2">
          <cell r="A2" t="str">
            <v>Complete</v>
          </cell>
        </row>
      </sheetData>
      <sheetData sheetId="5596">
        <row r="2">
          <cell r="A2" t="str">
            <v>Complete</v>
          </cell>
        </row>
      </sheetData>
      <sheetData sheetId="5597">
        <row r="2">
          <cell r="A2" t="str">
            <v>Complete</v>
          </cell>
        </row>
      </sheetData>
      <sheetData sheetId="5598">
        <row r="2">
          <cell r="A2" t="str">
            <v>Complete</v>
          </cell>
        </row>
      </sheetData>
      <sheetData sheetId="5599">
        <row r="2">
          <cell r="A2" t="str">
            <v>Complete</v>
          </cell>
        </row>
      </sheetData>
      <sheetData sheetId="5600">
        <row r="2">
          <cell r="A2" t="str">
            <v>Complete</v>
          </cell>
        </row>
      </sheetData>
      <sheetData sheetId="5601">
        <row r="2">
          <cell r="A2" t="str">
            <v>Complete</v>
          </cell>
        </row>
      </sheetData>
      <sheetData sheetId="5602">
        <row r="2">
          <cell r="A2" t="str">
            <v>Complete</v>
          </cell>
        </row>
      </sheetData>
      <sheetData sheetId="5603">
        <row r="2">
          <cell r="A2" t="str">
            <v>Complete</v>
          </cell>
        </row>
      </sheetData>
      <sheetData sheetId="5604">
        <row r="2">
          <cell r="A2" t="str">
            <v>Complete</v>
          </cell>
        </row>
      </sheetData>
      <sheetData sheetId="5605">
        <row r="2">
          <cell r="A2" t="str">
            <v>Complete</v>
          </cell>
        </row>
      </sheetData>
      <sheetData sheetId="5606">
        <row r="2">
          <cell r="A2" t="str">
            <v>Complete</v>
          </cell>
        </row>
      </sheetData>
      <sheetData sheetId="5607">
        <row r="2">
          <cell r="A2" t="str">
            <v>Complete</v>
          </cell>
        </row>
      </sheetData>
      <sheetData sheetId="5608">
        <row r="2">
          <cell r="A2" t="str">
            <v>Complete</v>
          </cell>
        </row>
      </sheetData>
      <sheetData sheetId="5609">
        <row r="2">
          <cell r="A2" t="str">
            <v>Complete</v>
          </cell>
        </row>
      </sheetData>
      <sheetData sheetId="5610">
        <row r="2">
          <cell r="A2" t="str">
            <v>Complete</v>
          </cell>
        </row>
      </sheetData>
      <sheetData sheetId="5611">
        <row r="2">
          <cell r="A2" t="str">
            <v>Complete</v>
          </cell>
        </row>
      </sheetData>
      <sheetData sheetId="5612">
        <row r="2">
          <cell r="A2" t="str">
            <v>Complete</v>
          </cell>
        </row>
      </sheetData>
      <sheetData sheetId="5613">
        <row r="2">
          <cell r="A2" t="str">
            <v>Complete</v>
          </cell>
        </row>
      </sheetData>
      <sheetData sheetId="5614">
        <row r="2">
          <cell r="A2" t="str">
            <v>Complete</v>
          </cell>
        </row>
      </sheetData>
      <sheetData sheetId="5615">
        <row r="2">
          <cell r="A2" t="str">
            <v>Complete</v>
          </cell>
        </row>
      </sheetData>
      <sheetData sheetId="5616">
        <row r="2">
          <cell r="A2" t="str">
            <v>Complete</v>
          </cell>
        </row>
      </sheetData>
      <sheetData sheetId="5617">
        <row r="2">
          <cell r="A2" t="str">
            <v>Complete</v>
          </cell>
        </row>
      </sheetData>
      <sheetData sheetId="5618">
        <row r="2">
          <cell r="A2" t="str">
            <v>Complete</v>
          </cell>
        </row>
      </sheetData>
      <sheetData sheetId="5619">
        <row r="2">
          <cell r="A2" t="str">
            <v>Complete</v>
          </cell>
        </row>
      </sheetData>
      <sheetData sheetId="5620">
        <row r="2">
          <cell r="A2" t="str">
            <v>Complete</v>
          </cell>
        </row>
      </sheetData>
      <sheetData sheetId="5621">
        <row r="2">
          <cell r="A2" t="str">
            <v>Complete</v>
          </cell>
        </row>
      </sheetData>
      <sheetData sheetId="5622">
        <row r="2">
          <cell r="A2" t="str">
            <v>Complete</v>
          </cell>
        </row>
      </sheetData>
      <sheetData sheetId="5623">
        <row r="2">
          <cell r="A2" t="str">
            <v>Complete</v>
          </cell>
        </row>
      </sheetData>
      <sheetData sheetId="5624">
        <row r="2">
          <cell r="A2" t="str">
            <v>Complete</v>
          </cell>
        </row>
      </sheetData>
      <sheetData sheetId="5625">
        <row r="2">
          <cell r="A2" t="str">
            <v>Complete</v>
          </cell>
        </row>
      </sheetData>
      <sheetData sheetId="5626">
        <row r="2">
          <cell r="A2" t="str">
            <v>Complete</v>
          </cell>
        </row>
      </sheetData>
      <sheetData sheetId="5627">
        <row r="2">
          <cell r="A2" t="str">
            <v>Complete</v>
          </cell>
        </row>
      </sheetData>
      <sheetData sheetId="5628">
        <row r="2">
          <cell r="A2" t="str">
            <v>Complete</v>
          </cell>
        </row>
      </sheetData>
      <sheetData sheetId="5629">
        <row r="2">
          <cell r="A2" t="str">
            <v>Complete</v>
          </cell>
        </row>
      </sheetData>
      <sheetData sheetId="5630">
        <row r="2">
          <cell r="A2" t="str">
            <v>Complete</v>
          </cell>
        </row>
      </sheetData>
      <sheetData sheetId="5631">
        <row r="2">
          <cell r="A2" t="str">
            <v>Complete</v>
          </cell>
        </row>
      </sheetData>
      <sheetData sheetId="5632">
        <row r="2">
          <cell r="A2" t="str">
            <v>Complete</v>
          </cell>
        </row>
      </sheetData>
      <sheetData sheetId="5633">
        <row r="2">
          <cell r="A2" t="str">
            <v>Complete</v>
          </cell>
        </row>
      </sheetData>
      <sheetData sheetId="5634">
        <row r="2">
          <cell r="A2" t="str">
            <v>Complete</v>
          </cell>
        </row>
      </sheetData>
      <sheetData sheetId="5635">
        <row r="2">
          <cell r="A2" t="str">
            <v>Complete</v>
          </cell>
        </row>
      </sheetData>
      <sheetData sheetId="5636">
        <row r="2">
          <cell r="A2" t="str">
            <v>Complete</v>
          </cell>
        </row>
      </sheetData>
      <sheetData sheetId="5637">
        <row r="2">
          <cell r="A2" t="str">
            <v>Complete</v>
          </cell>
        </row>
      </sheetData>
      <sheetData sheetId="5638">
        <row r="2">
          <cell r="A2" t="str">
            <v>Complete</v>
          </cell>
        </row>
      </sheetData>
      <sheetData sheetId="5639">
        <row r="2">
          <cell r="A2" t="str">
            <v>Complete</v>
          </cell>
        </row>
      </sheetData>
      <sheetData sheetId="5640">
        <row r="2">
          <cell r="A2" t="str">
            <v>Complete</v>
          </cell>
        </row>
      </sheetData>
      <sheetData sheetId="5641">
        <row r="2">
          <cell r="A2" t="str">
            <v>Complete</v>
          </cell>
        </row>
      </sheetData>
      <sheetData sheetId="5642">
        <row r="2">
          <cell r="A2" t="str">
            <v>Complete</v>
          </cell>
        </row>
      </sheetData>
      <sheetData sheetId="5643">
        <row r="2">
          <cell r="A2" t="str">
            <v>Complete</v>
          </cell>
        </row>
      </sheetData>
      <sheetData sheetId="5644">
        <row r="2">
          <cell r="A2" t="str">
            <v>Complete</v>
          </cell>
        </row>
      </sheetData>
      <sheetData sheetId="5645">
        <row r="2">
          <cell r="A2" t="str">
            <v>Complete</v>
          </cell>
        </row>
      </sheetData>
      <sheetData sheetId="5646">
        <row r="2">
          <cell r="A2" t="str">
            <v>Complete</v>
          </cell>
        </row>
      </sheetData>
      <sheetData sheetId="5647">
        <row r="2">
          <cell r="A2" t="str">
            <v>Complete</v>
          </cell>
        </row>
      </sheetData>
      <sheetData sheetId="5648">
        <row r="2">
          <cell r="A2" t="str">
            <v>Complete</v>
          </cell>
        </row>
      </sheetData>
      <sheetData sheetId="5649">
        <row r="2">
          <cell r="A2" t="str">
            <v>Complete</v>
          </cell>
        </row>
      </sheetData>
      <sheetData sheetId="5650">
        <row r="2">
          <cell r="A2" t="str">
            <v>Complete</v>
          </cell>
        </row>
      </sheetData>
      <sheetData sheetId="5651">
        <row r="2">
          <cell r="A2" t="str">
            <v>Complete</v>
          </cell>
        </row>
      </sheetData>
      <sheetData sheetId="5652">
        <row r="2">
          <cell r="A2" t="str">
            <v>Complete</v>
          </cell>
        </row>
      </sheetData>
      <sheetData sheetId="5653">
        <row r="2">
          <cell r="A2" t="str">
            <v>Complete</v>
          </cell>
        </row>
      </sheetData>
      <sheetData sheetId="5654">
        <row r="2">
          <cell r="A2" t="str">
            <v>Complete</v>
          </cell>
        </row>
      </sheetData>
      <sheetData sheetId="5655">
        <row r="2">
          <cell r="A2" t="str">
            <v>Complete</v>
          </cell>
        </row>
      </sheetData>
      <sheetData sheetId="5656">
        <row r="2">
          <cell r="A2" t="str">
            <v>Complete</v>
          </cell>
        </row>
      </sheetData>
      <sheetData sheetId="5657">
        <row r="2">
          <cell r="A2" t="str">
            <v>Complete</v>
          </cell>
        </row>
      </sheetData>
      <sheetData sheetId="5658">
        <row r="2">
          <cell r="A2" t="str">
            <v>Complete</v>
          </cell>
        </row>
      </sheetData>
      <sheetData sheetId="5659">
        <row r="2">
          <cell r="A2" t="str">
            <v>Complete</v>
          </cell>
        </row>
      </sheetData>
      <sheetData sheetId="5660">
        <row r="2">
          <cell r="A2" t="str">
            <v>Complete</v>
          </cell>
        </row>
      </sheetData>
      <sheetData sheetId="5661">
        <row r="2">
          <cell r="A2" t="str">
            <v>Complete</v>
          </cell>
        </row>
      </sheetData>
      <sheetData sheetId="5662">
        <row r="2">
          <cell r="A2" t="str">
            <v>Complete</v>
          </cell>
        </row>
      </sheetData>
      <sheetData sheetId="5663">
        <row r="2">
          <cell r="A2" t="str">
            <v>Complete</v>
          </cell>
        </row>
      </sheetData>
      <sheetData sheetId="5664">
        <row r="2">
          <cell r="A2" t="str">
            <v>Complete</v>
          </cell>
        </row>
      </sheetData>
      <sheetData sheetId="5665">
        <row r="2">
          <cell r="A2" t="str">
            <v>Complete</v>
          </cell>
        </row>
      </sheetData>
      <sheetData sheetId="5666">
        <row r="2">
          <cell r="A2" t="str">
            <v>Complete</v>
          </cell>
        </row>
      </sheetData>
      <sheetData sheetId="5667">
        <row r="2">
          <cell r="A2" t="str">
            <v>Complete</v>
          </cell>
        </row>
      </sheetData>
      <sheetData sheetId="5668">
        <row r="2">
          <cell r="A2" t="str">
            <v>Complete</v>
          </cell>
        </row>
      </sheetData>
      <sheetData sheetId="5669">
        <row r="2">
          <cell r="A2">
            <v>43462</v>
          </cell>
        </row>
      </sheetData>
      <sheetData sheetId="5670">
        <row r="2">
          <cell r="A2">
            <v>43462</v>
          </cell>
        </row>
      </sheetData>
      <sheetData sheetId="5671">
        <row r="2">
          <cell r="A2">
            <v>43462</v>
          </cell>
        </row>
      </sheetData>
      <sheetData sheetId="5672">
        <row r="2">
          <cell r="A2">
            <v>43462</v>
          </cell>
        </row>
      </sheetData>
      <sheetData sheetId="5673">
        <row r="2">
          <cell r="A2">
            <v>43462</v>
          </cell>
        </row>
      </sheetData>
      <sheetData sheetId="5674">
        <row r="2">
          <cell r="A2">
            <v>43462</v>
          </cell>
        </row>
      </sheetData>
      <sheetData sheetId="5675">
        <row r="2">
          <cell r="A2">
            <v>43462</v>
          </cell>
        </row>
      </sheetData>
      <sheetData sheetId="5676">
        <row r="2">
          <cell r="A2">
            <v>43462</v>
          </cell>
        </row>
      </sheetData>
      <sheetData sheetId="5677">
        <row r="2">
          <cell r="A2">
            <v>43462</v>
          </cell>
        </row>
      </sheetData>
      <sheetData sheetId="5678">
        <row r="2">
          <cell r="A2">
            <v>43462</v>
          </cell>
        </row>
      </sheetData>
      <sheetData sheetId="5679">
        <row r="2">
          <cell r="A2">
            <v>43462</v>
          </cell>
        </row>
      </sheetData>
      <sheetData sheetId="5680">
        <row r="2">
          <cell r="A2">
            <v>43462</v>
          </cell>
        </row>
      </sheetData>
      <sheetData sheetId="5681">
        <row r="2">
          <cell r="A2">
            <v>43462</v>
          </cell>
        </row>
      </sheetData>
      <sheetData sheetId="5682">
        <row r="2">
          <cell r="A2">
            <v>43462</v>
          </cell>
        </row>
      </sheetData>
      <sheetData sheetId="5683">
        <row r="2">
          <cell r="A2">
            <v>43462</v>
          </cell>
        </row>
      </sheetData>
      <sheetData sheetId="5684">
        <row r="2">
          <cell r="A2">
            <v>43462</v>
          </cell>
        </row>
      </sheetData>
      <sheetData sheetId="5685">
        <row r="2">
          <cell r="A2">
            <v>43462</v>
          </cell>
        </row>
      </sheetData>
      <sheetData sheetId="5686">
        <row r="2">
          <cell r="A2">
            <v>43462</v>
          </cell>
        </row>
      </sheetData>
      <sheetData sheetId="5687">
        <row r="2">
          <cell r="A2">
            <v>43462</v>
          </cell>
        </row>
      </sheetData>
      <sheetData sheetId="5688">
        <row r="2">
          <cell r="A2">
            <v>43462</v>
          </cell>
        </row>
      </sheetData>
      <sheetData sheetId="5689">
        <row r="2">
          <cell r="A2">
            <v>43462</v>
          </cell>
        </row>
      </sheetData>
      <sheetData sheetId="5690">
        <row r="2">
          <cell r="A2">
            <v>43462</v>
          </cell>
        </row>
      </sheetData>
      <sheetData sheetId="5691">
        <row r="2">
          <cell r="A2">
            <v>43462</v>
          </cell>
        </row>
      </sheetData>
      <sheetData sheetId="5692">
        <row r="2">
          <cell r="A2">
            <v>43462</v>
          </cell>
        </row>
      </sheetData>
      <sheetData sheetId="5693">
        <row r="2">
          <cell r="A2">
            <v>43462</v>
          </cell>
        </row>
      </sheetData>
      <sheetData sheetId="5694">
        <row r="2">
          <cell r="A2">
            <v>43462</v>
          </cell>
        </row>
      </sheetData>
      <sheetData sheetId="5695">
        <row r="2">
          <cell r="A2">
            <v>43462</v>
          </cell>
        </row>
      </sheetData>
      <sheetData sheetId="5696">
        <row r="2">
          <cell r="A2">
            <v>43462</v>
          </cell>
        </row>
      </sheetData>
      <sheetData sheetId="5697">
        <row r="2">
          <cell r="A2">
            <v>43462</v>
          </cell>
        </row>
      </sheetData>
      <sheetData sheetId="5698">
        <row r="2">
          <cell r="A2">
            <v>43462</v>
          </cell>
        </row>
      </sheetData>
      <sheetData sheetId="5699">
        <row r="2">
          <cell r="A2">
            <v>43462</v>
          </cell>
        </row>
      </sheetData>
      <sheetData sheetId="5700">
        <row r="2">
          <cell r="A2">
            <v>43462</v>
          </cell>
        </row>
      </sheetData>
      <sheetData sheetId="5701">
        <row r="2">
          <cell r="A2">
            <v>43462</v>
          </cell>
        </row>
      </sheetData>
      <sheetData sheetId="5702">
        <row r="2">
          <cell r="A2">
            <v>43462</v>
          </cell>
        </row>
      </sheetData>
      <sheetData sheetId="5703">
        <row r="2">
          <cell r="A2">
            <v>43462</v>
          </cell>
        </row>
      </sheetData>
      <sheetData sheetId="5704">
        <row r="2">
          <cell r="A2">
            <v>43462</v>
          </cell>
        </row>
      </sheetData>
      <sheetData sheetId="5705">
        <row r="2">
          <cell r="A2">
            <v>43462</v>
          </cell>
        </row>
      </sheetData>
      <sheetData sheetId="5706">
        <row r="2">
          <cell r="A2">
            <v>43462</v>
          </cell>
        </row>
      </sheetData>
      <sheetData sheetId="5707">
        <row r="2">
          <cell r="A2">
            <v>43462</v>
          </cell>
        </row>
      </sheetData>
      <sheetData sheetId="5708">
        <row r="2">
          <cell r="A2">
            <v>43462</v>
          </cell>
        </row>
      </sheetData>
      <sheetData sheetId="5709">
        <row r="2">
          <cell r="A2">
            <v>43462</v>
          </cell>
        </row>
      </sheetData>
      <sheetData sheetId="5710">
        <row r="2">
          <cell r="A2">
            <v>43462</v>
          </cell>
        </row>
      </sheetData>
      <sheetData sheetId="5711">
        <row r="2">
          <cell r="A2">
            <v>43462</v>
          </cell>
        </row>
      </sheetData>
      <sheetData sheetId="5712">
        <row r="2">
          <cell r="A2">
            <v>43462</v>
          </cell>
        </row>
      </sheetData>
      <sheetData sheetId="5713">
        <row r="2">
          <cell r="A2">
            <v>43462</v>
          </cell>
        </row>
      </sheetData>
      <sheetData sheetId="5714">
        <row r="2">
          <cell r="A2">
            <v>43462</v>
          </cell>
        </row>
      </sheetData>
      <sheetData sheetId="5715">
        <row r="2">
          <cell r="A2">
            <v>43462</v>
          </cell>
        </row>
      </sheetData>
      <sheetData sheetId="5716">
        <row r="2">
          <cell r="A2">
            <v>43462</v>
          </cell>
        </row>
      </sheetData>
      <sheetData sheetId="5717">
        <row r="2">
          <cell r="A2">
            <v>43462</v>
          </cell>
        </row>
      </sheetData>
      <sheetData sheetId="5718">
        <row r="2">
          <cell r="A2">
            <v>43462</v>
          </cell>
        </row>
      </sheetData>
      <sheetData sheetId="5719">
        <row r="2">
          <cell r="A2">
            <v>43462</v>
          </cell>
        </row>
      </sheetData>
      <sheetData sheetId="5720">
        <row r="2">
          <cell r="A2">
            <v>43462</v>
          </cell>
        </row>
      </sheetData>
      <sheetData sheetId="5721">
        <row r="2">
          <cell r="A2">
            <v>43462</v>
          </cell>
        </row>
      </sheetData>
      <sheetData sheetId="5722">
        <row r="2">
          <cell r="A2">
            <v>43462</v>
          </cell>
        </row>
      </sheetData>
      <sheetData sheetId="5723">
        <row r="2">
          <cell r="A2">
            <v>43462</v>
          </cell>
        </row>
      </sheetData>
      <sheetData sheetId="5724">
        <row r="2">
          <cell r="A2">
            <v>43462</v>
          </cell>
        </row>
      </sheetData>
      <sheetData sheetId="5725">
        <row r="2">
          <cell r="A2">
            <v>43462</v>
          </cell>
        </row>
      </sheetData>
      <sheetData sheetId="5726">
        <row r="2">
          <cell r="A2">
            <v>43462</v>
          </cell>
        </row>
      </sheetData>
      <sheetData sheetId="5727">
        <row r="2">
          <cell r="A2">
            <v>43462</v>
          </cell>
        </row>
      </sheetData>
      <sheetData sheetId="5728">
        <row r="2">
          <cell r="A2">
            <v>43462</v>
          </cell>
        </row>
      </sheetData>
      <sheetData sheetId="5729">
        <row r="2">
          <cell r="A2">
            <v>43462</v>
          </cell>
        </row>
      </sheetData>
      <sheetData sheetId="5730">
        <row r="2">
          <cell r="A2">
            <v>43462</v>
          </cell>
        </row>
      </sheetData>
      <sheetData sheetId="5731">
        <row r="2">
          <cell r="A2">
            <v>43462</v>
          </cell>
        </row>
      </sheetData>
      <sheetData sheetId="5732">
        <row r="2">
          <cell r="A2">
            <v>43462</v>
          </cell>
        </row>
      </sheetData>
      <sheetData sheetId="5733">
        <row r="2">
          <cell r="A2">
            <v>43462</v>
          </cell>
        </row>
      </sheetData>
      <sheetData sheetId="5734">
        <row r="2">
          <cell r="A2">
            <v>43462</v>
          </cell>
        </row>
      </sheetData>
      <sheetData sheetId="5735">
        <row r="2">
          <cell r="A2">
            <v>43462</v>
          </cell>
        </row>
      </sheetData>
      <sheetData sheetId="5736">
        <row r="2">
          <cell r="A2">
            <v>43462</v>
          </cell>
        </row>
      </sheetData>
      <sheetData sheetId="5737">
        <row r="2">
          <cell r="A2" t="str">
            <v>Complete</v>
          </cell>
        </row>
      </sheetData>
      <sheetData sheetId="5738">
        <row r="2">
          <cell r="A2" t="str">
            <v>Complete</v>
          </cell>
        </row>
      </sheetData>
      <sheetData sheetId="5739">
        <row r="2">
          <cell r="A2" t="str">
            <v>Complete</v>
          </cell>
        </row>
      </sheetData>
      <sheetData sheetId="5740">
        <row r="2">
          <cell r="A2" t="str">
            <v>Complete</v>
          </cell>
        </row>
      </sheetData>
      <sheetData sheetId="5741">
        <row r="2">
          <cell r="A2" t="str">
            <v>Complete</v>
          </cell>
        </row>
      </sheetData>
      <sheetData sheetId="5742">
        <row r="2">
          <cell r="A2" t="str">
            <v>Complete</v>
          </cell>
        </row>
      </sheetData>
      <sheetData sheetId="5743">
        <row r="2">
          <cell r="A2" t="str">
            <v>Complete</v>
          </cell>
        </row>
      </sheetData>
      <sheetData sheetId="5744">
        <row r="2">
          <cell r="A2" t="str">
            <v>Complete</v>
          </cell>
        </row>
      </sheetData>
      <sheetData sheetId="5745">
        <row r="2">
          <cell r="A2" t="str">
            <v>Complete</v>
          </cell>
        </row>
      </sheetData>
      <sheetData sheetId="5746">
        <row r="2">
          <cell r="A2" t="str">
            <v>Complete</v>
          </cell>
        </row>
      </sheetData>
      <sheetData sheetId="5747">
        <row r="2">
          <cell r="A2" t="str">
            <v>Complete</v>
          </cell>
        </row>
      </sheetData>
      <sheetData sheetId="5748">
        <row r="2">
          <cell r="A2" t="str">
            <v>Complete</v>
          </cell>
        </row>
      </sheetData>
      <sheetData sheetId="5749">
        <row r="2">
          <cell r="A2" t="str">
            <v>Complete</v>
          </cell>
        </row>
      </sheetData>
      <sheetData sheetId="5750">
        <row r="2">
          <cell r="A2" t="str">
            <v>Complete</v>
          </cell>
        </row>
      </sheetData>
      <sheetData sheetId="5751">
        <row r="2">
          <cell r="A2" t="str">
            <v>Complete</v>
          </cell>
        </row>
      </sheetData>
      <sheetData sheetId="5752">
        <row r="2">
          <cell r="A2" t="str">
            <v>Complete</v>
          </cell>
        </row>
      </sheetData>
      <sheetData sheetId="5753">
        <row r="2">
          <cell r="A2" t="str">
            <v>Complete</v>
          </cell>
        </row>
      </sheetData>
      <sheetData sheetId="5754">
        <row r="2">
          <cell r="A2" t="str">
            <v>Complete</v>
          </cell>
        </row>
      </sheetData>
      <sheetData sheetId="5755">
        <row r="2">
          <cell r="A2" t="str">
            <v>Complete</v>
          </cell>
        </row>
      </sheetData>
      <sheetData sheetId="5756">
        <row r="2">
          <cell r="A2" t="str">
            <v>Complete</v>
          </cell>
        </row>
      </sheetData>
      <sheetData sheetId="5757">
        <row r="2">
          <cell r="A2" t="str">
            <v>Complete</v>
          </cell>
        </row>
      </sheetData>
      <sheetData sheetId="5758">
        <row r="2">
          <cell r="A2" t="str">
            <v>Complete</v>
          </cell>
        </row>
      </sheetData>
      <sheetData sheetId="5759">
        <row r="2">
          <cell r="A2" t="str">
            <v>Complete</v>
          </cell>
        </row>
      </sheetData>
      <sheetData sheetId="5760">
        <row r="2">
          <cell r="A2" t="str">
            <v>Complete</v>
          </cell>
        </row>
      </sheetData>
      <sheetData sheetId="5761">
        <row r="2">
          <cell r="A2" t="str">
            <v>Complete</v>
          </cell>
        </row>
      </sheetData>
      <sheetData sheetId="5762">
        <row r="2">
          <cell r="A2" t="str">
            <v>Complete</v>
          </cell>
        </row>
      </sheetData>
      <sheetData sheetId="5763">
        <row r="2">
          <cell r="A2" t="str">
            <v>Complete</v>
          </cell>
        </row>
      </sheetData>
      <sheetData sheetId="5764">
        <row r="2">
          <cell r="A2" t="str">
            <v>Complete</v>
          </cell>
        </row>
      </sheetData>
      <sheetData sheetId="5765">
        <row r="2">
          <cell r="A2" t="str">
            <v>Complete</v>
          </cell>
        </row>
      </sheetData>
      <sheetData sheetId="5766">
        <row r="2">
          <cell r="A2" t="str">
            <v>Complete</v>
          </cell>
        </row>
      </sheetData>
      <sheetData sheetId="5767">
        <row r="2">
          <cell r="A2" t="str">
            <v>Complete</v>
          </cell>
        </row>
      </sheetData>
      <sheetData sheetId="5768">
        <row r="2">
          <cell r="A2" t="str">
            <v>Complete</v>
          </cell>
        </row>
      </sheetData>
      <sheetData sheetId="5769">
        <row r="2">
          <cell r="A2" t="str">
            <v>Complete</v>
          </cell>
        </row>
      </sheetData>
      <sheetData sheetId="5770">
        <row r="2">
          <cell r="A2" t="str">
            <v>Complete</v>
          </cell>
        </row>
      </sheetData>
      <sheetData sheetId="5771">
        <row r="2">
          <cell r="A2" t="str">
            <v>Complete</v>
          </cell>
        </row>
      </sheetData>
      <sheetData sheetId="5772">
        <row r="2">
          <cell r="A2" t="str">
            <v>Complete</v>
          </cell>
        </row>
      </sheetData>
      <sheetData sheetId="5773">
        <row r="2">
          <cell r="A2" t="str">
            <v>Complete</v>
          </cell>
        </row>
      </sheetData>
      <sheetData sheetId="5774">
        <row r="2">
          <cell r="A2" t="str">
            <v>Complete</v>
          </cell>
        </row>
      </sheetData>
      <sheetData sheetId="5775">
        <row r="2">
          <cell r="A2" t="str">
            <v>Complete</v>
          </cell>
        </row>
      </sheetData>
      <sheetData sheetId="5776">
        <row r="2">
          <cell r="A2" t="str">
            <v>Complete</v>
          </cell>
        </row>
      </sheetData>
      <sheetData sheetId="5777">
        <row r="2">
          <cell r="A2" t="str">
            <v>Complete</v>
          </cell>
        </row>
      </sheetData>
      <sheetData sheetId="5778">
        <row r="2">
          <cell r="A2" t="str">
            <v>Complete</v>
          </cell>
        </row>
      </sheetData>
      <sheetData sheetId="5779">
        <row r="2">
          <cell r="A2" t="str">
            <v>Complete</v>
          </cell>
        </row>
      </sheetData>
      <sheetData sheetId="5780">
        <row r="2">
          <cell r="A2" t="str">
            <v>Complete</v>
          </cell>
        </row>
      </sheetData>
      <sheetData sheetId="5781">
        <row r="2">
          <cell r="A2" t="str">
            <v>Complete</v>
          </cell>
        </row>
      </sheetData>
      <sheetData sheetId="5782">
        <row r="2">
          <cell r="A2" t="str">
            <v>Complete</v>
          </cell>
        </row>
      </sheetData>
      <sheetData sheetId="5783">
        <row r="2">
          <cell r="A2" t="str">
            <v>Complete</v>
          </cell>
        </row>
      </sheetData>
      <sheetData sheetId="5784">
        <row r="2">
          <cell r="A2" t="str">
            <v>Complete</v>
          </cell>
        </row>
      </sheetData>
      <sheetData sheetId="5785">
        <row r="2">
          <cell r="A2" t="str">
            <v>Complete</v>
          </cell>
        </row>
      </sheetData>
      <sheetData sheetId="5786">
        <row r="2">
          <cell r="A2" t="str">
            <v>Complete</v>
          </cell>
        </row>
      </sheetData>
      <sheetData sheetId="5787">
        <row r="2">
          <cell r="A2" t="str">
            <v>Complete</v>
          </cell>
        </row>
      </sheetData>
      <sheetData sheetId="5788">
        <row r="2">
          <cell r="A2" t="str">
            <v>Complete</v>
          </cell>
        </row>
      </sheetData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>
        <row r="2">
          <cell r="A2">
            <v>43462</v>
          </cell>
        </row>
      </sheetData>
      <sheetData sheetId="5833">
        <row r="2">
          <cell r="A2">
            <v>43462</v>
          </cell>
        </row>
      </sheetData>
      <sheetData sheetId="5834">
        <row r="2">
          <cell r="A2">
            <v>43462</v>
          </cell>
        </row>
      </sheetData>
      <sheetData sheetId="5835">
        <row r="2">
          <cell r="A2">
            <v>43462</v>
          </cell>
        </row>
      </sheetData>
      <sheetData sheetId="5836">
        <row r="2">
          <cell r="A2">
            <v>43462</v>
          </cell>
        </row>
      </sheetData>
      <sheetData sheetId="5837">
        <row r="2">
          <cell r="A2">
            <v>43462</v>
          </cell>
        </row>
      </sheetData>
      <sheetData sheetId="5838">
        <row r="2">
          <cell r="A2">
            <v>43462</v>
          </cell>
        </row>
      </sheetData>
      <sheetData sheetId="5839">
        <row r="2">
          <cell r="A2">
            <v>43462</v>
          </cell>
        </row>
      </sheetData>
      <sheetData sheetId="5840">
        <row r="2">
          <cell r="A2">
            <v>43462</v>
          </cell>
        </row>
      </sheetData>
      <sheetData sheetId="5841">
        <row r="2">
          <cell r="A2">
            <v>43462</v>
          </cell>
        </row>
      </sheetData>
      <sheetData sheetId="5842">
        <row r="2">
          <cell r="A2">
            <v>43462</v>
          </cell>
        </row>
      </sheetData>
      <sheetData sheetId="5843">
        <row r="2">
          <cell r="A2">
            <v>43462</v>
          </cell>
        </row>
      </sheetData>
      <sheetData sheetId="5844">
        <row r="2">
          <cell r="A2">
            <v>43462</v>
          </cell>
        </row>
      </sheetData>
      <sheetData sheetId="5845">
        <row r="2">
          <cell r="A2">
            <v>43462</v>
          </cell>
        </row>
      </sheetData>
      <sheetData sheetId="5846">
        <row r="2">
          <cell r="A2">
            <v>43462</v>
          </cell>
        </row>
      </sheetData>
      <sheetData sheetId="5847">
        <row r="2">
          <cell r="A2">
            <v>43462</v>
          </cell>
        </row>
      </sheetData>
      <sheetData sheetId="5848">
        <row r="2">
          <cell r="A2">
            <v>43462</v>
          </cell>
        </row>
      </sheetData>
      <sheetData sheetId="5849">
        <row r="2">
          <cell r="A2">
            <v>43462</v>
          </cell>
        </row>
      </sheetData>
      <sheetData sheetId="5850">
        <row r="2">
          <cell r="A2">
            <v>43462</v>
          </cell>
        </row>
      </sheetData>
      <sheetData sheetId="5851">
        <row r="2">
          <cell r="A2">
            <v>43462</v>
          </cell>
        </row>
      </sheetData>
      <sheetData sheetId="5852">
        <row r="2">
          <cell r="A2">
            <v>43462</v>
          </cell>
        </row>
      </sheetData>
      <sheetData sheetId="5853">
        <row r="2">
          <cell r="A2">
            <v>43462</v>
          </cell>
        </row>
      </sheetData>
      <sheetData sheetId="5854">
        <row r="2">
          <cell r="A2">
            <v>43462</v>
          </cell>
        </row>
      </sheetData>
      <sheetData sheetId="5855">
        <row r="2">
          <cell r="A2">
            <v>43462</v>
          </cell>
        </row>
      </sheetData>
      <sheetData sheetId="5856">
        <row r="2">
          <cell r="A2">
            <v>43462</v>
          </cell>
        </row>
      </sheetData>
      <sheetData sheetId="5857">
        <row r="2">
          <cell r="A2">
            <v>43462</v>
          </cell>
        </row>
      </sheetData>
      <sheetData sheetId="5858">
        <row r="2">
          <cell r="A2">
            <v>43462</v>
          </cell>
        </row>
      </sheetData>
      <sheetData sheetId="5859">
        <row r="2">
          <cell r="A2">
            <v>43462</v>
          </cell>
        </row>
      </sheetData>
      <sheetData sheetId="5860">
        <row r="2">
          <cell r="A2">
            <v>43462</v>
          </cell>
        </row>
      </sheetData>
      <sheetData sheetId="5861">
        <row r="2">
          <cell r="A2">
            <v>43462</v>
          </cell>
        </row>
      </sheetData>
      <sheetData sheetId="5862">
        <row r="2">
          <cell r="A2">
            <v>43462</v>
          </cell>
        </row>
      </sheetData>
      <sheetData sheetId="5863">
        <row r="2">
          <cell r="A2">
            <v>43462</v>
          </cell>
        </row>
      </sheetData>
      <sheetData sheetId="5864">
        <row r="2">
          <cell r="A2">
            <v>43462</v>
          </cell>
        </row>
      </sheetData>
      <sheetData sheetId="5865">
        <row r="2">
          <cell r="A2">
            <v>43462</v>
          </cell>
        </row>
      </sheetData>
      <sheetData sheetId="5866">
        <row r="2">
          <cell r="A2">
            <v>43462</v>
          </cell>
        </row>
      </sheetData>
      <sheetData sheetId="5867">
        <row r="2">
          <cell r="A2">
            <v>43462</v>
          </cell>
        </row>
      </sheetData>
      <sheetData sheetId="5868">
        <row r="2">
          <cell r="A2">
            <v>43462</v>
          </cell>
        </row>
      </sheetData>
      <sheetData sheetId="5869">
        <row r="2">
          <cell r="A2">
            <v>43462</v>
          </cell>
        </row>
      </sheetData>
      <sheetData sheetId="5870">
        <row r="2">
          <cell r="A2">
            <v>43462</v>
          </cell>
        </row>
      </sheetData>
      <sheetData sheetId="5871">
        <row r="2">
          <cell r="A2">
            <v>43462</v>
          </cell>
        </row>
      </sheetData>
      <sheetData sheetId="5872">
        <row r="2">
          <cell r="A2">
            <v>43462</v>
          </cell>
        </row>
      </sheetData>
      <sheetData sheetId="5873">
        <row r="2">
          <cell r="A2">
            <v>43462</v>
          </cell>
        </row>
      </sheetData>
      <sheetData sheetId="5874">
        <row r="2">
          <cell r="A2">
            <v>43462</v>
          </cell>
        </row>
      </sheetData>
      <sheetData sheetId="5875">
        <row r="2">
          <cell r="A2">
            <v>43462</v>
          </cell>
        </row>
      </sheetData>
      <sheetData sheetId="5876">
        <row r="2">
          <cell r="A2">
            <v>43462</v>
          </cell>
        </row>
      </sheetData>
      <sheetData sheetId="5877">
        <row r="2">
          <cell r="A2">
            <v>43462</v>
          </cell>
        </row>
      </sheetData>
      <sheetData sheetId="5878">
        <row r="2">
          <cell r="A2">
            <v>43462</v>
          </cell>
        </row>
      </sheetData>
      <sheetData sheetId="5879">
        <row r="2">
          <cell r="A2">
            <v>43462</v>
          </cell>
        </row>
      </sheetData>
      <sheetData sheetId="5880">
        <row r="2">
          <cell r="A2">
            <v>43462</v>
          </cell>
        </row>
      </sheetData>
      <sheetData sheetId="5881">
        <row r="2">
          <cell r="A2">
            <v>43462</v>
          </cell>
        </row>
      </sheetData>
      <sheetData sheetId="5882">
        <row r="2">
          <cell r="A2">
            <v>43462</v>
          </cell>
        </row>
      </sheetData>
      <sheetData sheetId="5883">
        <row r="2">
          <cell r="A2">
            <v>43462</v>
          </cell>
        </row>
      </sheetData>
      <sheetData sheetId="5884">
        <row r="2">
          <cell r="A2">
            <v>43462</v>
          </cell>
        </row>
      </sheetData>
      <sheetData sheetId="5885">
        <row r="2">
          <cell r="A2">
            <v>43462</v>
          </cell>
        </row>
      </sheetData>
      <sheetData sheetId="5886">
        <row r="2">
          <cell r="A2">
            <v>43462</v>
          </cell>
        </row>
      </sheetData>
      <sheetData sheetId="5887">
        <row r="2">
          <cell r="A2">
            <v>43462</v>
          </cell>
        </row>
      </sheetData>
      <sheetData sheetId="5888">
        <row r="2">
          <cell r="A2">
            <v>43462</v>
          </cell>
        </row>
      </sheetData>
      <sheetData sheetId="5889">
        <row r="2">
          <cell r="A2">
            <v>43462</v>
          </cell>
        </row>
      </sheetData>
      <sheetData sheetId="5890">
        <row r="2">
          <cell r="A2">
            <v>43462</v>
          </cell>
        </row>
      </sheetData>
      <sheetData sheetId="5891">
        <row r="2">
          <cell r="A2">
            <v>43462</v>
          </cell>
        </row>
      </sheetData>
      <sheetData sheetId="5892">
        <row r="2">
          <cell r="A2">
            <v>43462</v>
          </cell>
        </row>
      </sheetData>
      <sheetData sheetId="5893">
        <row r="2">
          <cell r="A2">
            <v>43462</v>
          </cell>
        </row>
      </sheetData>
      <sheetData sheetId="5894">
        <row r="2">
          <cell r="A2">
            <v>43462</v>
          </cell>
        </row>
      </sheetData>
      <sheetData sheetId="5895">
        <row r="2">
          <cell r="A2">
            <v>43462</v>
          </cell>
        </row>
      </sheetData>
      <sheetData sheetId="5896">
        <row r="2">
          <cell r="A2">
            <v>43462</v>
          </cell>
        </row>
      </sheetData>
      <sheetData sheetId="5897">
        <row r="2">
          <cell r="A2">
            <v>43462</v>
          </cell>
        </row>
      </sheetData>
      <sheetData sheetId="5898">
        <row r="2">
          <cell r="A2">
            <v>43462</v>
          </cell>
        </row>
      </sheetData>
      <sheetData sheetId="5899">
        <row r="2">
          <cell r="A2">
            <v>43462</v>
          </cell>
        </row>
      </sheetData>
      <sheetData sheetId="5900">
        <row r="2">
          <cell r="A2">
            <v>43462</v>
          </cell>
        </row>
      </sheetData>
      <sheetData sheetId="5901">
        <row r="2">
          <cell r="A2" t="str">
            <v>Complete</v>
          </cell>
        </row>
      </sheetData>
      <sheetData sheetId="5902">
        <row r="2">
          <cell r="A2" t="str">
            <v>Complete</v>
          </cell>
        </row>
      </sheetData>
      <sheetData sheetId="5903">
        <row r="2">
          <cell r="A2" t="str">
            <v>Complete</v>
          </cell>
        </row>
      </sheetData>
      <sheetData sheetId="5904">
        <row r="2">
          <cell r="A2" t="str">
            <v>Complete</v>
          </cell>
        </row>
      </sheetData>
      <sheetData sheetId="5905">
        <row r="2">
          <cell r="A2" t="str">
            <v>Complete</v>
          </cell>
        </row>
      </sheetData>
      <sheetData sheetId="5906">
        <row r="2">
          <cell r="A2" t="str">
            <v>Complete</v>
          </cell>
        </row>
      </sheetData>
      <sheetData sheetId="5907">
        <row r="2">
          <cell r="A2" t="str">
            <v>Complete</v>
          </cell>
        </row>
      </sheetData>
      <sheetData sheetId="5908">
        <row r="2">
          <cell r="A2" t="str">
            <v>Complete</v>
          </cell>
        </row>
      </sheetData>
      <sheetData sheetId="5909">
        <row r="2">
          <cell r="A2" t="str">
            <v>Complete</v>
          </cell>
        </row>
      </sheetData>
      <sheetData sheetId="5910">
        <row r="2">
          <cell r="A2" t="str">
            <v>Complete</v>
          </cell>
        </row>
      </sheetData>
      <sheetData sheetId="5911">
        <row r="2">
          <cell r="A2" t="str">
            <v>Complete</v>
          </cell>
        </row>
      </sheetData>
      <sheetData sheetId="5912">
        <row r="2">
          <cell r="A2" t="str">
            <v>Complete</v>
          </cell>
        </row>
      </sheetData>
      <sheetData sheetId="5913">
        <row r="2">
          <cell r="A2" t="str">
            <v>Complete</v>
          </cell>
        </row>
      </sheetData>
      <sheetData sheetId="5914">
        <row r="2">
          <cell r="A2" t="str">
            <v>Complete</v>
          </cell>
        </row>
      </sheetData>
      <sheetData sheetId="5915">
        <row r="2">
          <cell r="A2" t="str">
            <v>Complete</v>
          </cell>
        </row>
      </sheetData>
      <sheetData sheetId="5916">
        <row r="2">
          <cell r="A2" t="str">
            <v>Complete</v>
          </cell>
        </row>
      </sheetData>
      <sheetData sheetId="5917">
        <row r="2">
          <cell r="A2" t="str">
            <v>Complete</v>
          </cell>
        </row>
      </sheetData>
      <sheetData sheetId="5918">
        <row r="2">
          <cell r="A2" t="str">
            <v>Complete</v>
          </cell>
        </row>
      </sheetData>
      <sheetData sheetId="5919">
        <row r="2">
          <cell r="A2" t="str">
            <v>Complete</v>
          </cell>
        </row>
      </sheetData>
      <sheetData sheetId="5920">
        <row r="2">
          <cell r="A2" t="str">
            <v>Complete</v>
          </cell>
        </row>
      </sheetData>
      <sheetData sheetId="5921">
        <row r="2">
          <cell r="A2" t="str">
            <v>Complete</v>
          </cell>
        </row>
      </sheetData>
      <sheetData sheetId="5922">
        <row r="2">
          <cell r="A2" t="str">
            <v>Complete</v>
          </cell>
        </row>
      </sheetData>
      <sheetData sheetId="5923">
        <row r="2">
          <cell r="A2" t="str">
            <v>Complete</v>
          </cell>
        </row>
      </sheetData>
      <sheetData sheetId="5924">
        <row r="2">
          <cell r="A2" t="str">
            <v>Complete</v>
          </cell>
        </row>
      </sheetData>
      <sheetData sheetId="5925">
        <row r="2">
          <cell r="A2" t="str">
            <v>Complete</v>
          </cell>
        </row>
      </sheetData>
      <sheetData sheetId="5926">
        <row r="2">
          <cell r="A2" t="str">
            <v>Complete</v>
          </cell>
        </row>
      </sheetData>
      <sheetData sheetId="5927">
        <row r="2">
          <cell r="A2" t="str">
            <v>Complete</v>
          </cell>
        </row>
      </sheetData>
      <sheetData sheetId="5928">
        <row r="2">
          <cell r="A2" t="str">
            <v>Complete</v>
          </cell>
        </row>
      </sheetData>
      <sheetData sheetId="5929">
        <row r="2">
          <cell r="A2" t="str">
            <v>Complete</v>
          </cell>
        </row>
      </sheetData>
      <sheetData sheetId="5930">
        <row r="2">
          <cell r="A2" t="str">
            <v>Complete</v>
          </cell>
        </row>
      </sheetData>
      <sheetData sheetId="5931">
        <row r="2">
          <cell r="A2" t="str">
            <v>Complete</v>
          </cell>
        </row>
      </sheetData>
      <sheetData sheetId="5932">
        <row r="2">
          <cell r="A2" t="str">
            <v>Complete</v>
          </cell>
        </row>
      </sheetData>
      <sheetData sheetId="5933">
        <row r="2">
          <cell r="A2" t="str">
            <v>Complete</v>
          </cell>
        </row>
      </sheetData>
      <sheetData sheetId="5934">
        <row r="2">
          <cell r="A2" t="str">
            <v>Complete</v>
          </cell>
        </row>
      </sheetData>
      <sheetData sheetId="5935">
        <row r="2">
          <cell r="A2" t="str">
            <v>Complete</v>
          </cell>
        </row>
      </sheetData>
      <sheetData sheetId="5936">
        <row r="2">
          <cell r="A2" t="str">
            <v>Complete</v>
          </cell>
        </row>
      </sheetData>
      <sheetData sheetId="5937">
        <row r="2">
          <cell r="A2" t="str">
            <v>Complete</v>
          </cell>
        </row>
      </sheetData>
      <sheetData sheetId="5938">
        <row r="2">
          <cell r="A2" t="str">
            <v>Complete</v>
          </cell>
        </row>
      </sheetData>
      <sheetData sheetId="5939">
        <row r="2">
          <cell r="A2" t="str">
            <v>Complete</v>
          </cell>
        </row>
      </sheetData>
      <sheetData sheetId="5940">
        <row r="2">
          <cell r="A2" t="str">
            <v>Complete</v>
          </cell>
        </row>
      </sheetData>
      <sheetData sheetId="5941">
        <row r="2">
          <cell r="A2" t="str">
            <v>Complete</v>
          </cell>
        </row>
      </sheetData>
      <sheetData sheetId="5942">
        <row r="2">
          <cell r="A2" t="str">
            <v>Complete</v>
          </cell>
        </row>
      </sheetData>
      <sheetData sheetId="5943">
        <row r="2">
          <cell r="A2" t="str">
            <v>Complete</v>
          </cell>
        </row>
      </sheetData>
      <sheetData sheetId="5944">
        <row r="2">
          <cell r="A2" t="str">
            <v>Complete</v>
          </cell>
        </row>
      </sheetData>
      <sheetData sheetId="5945">
        <row r="2">
          <cell r="A2" t="str">
            <v>Complete</v>
          </cell>
        </row>
      </sheetData>
      <sheetData sheetId="5946">
        <row r="2">
          <cell r="A2" t="str">
            <v>Complete</v>
          </cell>
        </row>
      </sheetData>
      <sheetData sheetId="5947">
        <row r="2">
          <cell r="A2" t="str">
            <v>Complete</v>
          </cell>
        </row>
      </sheetData>
      <sheetData sheetId="5948">
        <row r="2">
          <cell r="A2" t="str">
            <v>Complete</v>
          </cell>
        </row>
      </sheetData>
      <sheetData sheetId="5949">
        <row r="2">
          <cell r="A2" t="str">
            <v>Complete</v>
          </cell>
        </row>
      </sheetData>
      <sheetData sheetId="5950">
        <row r="2">
          <cell r="A2" t="str">
            <v>Complete</v>
          </cell>
        </row>
      </sheetData>
      <sheetData sheetId="5951">
        <row r="2">
          <cell r="A2" t="str">
            <v>Complete</v>
          </cell>
        </row>
      </sheetData>
      <sheetData sheetId="5952">
        <row r="2">
          <cell r="A2" t="str">
            <v>Complete</v>
          </cell>
        </row>
      </sheetData>
      <sheetData sheetId="5953">
        <row r="2">
          <cell r="A2" t="str">
            <v>Complete</v>
          </cell>
        </row>
      </sheetData>
      <sheetData sheetId="5954">
        <row r="2">
          <cell r="A2" t="str">
            <v>Complete</v>
          </cell>
        </row>
      </sheetData>
      <sheetData sheetId="5955">
        <row r="2">
          <cell r="A2" t="str">
            <v>Complete</v>
          </cell>
        </row>
      </sheetData>
      <sheetData sheetId="5956">
        <row r="2">
          <cell r="A2" t="str">
            <v>Complete</v>
          </cell>
        </row>
      </sheetData>
      <sheetData sheetId="5957">
        <row r="2">
          <cell r="A2" t="str">
            <v>Complete</v>
          </cell>
        </row>
      </sheetData>
      <sheetData sheetId="5958">
        <row r="2">
          <cell r="A2" t="str">
            <v>Complete</v>
          </cell>
        </row>
      </sheetData>
      <sheetData sheetId="5959">
        <row r="2">
          <cell r="A2" t="str">
            <v>Complete</v>
          </cell>
        </row>
      </sheetData>
      <sheetData sheetId="5960">
        <row r="2">
          <cell r="A2" t="str">
            <v>Complete</v>
          </cell>
        </row>
      </sheetData>
      <sheetData sheetId="5961">
        <row r="2">
          <cell r="A2" t="str">
            <v>Complete</v>
          </cell>
        </row>
      </sheetData>
      <sheetData sheetId="5962">
        <row r="2">
          <cell r="A2" t="str">
            <v>Complete</v>
          </cell>
        </row>
      </sheetData>
      <sheetData sheetId="5963">
        <row r="2">
          <cell r="A2" t="str">
            <v>Complete</v>
          </cell>
        </row>
      </sheetData>
      <sheetData sheetId="5964">
        <row r="2">
          <cell r="A2" t="str">
            <v>Complete</v>
          </cell>
        </row>
      </sheetData>
      <sheetData sheetId="5965">
        <row r="2">
          <cell r="A2" t="str">
            <v>Complete</v>
          </cell>
        </row>
      </sheetData>
      <sheetData sheetId="5966">
        <row r="2">
          <cell r="A2" t="str">
            <v>Complete</v>
          </cell>
        </row>
      </sheetData>
      <sheetData sheetId="5967">
        <row r="2">
          <cell r="A2" t="str">
            <v>Complete</v>
          </cell>
        </row>
      </sheetData>
      <sheetData sheetId="5968">
        <row r="2">
          <cell r="A2" t="str">
            <v>Complete</v>
          </cell>
        </row>
      </sheetData>
      <sheetData sheetId="5969">
        <row r="2">
          <cell r="A2" t="str">
            <v>Complete</v>
          </cell>
        </row>
      </sheetData>
      <sheetData sheetId="5970">
        <row r="2">
          <cell r="A2" t="str">
            <v>Complete</v>
          </cell>
        </row>
      </sheetData>
      <sheetData sheetId="5971">
        <row r="2">
          <cell r="A2">
            <v>43462</v>
          </cell>
        </row>
      </sheetData>
      <sheetData sheetId="5972">
        <row r="2">
          <cell r="A2">
            <v>43462</v>
          </cell>
        </row>
      </sheetData>
      <sheetData sheetId="5973">
        <row r="2">
          <cell r="A2">
            <v>43462</v>
          </cell>
        </row>
      </sheetData>
      <sheetData sheetId="5974">
        <row r="2">
          <cell r="A2">
            <v>43462</v>
          </cell>
        </row>
      </sheetData>
      <sheetData sheetId="5975">
        <row r="2">
          <cell r="A2">
            <v>43462</v>
          </cell>
        </row>
      </sheetData>
      <sheetData sheetId="5976">
        <row r="2">
          <cell r="A2">
            <v>43462</v>
          </cell>
        </row>
      </sheetData>
      <sheetData sheetId="5977">
        <row r="2">
          <cell r="A2">
            <v>43462</v>
          </cell>
        </row>
      </sheetData>
      <sheetData sheetId="5978">
        <row r="2">
          <cell r="A2">
            <v>43462</v>
          </cell>
        </row>
      </sheetData>
      <sheetData sheetId="5979">
        <row r="2">
          <cell r="A2">
            <v>43462</v>
          </cell>
        </row>
      </sheetData>
      <sheetData sheetId="5980">
        <row r="2">
          <cell r="A2">
            <v>43462</v>
          </cell>
        </row>
      </sheetData>
      <sheetData sheetId="5981">
        <row r="2">
          <cell r="A2">
            <v>43462</v>
          </cell>
        </row>
      </sheetData>
      <sheetData sheetId="5982">
        <row r="2">
          <cell r="A2">
            <v>43462</v>
          </cell>
        </row>
      </sheetData>
      <sheetData sheetId="5983">
        <row r="2">
          <cell r="A2">
            <v>43462</v>
          </cell>
        </row>
      </sheetData>
      <sheetData sheetId="5984">
        <row r="2">
          <cell r="A2">
            <v>43462</v>
          </cell>
        </row>
      </sheetData>
      <sheetData sheetId="5985">
        <row r="2">
          <cell r="A2">
            <v>43462</v>
          </cell>
        </row>
      </sheetData>
      <sheetData sheetId="5986">
        <row r="2">
          <cell r="A2">
            <v>43462</v>
          </cell>
        </row>
      </sheetData>
      <sheetData sheetId="5987">
        <row r="2">
          <cell r="A2">
            <v>43462</v>
          </cell>
        </row>
      </sheetData>
      <sheetData sheetId="5988">
        <row r="2">
          <cell r="A2">
            <v>43462</v>
          </cell>
        </row>
      </sheetData>
      <sheetData sheetId="5989">
        <row r="2">
          <cell r="A2">
            <v>43462</v>
          </cell>
        </row>
      </sheetData>
      <sheetData sheetId="5990">
        <row r="2">
          <cell r="A2">
            <v>43462</v>
          </cell>
        </row>
      </sheetData>
      <sheetData sheetId="5991">
        <row r="2">
          <cell r="A2">
            <v>43462</v>
          </cell>
        </row>
      </sheetData>
      <sheetData sheetId="5992">
        <row r="2">
          <cell r="A2">
            <v>43462</v>
          </cell>
        </row>
      </sheetData>
      <sheetData sheetId="5993">
        <row r="2">
          <cell r="A2">
            <v>43462</v>
          </cell>
        </row>
      </sheetData>
      <sheetData sheetId="5994">
        <row r="2">
          <cell r="A2">
            <v>43462</v>
          </cell>
        </row>
      </sheetData>
      <sheetData sheetId="5995">
        <row r="2">
          <cell r="A2">
            <v>43462</v>
          </cell>
        </row>
      </sheetData>
      <sheetData sheetId="5996">
        <row r="2">
          <cell r="A2">
            <v>43462</v>
          </cell>
        </row>
      </sheetData>
      <sheetData sheetId="5997">
        <row r="2">
          <cell r="A2">
            <v>43462</v>
          </cell>
        </row>
      </sheetData>
      <sheetData sheetId="5998">
        <row r="2">
          <cell r="A2">
            <v>43462</v>
          </cell>
        </row>
      </sheetData>
      <sheetData sheetId="5999">
        <row r="2">
          <cell r="A2">
            <v>43462</v>
          </cell>
        </row>
      </sheetData>
      <sheetData sheetId="6000">
        <row r="2">
          <cell r="A2">
            <v>43462</v>
          </cell>
        </row>
      </sheetData>
      <sheetData sheetId="6001">
        <row r="2">
          <cell r="A2">
            <v>43462</v>
          </cell>
        </row>
      </sheetData>
      <sheetData sheetId="6002">
        <row r="2">
          <cell r="A2">
            <v>43462</v>
          </cell>
        </row>
      </sheetData>
      <sheetData sheetId="6003">
        <row r="2">
          <cell r="A2">
            <v>43462</v>
          </cell>
        </row>
      </sheetData>
      <sheetData sheetId="6004">
        <row r="2">
          <cell r="A2">
            <v>43462</v>
          </cell>
        </row>
      </sheetData>
      <sheetData sheetId="6005">
        <row r="2">
          <cell r="A2">
            <v>43462</v>
          </cell>
        </row>
      </sheetData>
      <sheetData sheetId="6006">
        <row r="2">
          <cell r="A2">
            <v>43462</v>
          </cell>
        </row>
      </sheetData>
      <sheetData sheetId="6007">
        <row r="2">
          <cell r="A2">
            <v>43462</v>
          </cell>
        </row>
      </sheetData>
      <sheetData sheetId="6008">
        <row r="2">
          <cell r="A2">
            <v>43462</v>
          </cell>
        </row>
      </sheetData>
      <sheetData sheetId="6009">
        <row r="2">
          <cell r="A2">
            <v>43462</v>
          </cell>
        </row>
      </sheetData>
      <sheetData sheetId="6010">
        <row r="2">
          <cell r="A2">
            <v>43462</v>
          </cell>
        </row>
      </sheetData>
      <sheetData sheetId="6011">
        <row r="2">
          <cell r="A2">
            <v>43462</v>
          </cell>
        </row>
      </sheetData>
      <sheetData sheetId="6012">
        <row r="2">
          <cell r="A2">
            <v>43462</v>
          </cell>
        </row>
      </sheetData>
      <sheetData sheetId="6013">
        <row r="2">
          <cell r="A2">
            <v>43462</v>
          </cell>
        </row>
      </sheetData>
      <sheetData sheetId="6014">
        <row r="2">
          <cell r="A2">
            <v>43462</v>
          </cell>
        </row>
      </sheetData>
      <sheetData sheetId="6015">
        <row r="2">
          <cell r="A2">
            <v>43462</v>
          </cell>
        </row>
      </sheetData>
      <sheetData sheetId="6016">
        <row r="2">
          <cell r="A2">
            <v>43462</v>
          </cell>
        </row>
      </sheetData>
      <sheetData sheetId="6017">
        <row r="2">
          <cell r="A2">
            <v>43462</v>
          </cell>
        </row>
      </sheetData>
      <sheetData sheetId="6018">
        <row r="2">
          <cell r="A2">
            <v>43462</v>
          </cell>
        </row>
      </sheetData>
      <sheetData sheetId="6019">
        <row r="2">
          <cell r="A2">
            <v>43462</v>
          </cell>
        </row>
      </sheetData>
      <sheetData sheetId="6020">
        <row r="2">
          <cell r="A2">
            <v>43462</v>
          </cell>
        </row>
      </sheetData>
      <sheetData sheetId="6021">
        <row r="2">
          <cell r="A2">
            <v>43462</v>
          </cell>
        </row>
      </sheetData>
      <sheetData sheetId="6022">
        <row r="2">
          <cell r="A2">
            <v>43462</v>
          </cell>
        </row>
      </sheetData>
      <sheetData sheetId="6023">
        <row r="2">
          <cell r="A2">
            <v>43462</v>
          </cell>
        </row>
      </sheetData>
      <sheetData sheetId="6024">
        <row r="2">
          <cell r="A2" t="str">
            <v>Complete</v>
          </cell>
        </row>
      </sheetData>
      <sheetData sheetId="6025">
        <row r="2">
          <cell r="A2" t="str">
            <v>Complete</v>
          </cell>
        </row>
      </sheetData>
      <sheetData sheetId="6026">
        <row r="2">
          <cell r="A2" t="str">
            <v>Complete</v>
          </cell>
        </row>
      </sheetData>
      <sheetData sheetId="6027">
        <row r="2">
          <cell r="A2" t="str">
            <v>Complete</v>
          </cell>
        </row>
      </sheetData>
      <sheetData sheetId="6028">
        <row r="2">
          <cell r="A2" t="str">
            <v>Complete</v>
          </cell>
        </row>
      </sheetData>
      <sheetData sheetId="6029">
        <row r="2">
          <cell r="A2" t="str">
            <v>Complete</v>
          </cell>
        </row>
      </sheetData>
      <sheetData sheetId="6030">
        <row r="2">
          <cell r="A2" t="str">
            <v>Complete</v>
          </cell>
        </row>
      </sheetData>
      <sheetData sheetId="6031">
        <row r="2">
          <cell r="A2" t="str">
            <v>Complete</v>
          </cell>
        </row>
      </sheetData>
      <sheetData sheetId="6032">
        <row r="2">
          <cell r="A2" t="str">
            <v>Complete</v>
          </cell>
        </row>
      </sheetData>
      <sheetData sheetId="6033">
        <row r="2">
          <cell r="A2" t="str">
            <v>Complete</v>
          </cell>
        </row>
      </sheetData>
      <sheetData sheetId="6034">
        <row r="2">
          <cell r="A2" t="str">
            <v>Complete</v>
          </cell>
        </row>
      </sheetData>
      <sheetData sheetId="6035">
        <row r="2">
          <cell r="A2" t="str">
            <v>Complete</v>
          </cell>
        </row>
      </sheetData>
      <sheetData sheetId="6036">
        <row r="2">
          <cell r="A2" t="str">
            <v>Complete</v>
          </cell>
        </row>
      </sheetData>
      <sheetData sheetId="6037">
        <row r="2">
          <cell r="A2" t="str">
            <v>Complete</v>
          </cell>
        </row>
      </sheetData>
      <sheetData sheetId="6038">
        <row r="2">
          <cell r="A2" t="str">
            <v>Complete</v>
          </cell>
        </row>
      </sheetData>
      <sheetData sheetId="6039">
        <row r="2">
          <cell r="A2" t="str">
            <v>Complete</v>
          </cell>
        </row>
      </sheetData>
      <sheetData sheetId="6040">
        <row r="2">
          <cell r="A2" t="str">
            <v>Complete</v>
          </cell>
        </row>
      </sheetData>
      <sheetData sheetId="6041">
        <row r="2">
          <cell r="A2" t="str">
            <v>Complete</v>
          </cell>
        </row>
      </sheetData>
      <sheetData sheetId="6042">
        <row r="2">
          <cell r="A2" t="str">
            <v>Complete</v>
          </cell>
        </row>
      </sheetData>
      <sheetData sheetId="6043">
        <row r="2">
          <cell r="A2" t="str">
            <v>Complete</v>
          </cell>
        </row>
      </sheetData>
      <sheetData sheetId="6044">
        <row r="2">
          <cell r="A2" t="str">
            <v>Complete</v>
          </cell>
        </row>
      </sheetData>
      <sheetData sheetId="6045">
        <row r="2">
          <cell r="A2" t="str">
            <v>Complete</v>
          </cell>
        </row>
      </sheetData>
      <sheetData sheetId="6046">
        <row r="2">
          <cell r="A2" t="str">
            <v>Complete</v>
          </cell>
        </row>
      </sheetData>
      <sheetData sheetId="6047">
        <row r="2">
          <cell r="A2" t="str">
            <v>Complete</v>
          </cell>
        </row>
      </sheetData>
      <sheetData sheetId="6048">
        <row r="2">
          <cell r="A2" t="str">
            <v>Complete</v>
          </cell>
        </row>
      </sheetData>
      <sheetData sheetId="6049">
        <row r="2">
          <cell r="A2" t="str">
            <v>Complete</v>
          </cell>
        </row>
      </sheetData>
      <sheetData sheetId="6050">
        <row r="2">
          <cell r="A2" t="str">
            <v>Complete</v>
          </cell>
        </row>
      </sheetData>
      <sheetData sheetId="6051">
        <row r="2">
          <cell r="A2" t="str">
            <v>Complete</v>
          </cell>
        </row>
      </sheetData>
      <sheetData sheetId="6052">
        <row r="2">
          <cell r="A2" t="str">
            <v>Complete</v>
          </cell>
        </row>
      </sheetData>
      <sheetData sheetId="6053">
        <row r="2">
          <cell r="A2" t="str">
            <v>Complete</v>
          </cell>
        </row>
      </sheetData>
      <sheetData sheetId="6054">
        <row r="2">
          <cell r="A2" t="str">
            <v>Complete</v>
          </cell>
        </row>
      </sheetData>
      <sheetData sheetId="6055">
        <row r="2">
          <cell r="A2" t="str">
            <v>Complete</v>
          </cell>
        </row>
      </sheetData>
      <sheetData sheetId="6056">
        <row r="2">
          <cell r="A2" t="str">
            <v>Complete</v>
          </cell>
        </row>
      </sheetData>
      <sheetData sheetId="6057">
        <row r="2">
          <cell r="A2" t="str">
            <v>Complete</v>
          </cell>
        </row>
      </sheetData>
      <sheetData sheetId="6058">
        <row r="2">
          <cell r="A2" t="str">
            <v>Complete</v>
          </cell>
        </row>
      </sheetData>
      <sheetData sheetId="6059">
        <row r="2">
          <cell r="A2" t="str">
            <v>Complete</v>
          </cell>
        </row>
      </sheetData>
      <sheetData sheetId="6060">
        <row r="2">
          <cell r="A2" t="str">
            <v>Complete</v>
          </cell>
        </row>
      </sheetData>
      <sheetData sheetId="6061">
        <row r="2">
          <cell r="A2" t="str">
            <v>Complete</v>
          </cell>
        </row>
      </sheetData>
      <sheetData sheetId="6062">
        <row r="2">
          <cell r="A2" t="str">
            <v>Complete</v>
          </cell>
        </row>
      </sheetData>
      <sheetData sheetId="6063">
        <row r="2">
          <cell r="A2" t="str">
            <v>Complete</v>
          </cell>
        </row>
      </sheetData>
      <sheetData sheetId="6064">
        <row r="2">
          <cell r="A2" t="str">
            <v>Complete</v>
          </cell>
        </row>
      </sheetData>
      <sheetData sheetId="6065">
        <row r="2">
          <cell r="A2" t="str">
            <v>Complete</v>
          </cell>
        </row>
      </sheetData>
      <sheetData sheetId="6066">
        <row r="2">
          <cell r="A2" t="str">
            <v>Complete</v>
          </cell>
        </row>
      </sheetData>
      <sheetData sheetId="6067">
        <row r="2">
          <cell r="A2" t="str">
            <v>Complete</v>
          </cell>
        </row>
      </sheetData>
      <sheetData sheetId="6068">
        <row r="2">
          <cell r="A2" t="str">
            <v>Complete</v>
          </cell>
        </row>
      </sheetData>
      <sheetData sheetId="6069">
        <row r="2">
          <cell r="A2" t="str">
            <v>Complete</v>
          </cell>
        </row>
      </sheetData>
      <sheetData sheetId="6070">
        <row r="2">
          <cell r="A2" t="str">
            <v>Complete</v>
          </cell>
        </row>
      </sheetData>
      <sheetData sheetId="6071">
        <row r="2">
          <cell r="A2" t="str">
            <v>Complete</v>
          </cell>
        </row>
      </sheetData>
      <sheetData sheetId="6072">
        <row r="2">
          <cell r="A2" t="str">
            <v>Complete</v>
          </cell>
        </row>
      </sheetData>
      <sheetData sheetId="6073">
        <row r="2">
          <cell r="A2" t="str">
            <v>Complete</v>
          </cell>
        </row>
      </sheetData>
      <sheetData sheetId="6074">
        <row r="2">
          <cell r="A2" t="str">
            <v>Complete</v>
          </cell>
        </row>
      </sheetData>
      <sheetData sheetId="6075">
        <row r="2">
          <cell r="A2" t="str">
            <v>Complete</v>
          </cell>
        </row>
      </sheetData>
      <sheetData sheetId="6076">
        <row r="2">
          <cell r="A2" t="str">
            <v>Complete</v>
          </cell>
        </row>
      </sheetData>
      <sheetData sheetId="6077">
        <row r="2">
          <cell r="A2" t="str">
            <v>Complete</v>
          </cell>
        </row>
      </sheetData>
      <sheetData sheetId="6078">
        <row r="2">
          <cell r="A2" t="str">
            <v>Complete</v>
          </cell>
        </row>
      </sheetData>
      <sheetData sheetId="6079">
        <row r="2">
          <cell r="A2" t="str">
            <v>Complete</v>
          </cell>
        </row>
      </sheetData>
      <sheetData sheetId="6080">
        <row r="2">
          <cell r="A2" t="str">
            <v>Complete</v>
          </cell>
        </row>
      </sheetData>
      <sheetData sheetId="6081">
        <row r="2">
          <cell r="A2" t="str">
            <v>Complete</v>
          </cell>
        </row>
      </sheetData>
      <sheetData sheetId="6082">
        <row r="2">
          <cell r="A2" t="str">
            <v>Complete</v>
          </cell>
        </row>
      </sheetData>
      <sheetData sheetId="6083">
        <row r="2">
          <cell r="A2" t="str">
            <v>Complete</v>
          </cell>
        </row>
      </sheetData>
      <sheetData sheetId="6084">
        <row r="2">
          <cell r="A2" t="str">
            <v>Complete</v>
          </cell>
        </row>
      </sheetData>
      <sheetData sheetId="6085">
        <row r="2">
          <cell r="A2" t="str">
            <v>Complete</v>
          </cell>
        </row>
      </sheetData>
      <sheetData sheetId="6086">
        <row r="2">
          <cell r="A2" t="str">
            <v>Complete</v>
          </cell>
        </row>
      </sheetData>
      <sheetData sheetId="6087">
        <row r="2">
          <cell r="A2" t="str">
            <v>Complete</v>
          </cell>
        </row>
      </sheetData>
      <sheetData sheetId="6088">
        <row r="2">
          <cell r="A2" t="str">
            <v>Complete</v>
          </cell>
        </row>
      </sheetData>
      <sheetData sheetId="6089">
        <row r="2">
          <cell r="A2" t="str">
            <v>Complete</v>
          </cell>
        </row>
      </sheetData>
      <sheetData sheetId="6090">
        <row r="2">
          <cell r="A2" t="str">
            <v>Complete</v>
          </cell>
        </row>
      </sheetData>
      <sheetData sheetId="6091">
        <row r="2">
          <cell r="A2" t="str">
            <v>Complete</v>
          </cell>
        </row>
      </sheetData>
      <sheetData sheetId="6092">
        <row r="2">
          <cell r="A2" t="str">
            <v>Complete</v>
          </cell>
        </row>
      </sheetData>
      <sheetData sheetId="6093">
        <row r="2">
          <cell r="A2" t="str">
            <v>Complete</v>
          </cell>
        </row>
      </sheetData>
      <sheetData sheetId="6094">
        <row r="2">
          <cell r="A2" t="str">
            <v>Complete</v>
          </cell>
        </row>
      </sheetData>
      <sheetData sheetId="6095">
        <row r="2">
          <cell r="A2" t="str">
            <v>Complete</v>
          </cell>
        </row>
      </sheetData>
      <sheetData sheetId="6096">
        <row r="2">
          <cell r="A2" t="str">
            <v>Complete</v>
          </cell>
        </row>
      </sheetData>
      <sheetData sheetId="6097">
        <row r="2">
          <cell r="A2" t="str">
            <v>Complete</v>
          </cell>
        </row>
      </sheetData>
      <sheetData sheetId="6098">
        <row r="2">
          <cell r="A2" t="str">
            <v>Complete</v>
          </cell>
        </row>
      </sheetData>
      <sheetData sheetId="6099">
        <row r="2">
          <cell r="A2" t="str">
            <v>Complete</v>
          </cell>
        </row>
      </sheetData>
      <sheetData sheetId="6100">
        <row r="2">
          <cell r="A2" t="str">
            <v>Complete</v>
          </cell>
        </row>
      </sheetData>
      <sheetData sheetId="6101">
        <row r="2">
          <cell r="A2" t="str">
            <v>Complete</v>
          </cell>
        </row>
      </sheetData>
      <sheetData sheetId="6102">
        <row r="2">
          <cell r="A2" t="str">
            <v>Complete</v>
          </cell>
        </row>
      </sheetData>
      <sheetData sheetId="6103">
        <row r="2">
          <cell r="A2" t="str">
            <v>Complete</v>
          </cell>
        </row>
      </sheetData>
      <sheetData sheetId="6104">
        <row r="2">
          <cell r="A2" t="str">
            <v>Complete</v>
          </cell>
        </row>
      </sheetData>
      <sheetData sheetId="6105">
        <row r="2">
          <cell r="A2" t="str">
            <v>Complete</v>
          </cell>
        </row>
      </sheetData>
      <sheetData sheetId="6106">
        <row r="2">
          <cell r="A2" t="str">
            <v>Complete</v>
          </cell>
        </row>
      </sheetData>
      <sheetData sheetId="6107">
        <row r="2">
          <cell r="A2" t="str">
            <v>Complete</v>
          </cell>
        </row>
      </sheetData>
      <sheetData sheetId="6108">
        <row r="2">
          <cell r="A2" t="str">
            <v>Complete</v>
          </cell>
        </row>
      </sheetData>
      <sheetData sheetId="6109">
        <row r="2">
          <cell r="A2" t="str">
            <v>Complete</v>
          </cell>
        </row>
      </sheetData>
      <sheetData sheetId="6110">
        <row r="2">
          <cell r="A2" t="str">
            <v>Complete</v>
          </cell>
        </row>
      </sheetData>
      <sheetData sheetId="6111">
        <row r="2">
          <cell r="A2" t="str">
            <v>Complete</v>
          </cell>
        </row>
      </sheetData>
      <sheetData sheetId="6112">
        <row r="2">
          <cell r="A2" t="str">
            <v>Complete</v>
          </cell>
        </row>
      </sheetData>
      <sheetData sheetId="6113">
        <row r="2">
          <cell r="A2" t="str">
            <v>Complete</v>
          </cell>
        </row>
      </sheetData>
      <sheetData sheetId="6114">
        <row r="2">
          <cell r="A2" t="str">
            <v>Complete</v>
          </cell>
        </row>
      </sheetData>
      <sheetData sheetId="6115">
        <row r="2">
          <cell r="A2" t="str">
            <v>Complete</v>
          </cell>
        </row>
      </sheetData>
      <sheetData sheetId="6116">
        <row r="2">
          <cell r="A2" t="str">
            <v>Complete</v>
          </cell>
        </row>
      </sheetData>
      <sheetData sheetId="6117">
        <row r="2">
          <cell r="A2" t="str">
            <v>Complete</v>
          </cell>
        </row>
      </sheetData>
      <sheetData sheetId="6118">
        <row r="2">
          <cell r="A2" t="str">
            <v>Complete</v>
          </cell>
        </row>
      </sheetData>
      <sheetData sheetId="6119">
        <row r="2">
          <cell r="A2" t="str">
            <v>Complete</v>
          </cell>
        </row>
      </sheetData>
      <sheetData sheetId="6120">
        <row r="2">
          <cell r="A2" t="str">
            <v>Complete</v>
          </cell>
        </row>
      </sheetData>
      <sheetData sheetId="6121">
        <row r="2">
          <cell r="A2" t="str">
            <v>Complete</v>
          </cell>
        </row>
      </sheetData>
      <sheetData sheetId="6122">
        <row r="2">
          <cell r="A2" t="str">
            <v>Complete</v>
          </cell>
        </row>
      </sheetData>
      <sheetData sheetId="6123">
        <row r="2">
          <cell r="A2" t="str">
            <v>Complete</v>
          </cell>
        </row>
      </sheetData>
      <sheetData sheetId="6124">
        <row r="2">
          <cell r="A2" t="str">
            <v>Complete</v>
          </cell>
        </row>
      </sheetData>
      <sheetData sheetId="6125">
        <row r="2">
          <cell r="A2" t="str">
            <v>Complete</v>
          </cell>
        </row>
      </sheetData>
      <sheetData sheetId="6126">
        <row r="2">
          <cell r="A2" t="str">
            <v>Complete</v>
          </cell>
        </row>
      </sheetData>
      <sheetData sheetId="6127">
        <row r="2">
          <cell r="A2" t="str">
            <v>Complete</v>
          </cell>
        </row>
      </sheetData>
      <sheetData sheetId="6128">
        <row r="2">
          <cell r="A2" t="str">
            <v>Complete</v>
          </cell>
        </row>
      </sheetData>
      <sheetData sheetId="6129">
        <row r="2">
          <cell r="A2" t="str">
            <v>Complete</v>
          </cell>
        </row>
      </sheetData>
      <sheetData sheetId="6130">
        <row r="2">
          <cell r="A2" t="str">
            <v>Complete</v>
          </cell>
        </row>
      </sheetData>
      <sheetData sheetId="6131">
        <row r="2">
          <cell r="A2" t="str">
            <v>Complete</v>
          </cell>
        </row>
      </sheetData>
      <sheetData sheetId="6132">
        <row r="2">
          <cell r="A2" t="str">
            <v>Complete</v>
          </cell>
        </row>
      </sheetData>
      <sheetData sheetId="6133">
        <row r="2">
          <cell r="A2" t="str">
            <v>Complete</v>
          </cell>
        </row>
      </sheetData>
      <sheetData sheetId="6134">
        <row r="2">
          <cell r="A2" t="str">
            <v>Complete</v>
          </cell>
        </row>
      </sheetData>
      <sheetData sheetId="6135">
        <row r="2">
          <cell r="A2" t="str">
            <v>Complete</v>
          </cell>
        </row>
      </sheetData>
      <sheetData sheetId="6136">
        <row r="2">
          <cell r="A2" t="str">
            <v>Complete</v>
          </cell>
        </row>
      </sheetData>
      <sheetData sheetId="6137">
        <row r="2">
          <cell r="A2" t="str">
            <v>Complete</v>
          </cell>
        </row>
      </sheetData>
      <sheetData sheetId="6138">
        <row r="2">
          <cell r="A2" t="str">
            <v>Complete</v>
          </cell>
        </row>
      </sheetData>
      <sheetData sheetId="6139">
        <row r="2">
          <cell r="A2" t="str">
            <v>Complete</v>
          </cell>
        </row>
      </sheetData>
      <sheetData sheetId="6140">
        <row r="2">
          <cell r="A2" t="str">
            <v>Complete</v>
          </cell>
        </row>
      </sheetData>
      <sheetData sheetId="6141">
        <row r="2">
          <cell r="A2" t="str">
            <v>Complete</v>
          </cell>
        </row>
      </sheetData>
      <sheetData sheetId="6142">
        <row r="2">
          <cell r="A2" t="str">
            <v>Complete</v>
          </cell>
        </row>
      </sheetData>
      <sheetData sheetId="6143">
        <row r="2">
          <cell r="A2" t="str">
            <v>Complete</v>
          </cell>
        </row>
      </sheetData>
      <sheetData sheetId="6144">
        <row r="2">
          <cell r="A2" t="str">
            <v>Complete</v>
          </cell>
        </row>
      </sheetData>
      <sheetData sheetId="6145">
        <row r="2">
          <cell r="A2" t="str">
            <v>Complete</v>
          </cell>
        </row>
      </sheetData>
      <sheetData sheetId="6146">
        <row r="2">
          <cell r="A2" t="str">
            <v>Complete</v>
          </cell>
        </row>
      </sheetData>
      <sheetData sheetId="6147">
        <row r="2">
          <cell r="A2" t="str">
            <v>Complete</v>
          </cell>
        </row>
      </sheetData>
      <sheetData sheetId="6148">
        <row r="2">
          <cell r="A2" t="str">
            <v>Complete</v>
          </cell>
        </row>
      </sheetData>
      <sheetData sheetId="6149">
        <row r="2">
          <cell r="A2" t="str">
            <v>Complete</v>
          </cell>
        </row>
      </sheetData>
      <sheetData sheetId="6150">
        <row r="2">
          <cell r="A2" t="str">
            <v>Complete</v>
          </cell>
        </row>
      </sheetData>
      <sheetData sheetId="6151">
        <row r="2">
          <cell r="A2" t="str">
            <v>Complete</v>
          </cell>
        </row>
      </sheetData>
      <sheetData sheetId="6152">
        <row r="2">
          <cell r="A2" t="str">
            <v>Complete</v>
          </cell>
        </row>
      </sheetData>
      <sheetData sheetId="6153">
        <row r="2">
          <cell r="A2" t="str">
            <v>Complete</v>
          </cell>
        </row>
      </sheetData>
      <sheetData sheetId="6154">
        <row r="2">
          <cell r="A2" t="str">
            <v>Complete</v>
          </cell>
        </row>
      </sheetData>
      <sheetData sheetId="6155">
        <row r="2">
          <cell r="A2" t="str">
            <v>Complete</v>
          </cell>
        </row>
      </sheetData>
      <sheetData sheetId="6156">
        <row r="2">
          <cell r="A2" t="str">
            <v>Complete</v>
          </cell>
        </row>
      </sheetData>
      <sheetData sheetId="6157">
        <row r="2">
          <cell r="A2" t="str">
            <v>Complete</v>
          </cell>
        </row>
      </sheetData>
      <sheetData sheetId="6158">
        <row r="2">
          <cell r="A2" t="str">
            <v>Complete</v>
          </cell>
        </row>
      </sheetData>
      <sheetData sheetId="6159">
        <row r="2">
          <cell r="A2" t="str">
            <v>Complete</v>
          </cell>
        </row>
      </sheetData>
      <sheetData sheetId="6160">
        <row r="2">
          <cell r="A2" t="str">
            <v>Complete</v>
          </cell>
        </row>
      </sheetData>
      <sheetData sheetId="6161">
        <row r="2">
          <cell r="A2" t="str">
            <v>Complete</v>
          </cell>
        </row>
      </sheetData>
      <sheetData sheetId="6162">
        <row r="2">
          <cell r="A2" t="str">
            <v>Complete</v>
          </cell>
        </row>
      </sheetData>
      <sheetData sheetId="6163">
        <row r="2">
          <cell r="A2" t="str">
            <v>Complete</v>
          </cell>
        </row>
      </sheetData>
      <sheetData sheetId="6164">
        <row r="2">
          <cell r="A2" t="str">
            <v>Complete</v>
          </cell>
        </row>
      </sheetData>
      <sheetData sheetId="6165">
        <row r="2">
          <cell r="A2" t="str">
            <v>Complete</v>
          </cell>
        </row>
      </sheetData>
      <sheetData sheetId="6166">
        <row r="2">
          <cell r="A2" t="str">
            <v>Complete</v>
          </cell>
        </row>
      </sheetData>
      <sheetData sheetId="6167">
        <row r="2">
          <cell r="A2" t="str">
            <v>Complete</v>
          </cell>
        </row>
      </sheetData>
      <sheetData sheetId="6168">
        <row r="2">
          <cell r="A2" t="str">
            <v>Complete</v>
          </cell>
        </row>
      </sheetData>
      <sheetData sheetId="6169">
        <row r="2">
          <cell r="A2" t="str">
            <v>Complete</v>
          </cell>
        </row>
      </sheetData>
      <sheetData sheetId="6170">
        <row r="2">
          <cell r="A2" t="str">
            <v>Complete</v>
          </cell>
        </row>
      </sheetData>
      <sheetData sheetId="6171">
        <row r="2">
          <cell r="A2" t="str">
            <v>Complete</v>
          </cell>
        </row>
      </sheetData>
      <sheetData sheetId="6172">
        <row r="2">
          <cell r="A2" t="str">
            <v>Complete</v>
          </cell>
        </row>
      </sheetData>
      <sheetData sheetId="6173">
        <row r="2">
          <cell r="A2" t="str">
            <v>Complete</v>
          </cell>
        </row>
      </sheetData>
      <sheetData sheetId="6174">
        <row r="2">
          <cell r="A2" t="str">
            <v>Complete</v>
          </cell>
        </row>
      </sheetData>
      <sheetData sheetId="6175">
        <row r="2">
          <cell r="A2" t="str">
            <v>Complete</v>
          </cell>
        </row>
      </sheetData>
      <sheetData sheetId="6176">
        <row r="2">
          <cell r="A2" t="str">
            <v>Complete</v>
          </cell>
        </row>
      </sheetData>
      <sheetData sheetId="6177">
        <row r="2">
          <cell r="A2" t="str">
            <v>Complete</v>
          </cell>
        </row>
      </sheetData>
      <sheetData sheetId="6178">
        <row r="2">
          <cell r="A2" t="str">
            <v>Complete</v>
          </cell>
        </row>
      </sheetData>
      <sheetData sheetId="6179">
        <row r="2">
          <cell r="A2" t="str">
            <v>Complete</v>
          </cell>
        </row>
      </sheetData>
      <sheetData sheetId="6180">
        <row r="2">
          <cell r="A2" t="str">
            <v>Complete</v>
          </cell>
        </row>
      </sheetData>
      <sheetData sheetId="6181">
        <row r="2">
          <cell r="A2" t="str">
            <v>Complete</v>
          </cell>
        </row>
      </sheetData>
      <sheetData sheetId="6182">
        <row r="2">
          <cell r="A2" t="str">
            <v>Complete</v>
          </cell>
        </row>
      </sheetData>
      <sheetData sheetId="6183">
        <row r="2">
          <cell r="A2" t="str">
            <v>Complete</v>
          </cell>
        </row>
      </sheetData>
      <sheetData sheetId="6184">
        <row r="2">
          <cell r="A2" t="str">
            <v>Complete</v>
          </cell>
        </row>
      </sheetData>
      <sheetData sheetId="6185">
        <row r="2">
          <cell r="A2" t="str">
            <v>Complete</v>
          </cell>
        </row>
      </sheetData>
      <sheetData sheetId="6186">
        <row r="2">
          <cell r="A2" t="str">
            <v>Complete</v>
          </cell>
        </row>
      </sheetData>
      <sheetData sheetId="6187">
        <row r="2">
          <cell r="A2" t="str">
            <v>Complete</v>
          </cell>
        </row>
      </sheetData>
      <sheetData sheetId="6188">
        <row r="2">
          <cell r="A2" t="str">
            <v>Complete</v>
          </cell>
        </row>
      </sheetData>
      <sheetData sheetId="6189">
        <row r="2">
          <cell r="A2" t="str">
            <v>Complete</v>
          </cell>
        </row>
      </sheetData>
      <sheetData sheetId="6190">
        <row r="2">
          <cell r="A2" t="str">
            <v>Complete</v>
          </cell>
        </row>
      </sheetData>
      <sheetData sheetId="6191">
        <row r="2">
          <cell r="A2" t="str">
            <v>Complete</v>
          </cell>
        </row>
      </sheetData>
      <sheetData sheetId="6192">
        <row r="2">
          <cell r="A2" t="str">
            <v>Complete</v>
          </cell>
        </row>
      </sheetData>
      <sheetData sheetId="6193">
        <row r="2">
          <cell r="A2" t="str">
            <v>Complete</v>
          </cell>
        </row>
      </sheetData>
      <sheetData sheetId="6194">
        <row r="2">
          <cell r="A2" t="str">
            <v>Complete</v>
          </cell>
        </row>
      </sheetData>
      <sheetData sheetId="6195">
        <row r="2">
          <cell r="A2" t="str">
            <v>Complete</v>
          </cell>
        </row>
      </sheetData>
      <sheetData sheetId="6196">
        <row r="2">
          <cell r="A2" t="str">
            <v>Complete</v>
          </cell>
        </row>
      </sheetData>
      <sheetData sheetId="6197">
        <row r="2">
          <cell r="A2" t="str">
            <v>Complete</v>
          </cell>
        </row>
      </sheetData>
      <sheetData sheetId="6198">
        <row r="2">
          <cell r="A2" t="str">
            <v>Complete</v>
          </cell>
        </row>
      </sheetData>
      <sheetData sheetId="6199">
        <row r="2">
          <cell r="A2" t="str">
            <v>Complete</v>
          </cell>
        </row>
      </sheetData>
      <sheetData sheetId="6200">
        <row r="2">
          <cell r="A2" t="str">
            <v>Complete</v>
          </cell>
        </row>
      </sheetData>
      <sheetData sheetId="6201">
        <row r="2">
          <cell r="A2" t="str">
            <v>Complete</v>
          </cell>
        </row>
      </sheetData>
      <sheetData sheetId="6202">
        <row r="2">
          <cell r="A2" t="str">
            <v>Complete</v>
          </cell>
        </row>
      </sheetData>
      <sheetData sheetId="6203">
        <row r="2">
          <cell r="A2" t="str">
            <v>Complete</v>
          </cell>
        </row>
      </sheetData>
      <sheetData sheetId="6204">
        <row r="2">
          <cell r="A2" t="str">
            <v>Complete</v>
          </cell>
        </row>
      </sheetData>
      <sheetData sheetId="6205">
        <row r="2">
          <cell r="A2" t="str">
            <v>Complete</v>
          </cell>
        </row>
      </sheetData>
      <sheetData sheetId="6206">
        <row r="2">
          <cell r="A2" t="str">
            <v>Complete</v>
          </cell>
        </row>
      </sheetData>
      <sheetData sheetId="6207">
        <row r="2">
          <cell r="A2" t="str">
            <v>Complete</v>
          </cell>
        </row>
      </sheetData>
      <sheetData sheetId="6208">
        <row r="2">
          <cell r="A2" t="str">
            <v>Complete</v>
          </cell>
        </row>
      </sheetData>
      <sheetData sheetId="6209">
        <row r="2">
          <cell r="A2" t="str">
            <v>Complete</v>
          </cell>
        </row>
      </sheetData>
      <sheetData sheetId="6210">
        <row r="2">
          <cell r="A2" t="str">
            <v>Complete</v>
          </cell>
        </row>
      </sheetData>
      <sheetData sheetId="6211">
        <row r="2">
          <cell r="A2" t="str">
            <v>Complete</v>
          </cell>
        </row>
      </sheetData>
      <sheetData sheetId="6212">
        <row r="2">
          <cell r="A2" t="str">
            <v>Complete</v>
          </cell>
        </row>
      </sheetData>
      <sheetData sheetId="6213">
        <row r="2">
          <cell r="A2" t="str">
            <v>Complete</v>
          </cell>
        </row>
      </sheetData>
      <sheetData sheetId="6214">
        <row r="2">
          <cell r="A2" t="str">
            <v>Complete</v>
          </cell>
        </row>
      </sheetData>
      <sheetData sheetId="6215">
        <row r="2">
          <cell r="A2" t="str">
            <v>Complete</v>
          </cell>
        </row>
      </sheetData>
      <sheetData sheetId="6216">
        <row r="2">
          <cell r="A2" t="str">
            <v>Complete</v>
          </cell>
        </row>
      </sheetData>
      <sheetData sheetId="6217">
        <row r="2">
          <cell r="A2" t="str">
            <v>Complete</v>
          </cell>
        </row>
      </sheetData>
      <sheetData sheetId="6218">
        <row r="2">
          <cell r="A2" t="str">
            <v>Complete</v>
          </cell>
        </row>
      </sheetData>
      <sheetData sheetId="6219">
        <row r="2">
          <cell r="A2" t="str">
            <v>Complete</v>
          </cell>
        </row>
      </sheetData>
      <sheetData sheetId="6220">
        <row r="2">
          <cell r="A2" t="str">
            <v>Complete</v>
          </cell>
        </row>
      </sheetData>
      <sheetData sheetId="6221">
        <row r="2">
          <cell r="A2" t="str">
            <v>Complete</v>
          </cell>
        </row>
      </sheetData>
      <sheetData sheetId="6222">
        <row r="2">
          <cell r="A2" t="str">
            <v>Complete</v>
          </cell>
        </row>
      </sheetData>
      <sheetData sheetId="6223">
        <row r="2">
          <cell r="A2" t="str">
            <v>Complete</v>
          </cell>
        </row>
      </sheetData>
      <sheetData sheetId="6224">
        <row r="2">
          <cell r="A2" t="str">
            <v>Complete</v>
          </cell>
        </row>
      </sheetData>
      <sheetData sheetId="6225">
        <row r="2">
          <cell r="A2" t="str">
            <v>Complete</v>
          </cell>
        </row>
      </sheetData>
      <sheetData sheetId="6226">
        <row r="2">
          <cell r="A2" t="str">
            <v>Complete</v>
          </cell>
        </row>
      </sheetData>
      <sheetData sheetId="6227">
        <row r="2">
          <cell r="A2" t="str">
            <v>Complete</v>
          </cell>
        </row>
      </sheetData>
      <sheetData sheetId="6228">
        <row r="2">
          <cell r="A2" t="str">
            <v>Complete</v>
          </cell>
        </row>
      </sheetData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>
        <row r="2">
          <cell r="A2" t="str">
            <v>Complete</v>
          </cell>
        </row>
      </sheetData>
      <sheetData sheetId="6299">
        <row r="2">
          <cell r="A2" t="str">
            <v>Complete</v>
          </cell>
        </row>
      </sheetData>
      <sheetData sheetId="6300">
        <row r="2">
          <cell r="A2" t="str">
            <v>Complete</v>
          </cell>
        </row>
      </sheetData>
      <sheetData sheetId="6301">
        <row r="2">
          <cell r="A2" t="str">
            <v>Complete</v>
          </cell>
        </row>
      </sheetData>
      <sheetData sheetId="6302">
        <row r="2">
          <cell r="A2" t="str">
            <v>Complete</v>
          </cell>
        </row>
      </sheetData>
      <sheetData sheetId="6303">
        <row r="2">
          <cell r="A2" t="str">
            <v>Complete</v>
          </cell>
        </row>
      </sheetData>
      <sheetData sheetId="6304">
        <row r="2">
          <cell r="A2" t="str">
            <v>Complete</v>
          </cell>
        </row>
      </sheetData>
      <sheetData sheetId="6305">
        <row r="2">
          <cell r="A2" t="str">
            <v>Complete</v>
          </cell>
        </row>
      </sheetData>
      <sheetData sheetId="6306">
        <row r="2">
          <cell r="A2" t="str">
            <v>Complete</v>
          </cell>
        </row>
      </sheetData>
      <sheetData sheetId="6307">
        <row r="2">
          <cell r="A2" t="str">
            <v>Complete</v>
          </cell>
        </row>
      </sheetData>
      <sheetData sheetId="6308">
        <row r="2">
          <cell r="A2" t="str">
            <v>Complete</v>
          </cell>
        </row>
      </sheetData>
      <sheetData sheetId="6309">
        <row r="2">
          <cell r="A2" t="str">
            <v>Complete</v>
          </cell>
        </row>
      </sheetData>
      <sheetData sheetId="6310">
        <row r="2">
          <cell r="A2" t="str">
            <v>Complete</v>
          </cell>
        </row>
      </sheetData>
      <sheetData sheetId="6311">
        <row r="2">
          <cell r="A2" t="str">
            <v>Complete</v>
          </cell>
        </row>
      </sheetData>
      <sheetData sheetId="6312">
        <row r="2">
          <cell r="A2" t="str">
            <v>Complete</v>
          </cell>
        </row>
      </sheetData>
      <sheetData sheetId="6313">
        <row r="2">
          <cell r="A2" t="str">
            <v>Complete</v>
          </cell>
        </row>
      </sheetData>
      <sheetData sheetId="6314">
        <row r="2">
          <cell r="A2" t="str">
            <v>Complete</v>
          </cell>
        </row>
      </sheetData>
      <sheetData sheetId="6315">
        <row r="2">
          <cell r="A2" t="str">
            <v>Complete</v>
          </cell>
        </row>
      </sheetData>
      <sheetData sheetId="6316">
        <row r="2">
          <cell r="A2" t="str">
            <v>Complete</v>
          </cell>
        </row>
      </sheetData>
      <sheetData sheetId="6317">
        <row r="2">
          <cell r="A2" t="str">
            <v>Complete</v>
          </cell>
        </row>
      </sheetData>
      <sheetData sheetId="6318">
        <row r="2">
          <cell r="A2" t="str">
            <v>Complete</v>
          </cell>
        </row>
      </sheetData>
      <sheetData sheetId="6319">
        <row r="2">
          <cell r="A2" t="str">
            <v>Complete</v>
          </cell>
        </row>
      </sheetData>
      <sheetData sheetId="6320">
        <row r="2">
          <cell r="A2" t="str">
            <v>Complete</v>
          </cell>
        </row>
      </sheetData>
      <sheetData sheetId="6321">
        <row r="2">
          <cell r="A2" t="str">
            <v>Complete</v>
          </cell>
        </row>
      </sheetData>
      <sheetData sheetId="6322">
        <row r="2">
          <cell r="A2" t="str">
            <v>Complete</v>
          </cell>
        </row>
      </sheetData>
      <sheetData sheetId="6323">
        <row r="2">
          <cell r="A2" t="str">
            <v>Complete</v>
          </cell>
        </row>
      </sheetData>
      <sheetData sheetId="6324">
        <row r="2">
          <cell r="A2" t="str">
            <v>Complete</v>
          </cell>
        </row>
      </sheetData>
      <sheetData sheetId="6325">
        <row r="2">
          <cell r="A2" t="str">
            <v>Complete</v>
          </cell>
        </row>
      </sheetData>
      <sheetData sheetId="6326">
        <row r="2">
          <cell r="A2" t="str">
            <v>Complete</v>
          </cell>
        </row>
      </sheetData>
      <sheetData sheetId="6327">
        <row r="2">
          <cell r="A2" t="str">
            <v>Complete</v>
          </cell>
        </row>
      </sheetData>
      <sheetData sheetId="6328">
        <row r="2">
          <cell r="A2" t="str">
            <v>Complete</v>
          </cell>
        </row>
      </sheetData>
      <sheetData sheetId="6329">
        <row r="2">
          <cell r="A2" t="str">
            <v>Complete</v>
          </cell>
        </row>
      </sheetData>
      <sheetData sheetId="6330">
        <row r="2">
          <cell r="A2" t="str">
            <v>Complete</v>
          </cell>
        </row>
      </sheetData>
      <sheetData sheetId="6331">
        <row r="2">
          <cell r="A2" t="str">
            <v>Complete</v>
          </cell>
        </row>
      </sheetData>
      <sheetData sheetId="6332">
        <row r="2">
          <cell r="A2" t="str">
            <v>Complete</v>
          </cell>
        </row>
      </sheetData>
      <sheetData sheetId="6333">
        <row r="2">
          <cell r="A2" t="str">
            <v>Complete</v>
          </cell>
        </row>
      </sheetData>
      <sheetData sheetId="6334">
        <row r="2">
          <cell r="A2" t="str">
            <v>Complete</v>
          </cell>
        </row>
      </sheetData>
      <sheetData sheetId="6335">
        <row r="2">
          <cell r="A2" t="str">
            <v>Complete</v>
          </cell>
        </row>
      </sheetData>
      <sheetData sheetId="6336">
        <row r="2">
          <cell r="A2" t="str">
            <v>Complete</v>
          </cell>
        </row>
      </sheetData>
      <sheetData sheetId="6337">
        <row r="2">
          <cell r="A2" t="str">
            <v>Complete</v>
          </cell>
        </row>
      </sheetData>
      <sheetData sheetId="6338">
        <row r="2">
          <cell r="A2" t="str">
            <v>Complete</v>
          </cell>
        </row>
      </sheetData>
      <sheetData sheetId="6339">
        <row r="2">
          <cell r="A2" t="str">
            <v>Complete</v>
          </cell>
        </row>
      </sheetData>
      <sheetData sheetId="6340">
        <row r="2">
          <cell r="A2" t="str">
            <v>Complete</v>
          </cell>
        </row>
      </sheetData>
      <sheetData sheetId="6341">
        <row r="2">
          <cell r="A2" t="str">
            <v>Complete</v>
          </cell>
        </row>
      </sheetData>
      <sheetData sheetId="6342">
        <row r="2">
          <cell r="A2" t="str">
            <v>Complete</v>
          </cell>
        </row>
      </sheetData>
      <sheetData sheetId="6343">
        <row r="2">
          <cell r="A2" t="str">
            <v>Complete</v>
          </cell>
        </row>
      </sheetData>
      <sheetData sheetId="6344">
        <row r="2">
          <cell r="A2" t="str">
            <v>Complete</v>
          </cell>
        </row>
      </sheetData>
      <sheetData sheetId="6345">
        <row r="2">
          <cell r="A2" t="str">
            <v>Complete</v>
          </cell>
        </row>
      </sheetData>
      <sheetData sheetId="6346">
        <row r="2">
          <cell r="A2" t="str">
            <v>Complete</v>
          </cell>
        </row>
      </sheetData>
      <sheetData sheetId="6347">
        <row r="2">
          <cell r="A2" t="str">
            <v>Complete</v>
          </cell>
        </row>
      </sheetData>
      <sheetData sheetId="6348">
        <row r="2">
          <cell r="A2" t="str">
            <v>Complete</v>
          </cell>
        </row>
      </sheetData>
      <sheetData sheetId="6349">
        <row r="2">
          <cell r="A2" t="str">
            <v>Complete</v>
          </cell>
        </row>
      </sheetData>
      <sheetData sheetId="6350">
        <row r="2">
          <cell r="A2" t="str">
            <v>Complete</v>
          </cell>
        </row>
      </sheetData>
      <sheetData sheetId="6351">
        <row r="2">
          <cell r="A2" t="str">
            <v>Complete</v>
          </cell>
        </row>
      </sheetData>
      <sheetData sheetId="6352">
        <row r="2">
          <cell r="A2" t="str">
            <v>Complete</v>
          </cell>
        </row>
      </sheetData>
      <sheetData sheetId="6353">
        <row r="2">
          <cell r="A2" t="str">
            <v>Complete</v>
          </cell>
        </row>
      </sheetData>
      <sheetData sheetId="6354">
        <row r="2">
          <cell r="A2" t="str">
            <v>Complete</v>
          </cell>
        </row>
      </sheetData>
      <sheetData sheetId="6355">
        <row r="2">
          <cell r="A2" t="str">
            <v>Complete</v>
          </cell>
        </row>
      </sheetData>
      <sheetData sheetId="6356">
        <row r="2">
          <cell r="A2" t="str">
            <v>Complete</v>
          </cell>
        </row>
      </sheetData>
      <sheetData sheetId="6357">
        <row r="2">
          <cell r="A2" t="str">
            <v>Complete</v>
          </cell>
        </row>
      </sheetData>
      <sheetData sheetId="6358">
        <row r="2">
          <cell r="A2" t="str">
            <v>Complete</v>
          </cell>
        </row>
      </sheetData>
      <sheetData sheetId="6359">
        <row r="2">
          <cell r="A2" t="str">
            <v>Complete</v>
          </cell>
        </row>
      </sheetData>
      <sheetData sheetId="6360">
        <row r="2">
          <cell r="A2" t="str">
            <v>Complete</v>
          </cell>
        </row>
      </sheetData>
      <sheetData sheetId="6361">
        <row r="2">
          <cell r="A2" t="str">
            <v>Complete</v>
          </cell>
        </row>
      </sheetData>
      <sheetData sheetId="6362">
        <row r="2">
          <cell r="A2" t="str">
            <v>Complete</v>
          </cell>
        </row>
      </sheetData>
      <sheetData sheetId="6363">
        <row r="2">
          <cell r="A2" t="str">
            <v>Complete</v>
          </cell>
        </row>
      </sheetData>
      <sheetData sheetId="6364">
        <row r="2">
          <cell r="A2" t="str">
            <v>Complete</v>
          </cell>
        </row>
      </sheetData>
      <sheetData sheetId="6365">
        <row r="2">
          <cell r="A2" t="str">
            <v>Complete</v>
          </cell>
        </row>
      </sheetData>
      <sheetData sheetId="6366">
        <row r="2">
          <cell r="A2" t="str">
            <v>Complete</v>
          </cell>
        </row>
      </sheetData>
      <sheetData sheetId="6367">
        <row r="2">
          <cell r="A2" t="str">
            <v>Complete</v>
          </cell>
        </row>
      </sheetData>
      <sheetData sheetId="6368">
        <row r="2">
          <cell r="A2" t="str">
            <v>Complete</v>
          </cell>
        </row>
      </sheetData>
      <sheetData sheetId="6369">
        <row r="2">
          <cell r="A2" t="str">
            <v>Complete</v>
          </cell>
        </row>
      </sheetData>
      <sheetData sheetId="6370">
        <row r="2">
          <cell r="A2" t="str">
            <v>Complete</v>
          </cell>
        </row>
      </sheetData>
      <sheetData sheetId="6371">
        <row r="2">
          <cell r="A2" t="str">
            <v>Complete</v>
          </cell>
        </row>
      </sheetData>
      <sheetData sheetId="6372">
        <row r="2">
          <cell r="A2" t="str">
            <v>Complete</v>
          </cell>
        </row>
      </sheetData>
      <sheetData sheetId="6373">
        <row r="2">
          <cell r="A2" t="str">
            <v>Complete</v>
          </cell>
        </row>
      </sheetData>
      <sheetData sheetId="6374">
        <row r="2">
          <cell r="A2" t="str">
            <v>Complete</v>
          </cell>
        </row>
      </sheetData>
      <sheetData sheetId="6375">
        <row r="2">
          <cell r="A2" t="str">
            <v>Complete</v>
          </cell>
        </row>
      </sheetData>
      <sheetData sheetId="6376">
        <row r="2">
          <cell r="A2" t="str">
            <v>Complete</v>
          </cell>
        </row>
      </sheetData>
      <sheetData sheetId="6377">
        <row r="2">
          <cell r="A2" t="str">
            <v>Complete</v>
          </cell>
        </row>
      </sheetData>
      <sheetData sheetId="6378">
        <row r="2">
          <cell r="A2" t="str">
            <v>Complete</v>
          </cell>
        </row>
      </sheetData>
      <sheetData sheetId="6379">
        <row r="2">
          <cell r="A2" t="str">
            <v>Complete</v>
          </cell>
        </row>
      </sheetData>
      <sheetData sheetId="6380">
        <row r="2">
          <cell r="A2" t="str">
            <v>Complete</v>
          </cell>
        </row>
      </sheetData>
      <sheetData sheetId="6381">
        <row r="2">
          <cell r="A2" t="str">
            <v>Complete</v>
          </cell>
        </row>
      </sheetData>
      <sheetData sheetId="6382">
        <row r="2">
          <cell r="A2" t="str">
            <v>Complete</v>
          </cell>
        </row>
      </sheetData>
      <sheetData sheetId="6383">
        <row r="2">
          <cell r="A2" t="str">
            <v>Complete</v>
          </cell>
        </row>
      </sheetData>
      <sheetData sheetId="6384">
        <row r="2">
          <cell r="A2" t="str">
            <v>Complete</v>
          </cell>
        </row>
      </sheetData>
      <sheetData sheetId="6385">
        <row r="2">
          <cell r="A2" t="str">
            <v>Complete</v>
          </cell>
        </row>
      </sheetData>
      <sheetData sheetId="6386">
        <row r="2">
          <cell r="A2" t="str">
            <v>Complete</v>
          </cell>
        </row>
      </sheetData>
      <sheetData sheetId="6387">
        <row r="2">
          <cell r="A2" t="str">
            <v>Complete</v>
          </cell>
        </row>
      </sheetData>
      <sheetData sheetId="6388">
        <row r="2">
          <cell r="A2" t="str">
            <v>Complete</v>
          </cell>
        </row>
      </sheetData>
      <sheetData sheetId="6389">
        <row r="2">
          <cell r="A2" t="str">
            <v>Complete</v>
          </cell>
        </row>
      </sheetData>
      <sheetData sheetId="6390">
        <row r="2">
          <cell r="A2" t="str">
            <v>Complete</v>
          </cell>
        </row>
      </sheetData>
      <sheetData sheetId="6391">
        <row r="2">
          <cell r="A2" t="str">
            <v>Complete</v>
          </cell>
        </row>
      </sheetData>
      <sheetData sheetId="6392">
        <row r="2">
          <cell r="A2" t="str">
            <v>Complete</v>
          </cell>
        </row>
      </sheetData>
      <sheetData sheetId="6393">
        <row r="2">
          <cell r="A2" t="str">
            <v>Complete</v>
          </cell>
        </row>
      </sheetData>
      <sheetData sheetId="6394">
        <row r="2">
          <cell r="A2" t="str">
            <v>Complete</v>
          </cell>
        </row>
      </sheetData>
      <sheetData sheetId="6395">
        <row r="2">
          <cell r="A2" t="str">
            <v>Complete</v>
          </cell>
        </row>
      </sheetData>
      <sheetData sheetId="6396">
        <row r="2">
          <cell r="A2" t="str">
            <v>Complete</v>
          </cell>
        </row>
      </sheetData>
      <sheetData sheetId="6397">
        <row r="2">
          <cell r="A2" t="str">
            <v>Complete</v>
          </cell>
        </row>
      </sheetData>
      <sheetData sheetId="6398">
        <row r="2">
          <cell r="A2" t="str">
            <v>Complete</v>
          </cell>
        </row>
      </sheetData>
      <sheetData sheetId="6399">
        <row r="2">
          <cell r="A2" t="str">
            <v>Complete</v>
          </cell>
        </row>
      </sheetData>
      <sheetData sheetId="6400">
        <row r="2">
          <cell r="A2" t="str">
            <v>Complete</v>
          </cell>
        </row>
      </sheetData>
      <sheetData sheetId="6401">
        <row r="2">
          <cell r="A2" t="str">
            <v>Complete</v>
          </cell>
        </row>
      </sheetData>
      <sheetData sheetId="6402">
        <row r="2">
          <cell r="A2" t="str">
            <v>Complete</v>
          </cell>
        </row>
      </sheetData>
      <sheetData sheetId="6403">
        <row r="2">
          <cell r="A2" t="str">
            <v>Complete</v>
          </cell>
        </row>
      </sheetData>
      <sheetData sheetId="6404">
        <row r="2">
          <cell r="A2" t="str">
            <v>Complete</v>
          </cell>
        </row>
      </sheetData>
      <sheetData sheetId="6405">
        <row r="2">
          <cell r="A2" t="str">
            <v>Complete</v>
          </cell>
        </row>
      </sheetData>
      <sheetData sheetId="6406">
        <row r="2">
          <cell r="A2" t="str">
            <v>Complete</v>
          </cell>
        </row>
      </sheetData>
      <sheetData sheetId="6407">
        <row r="2">
          <cell r="A2" t="str">
            <v>Complete</v>
          </cell>
        </row>
      </sheetData>
      <sheetData sheetId="6408">
        <row r="2">
          <cell r="A2" t="str">
            <v>Complete</v>
          </cell>
        </row>
      </sheetData>
      <sheetData sheetId="6409">
        <row r="2">
          <cell r="A2" t="str">
            <v>Complete</v>
          </cell>
        </row>
      </sheetData>
      <sheetData sheetId="6410">
        <row r="2">
          <cell r="A2" t="str">
            <v>Complete</v>
          </cell>
        </row>
      </sheetData>
      <sheetData sheetId="6411">
        <row r="2">
          <cell r="A2" t="str">
            <v>Complete</v>
          </cell>
        </row>
      </sheetData>
      <sheetData sheetId="6412">
        <row r="2">
          <cell r="A2" t="str">
            <v>Complete</v>
          </cell>
        </row>
      </sheetData>
      <sheetData sheetId="6413">
        <row r="2">
          <cell r="A2" t="str">
            <v>Complete</v>
          </cell>
        </row>
      </sheetData>
      <sheetData sheetId="6414">
        <row r="2">
          <cell r="A2" t="str">
            <v>Complete</v>
          </cell>
        </row>
      </sheetData>
      <sheetData sheetId="6415">
        <row r="2">
          <cell r="A2" t="str">
            <v>Complete</v>
          </cell>
        </row>
      </sheetData>
      <sheetData sheetId="6416">
        <row r="2">
          <cell r="A2" t="str">
            <v>Complete</v>
          </cell>
        </row>
      </sheetData>
      <sheetData sheetId="6417">
        <row r="2">
          <cell r="A2" t="str">
            <v>Complete</v>
          </cell>
        </row>
      </sheetData>
      <sheetData sheetId="6418">
        <row r="2">
          <cell r="A2" t="str">
            <v>Complete</v>
          </cell>
        </row>
      </sheetData>
      <sheetData sheetId="6419">
        <row r="2">
          <cell r="A2" t="str">
            <v>Complete</v>
          </cell>
        </row>
      </sheetData>
      <sheetData sheetId="6420">
        <row r="2">
          <cell r="A2" t="str">
            <v>Complete</v>
          </cell>
        </row>
      </sheetData>
      <sheetData sheetId="6421">
        <row r="2">
          <cell r="A2" t="str">
            <v>Complete</v>
          </cell>
        </row>
      </sheetData>
      <sheetData sheetId="6422">
        <row r="2">
          <cell r="A2" t="str">
            <v>Complete</v>
          </cell>
        </row>
      </sheetData>
      <sheetData sheetId="6423">
        <row r="2">
          <cell r="A2" t="str">
            <v>Complete</v>
          </cell>
        </row>
      </sheetData>
      <sheetData sheetId="6424">
        <row r="2">
          <cell r="A2" t="str">
            <v>Complete</v>
          </cell>
        </row>
      </sheetData>
      <sheetData sheetId="6425">
        <row r="2">
          <cell r="A2" t="str">
            <v>Complete</v>
          </cell>
        </row>
      </sheetData>
      <sheetData sheetId="6426">
        <row r="2">
          <cell r="A2" t="str">
            <v>Complete</v>
          </cell>
        </row>
      </sheetData>
      <sheetData sheetId="6427">
        <row r="2">
          <cell r="A2" t="str">
            <v>Complete</v>
          </cell>
        </row>
      </sheetData>
      <sheetData sheetId="6428">
        <row r="2">
          <cell r="A2" t="str">
            <v>Complete</v>
          </cell>
        </row>
      </sheetData>
      <sheetData sheetId="6429">
        <row r="2">
          <cell r="A2" t="str">
            <v>Complete</v>
          </cell>
        </row>
      </sheetData>
      <sheetData sheetId="6430">
        <row r="2">
          <cell r="A2" t="str">
            <v>Complete</v>
          </cell>
        </row>
      </sheetData>
      <sheetData sheetId="6431">
        <row r="2">
          <cell r="A2" t="str">
            <v>Complete</v>
          </cell>
        </row>
      </sheetData>
      <sheetData sheetId="6432">
        <row r="2">
          <cell r="A2" t="str">
            <v>Complete</v>
          </cell>
        </row>
      </sheetData>
      <sheetData sheetId="6433">
        <row r="2">
          <cell r="A2" t="str">
            <v>Complete</v>
          </cell>
        </row>
      </sheetData>
      <sheetData sheetId="6434">
        <row r="2">
          <cell r="A2" t="str">
            <v>Complete</v>
          </cell>
        </row>
      </sheetData>
      <sheetData sheetId="6435">
        <row r="2">
          <cell r="A2" t="str">
            <v>Complete</v>
          </cell>
        </row>
      </sheetData>
      <sheetData sheetId="6436">
        <row r="2">
          <cell r="A2" t="str">
            <v>Complete</v>
          </cell>
        </row>
      </sheetData>
      <sheetData sheetId="6437">
        <row r="2">
          <cell r="A2" t="str">
            <v>Complete</v>
          </cell>
        </row>
      </sheetData>
      <sheetData sheetId="6438">
        <row r="2">
          <cell r="A2" t="str">
            <v>Complete</v>
          </cell>
        </row>
      </sheetData>
      <sheetData sheetId="6439">
        <row r="2">
          <cell r="A2" t="str">
            <v>Complete</v>
          </cell>
        </row>
      </sheetData>
      <sheetData sheetId="6440">
        <row r="2">
          <cell r="A2" t="str">
            <v>Complete</v>
          </cell>
        </row>
      </sheetData>
      <sheetData sheetId="6441">
        <row r="2">
          <cell r="A2" t="str">
            <v>Complete</v>
          </cell>
        </row>
      </sheetData>
      <sheetData sheetId="6442">
        <row r="2">
          <cell r="A2" t="str">
            <v>Complete</v>
          </cell>
        </row>
      </sheetData>
      <sheetData sheetId="6443">
        <row r="2">
          <cell r="A2" t="str">
            <v>Complete</v>
          </cell>
        </row>
      </sheetData>
      <sheetData sheetId="6444">
        <row r="2">
          <cell r="A2" t="str">
            <v>Complete</v>
          </cell>
        </row>
      </sheetData>
      <sheetData sheetId="6445">
        <row r="2">
          <cell r="A2" t="str">
            <v>Complete</v>
          </cell>
        </row>
      </sheetData>
      <sheetData sheetId="6446">
        <row r="2">
          <cell r="A2" t="str">
            <v>Complete</v>
          </cell>
        </row>
      </sheetData>
      <sheetData sheetId="6447">
        <row r="2">
          <cell r="A2" t="str">
            <v>Complete</v>
          </cell>
        </row>
      </sheetData>
      <sheetData sheetId="6448">
        <row r="2">
          <cell r="A2" t="str">
            <v>Complete</v>
          </cell>
        </row>
      </sheetData>
      <sheetData sheetId="6449">
        <row r="2">
          <cell r="A2" t="str">
            <v>Complete</v>
          </cell>
        </row>
      </sheetData>
      <sheetData sheetId="6450">
        <row r="2">
          <cell r="A2" t="str">
            <v>Complete</v>
          </cell>
        </row>
      </sheetData>
      <sheetData sheetId="6451">
        <row r="2">
          <cell r="A2" t="str">
            <v>Complete</v>
          </cell>
        </row>
      </sheetData>
      <sheetData sheetId="6452">
        <row r="2">
          <cell r="A2" t="str">
            <v>Complete</v>
          </cell>
        </row>
      </sheetData>
      <sheetData sheetId="6453">
        <row r="2">
          <cell r="A2" t="str">
            <v>Complete</v>
          </cell>
        </row>
      </sheetData>
      <sheetData sheetId="6454">
        <row r="2">
          <cell r="A2" t="str">
            <v>Complete</v>
          </cell>
        </row>
      </sheetData>
      <sheetData sheetId="6455">
        <row r="2">
          <cell r="A2" t="str">
            <v>Complete</v>
          </cell>
        </row>
      </sheetData>
      <sheetData sheetId="6456">
        <row r="2">
          <cell r="A2" t="str">
            <v>Complete</v>
          </cell>
        </row>
      </sheetData>
      <sheetData sheetId="6457">
        <row r="2">
          <cell r="A2" t="str">
            <v>Complete</v>
          </cell>
        </row>
      </sheetData>
      <sheetData sheetId="6458">
        <row r="2">
          <cell r="A2" t="str">
            <v>Complete</v>
          </cell>
        </row>
      </sheetData>
      <sheetData sheetId="6459">
        <row r="2">
          <cell r="A2" t="str">
            <v>Complete</v>
          </cell>
        </row>
      </sheetData>
      <sheetData sheetId="6460">
        <row r="2">
          <cell r="A2">
            <v>43462</v>
          </cell>
        </row>
      </sheetData>
      <sheetData sheetId="6461">
        <row r="2">
          <cell r="A2">
            <v>43462</v>
          </cell>
        </row>
      </sheetData>
      <sheetData sheetId="6462">
        <row r="2">
          <cell r="A2">
            <v>43462</v>
          </cell>
        </row>
      </sheetData>
      <sheetData sheetId="6463">
        <row r="2">
          <cell r="A2">
            <v>43462</v>
          </cell>
        </row>
      </sheetData>
      <sheetData sheetId="6464">
        <row r="2">
          <cell r="A2">
            <v>43462</v>
          </cell>
        </row>
      </sheetData>
      <sheetData sheetId="6465">
        <row r="2">
          <cell r="A2">
            <v>43462</v>
          </cell>
        </row>
      </sheetData>
      <sheetData sheetId="6466">
        <row r="2">
          <cell r="A2">
            <v>43462</v>
          </cell>
        </row>
      </sheetData>
      <sheetData sheetId="6467">
        <row r="2">
          <cell r="A2">
            <v>43462</v>
          </cell>
        </row>
      </sheetData>
      <sheetData sheetId="6468">
        <row r="2">
          <cell r="A2">
            <v>43462</v>
          </cell>
        </row>
      </sheetData>
      <sheetData sheetId="6469">
        <row r="2">
          <cell r="A2">
            <v>43462</v>
          </cell>
        </row>
      </sheetData>
      <sheetData sheetId="6470">
        <row r="2">
          <cell r="A2">
            <v>43462</v>
          </cell>
        </row>
      </sheetData>
      <sheetData sheetId="6471">
        <row r="2">
          <cell r="A2">
            <v>43462</v>
          </cell>
        </row>
      </sheetData>
      <sheetData sheetId="6472">
        <row r="2">
          <cell r="A2">
            <v>43462</v>
          </cell>
        </row>
      </sheetData>
      <sheetData sheetId="6473">
        <row r="2">
          <cell r="A2">
            <v>43462</v>
          </cell>
        </row>
      </sheetData>
      <sheetData sheetId="6474">
        <row r="2">
          <cell r="A2">
            <v>43462</v>
          </cell>
        </row>
      </sheetData>
      <sheetData sheetId="6475">
        <row r="2">
          <cell r="A2" t="str">
            <v>Complete</v>
          </cell>
        </row>
      </sheetData>
      <sheetData sheetId="6476">
        <row r="2">
          <cell r="A2" t="str">
            <v>Complete</v>
          </cell>
        </row>
      </sheetData>
      <sheetData sheetId="6477">
        <row r="2">
          <cell r="A2" t="str">
            <v>Complete</v>
          </cell>
        </row>
      </sheetData>
      <sheetData sheetId="6478">
        <row r="2">
          <cell r="A2" t="str">
            <v>Complete</v>
          </cell>
        </row>
      </sheetData>
      <sheetData sheetId="6479">
        <row r="2">
          <cell r="A2" t="str">
            <v>Complete</v>
          </cell>
        </row>
      </sheetData>
      <sheetData sheetId="6480">
        <row r="2">
          <cell r="A2" t="str">
            <v>Complete</v>
          </cell>
        </row>
      </sheetData>
      <sheetData sheetId="6481">
        <row r="2">
          <cell r="A2" t="str">
            <v>Complete</v>
          </cell>
        </row>
      </sheetData>
      <sheetData sheetId="6482">
        <row r="2">
          <cell r="A2" t="str">
            <v>Complete</v>
          </cell>
        </row>
      </sheetData>
      <sheetData sheetId="6483">
        <row r="2">
          <cell r="A2" t="str">
            <v>Complete</v>
          </cell>
        </row>
      </sheetData>
      <sheetData sheetId="6484">
        <row r="2">
          <cell r="A2" t="str">
            <v>Complete</v>
          </cell>
        </row>
      </sheetData>
      <sheetData sheetId="6485">
        <row r="2">
          <cell r="A2" t="str">
            <v>Complete</v>
          </cell>
        </row>
      </sheetData>
      <sheetData sheetId="6486">
        <row r="2">
          <cell r="A2" t="str">
            <v>Complete</v>
          </cell>
        </row>
      </sheetData>
      <sheetData sheetId="6487">
        <row r="2">
          <cell r="A2" t="str">
            <v>Complete</v>
          </cell>
        </row>
      </sheetData>
      <sheetData sheetId="6488">
        <row r="2">
          <cell r="A2" t="str">
            <v>Complete</v>
          </cell>
        </row>
      </sheetData>
      <sheetData sheetId="6489">
        <row r="2">
          <cell r="A2" t="str">
            <v>Complete</v>
          </cell>
        </row>
      </sheetData>
      <sheetData sheetId="6490">
        <row r="2">
          <cell r="A2" t="str">
            <v>Complete</v>
          </cell>
        </row>
      </sheetData>
      <sheetData sheetId="6491">
        <row r="2">
          <cell r="A2" t="str">
            <v>Complete</v>
          </cell>
        </row>
      </sheetData>
      <sheetData sheetId="6492">
        <row r="2">
          <cell r="A2" t="str">
            <v>Complete</v>
          </cell>
        </row>
      </sheetData>
      <sheetData sheetId="6493">
        <row r="2">
          <cell r="A2" t="str">
            <v>Complete</v>
          </cell>
        </row>
      </sheetData>
      <sheetData sheetId="6494">
        <row r="2">
          <cell r="A2" t="str">
            <v>Complete</v>
          </cell>
        </row>
      </sheetData>
      <sheetData sheetId="6495">
        <row r="2">
          <cell r="A2" t="str">
            <v>Complete</v>
          </cell>
        </row>
      </sheetData>
      <sheetData sheetId="6496">
        <row r="2">
          <cell r="A2" t="str">
            <v>Complete</v>
          </cell>
        </row>
      </sheetData>
      <sheetData sheetId="6497">
        <row r="2">
          <cell r="A2" t="str">
            <v>Complete</v>
          </cell>
        </row>
      </sheetData>
      <sheetData sheetId="6498">
        <row r="2">
          <cell r="A2" t="str">
            <v>Complete</v>
          </cell>
        </row>
      </sheetData>
      <sheetData sheetId="6499">
        <row r="2">
          <cell r="A2">
            <v>43462</v>
          </cell>
        </row>
      </sheetData>
      <sheetData sheetId="6500">
        <row r="2">
          <cell r="A2">
            <v>43462</v>
          </cell>
        </row>
      </sheetData>
      <sheetData sheetId="6501">
        <row r="2">
          <cell r="A2">
            <v>43462</v>
          </cell>
        </row>
      </sheetData>
      <sheetData sheetId="6502">
        <row r="2">
          <cell r="A2">
            <v>43462</v>
          </cell>
        </row>
      </sheetData>
      <sheetData sheetId="6503">
        <row r="2">
          <cell r="A2">
            <v>43462</v>
          </cell>
        </row>
      </sheetData>
      <sheetData sheetId="6504">
        <row r="2">
          <cell r="A2">
            <v>43462</v>
          </cell>
        </row>
      </sheetData>
      <sheetData sheetId="6505">
        <row r="2">
          <cell r="A2">
            <v>43462</v>
          </cell>
        </row>
      </sheetData>
      <sheetData sheetId="6506">
        <row r="2">
          <cell r="A2">
            <v>43462</v>
          </cell>
        </row>
      </sheetData>
      <sheetData sheetId="6507">
        <row r="2">
          <cell r="A2">
            <v>43462</v>
          </cell>
        </row>
      </sheetData>
      <sheetData sheetId="6508">
        <row r="2">
          <cell r="A2">
            <v>43462</v>
          </cell>
        </row>
      </sheetData>
      <sheetData sheetId="6509">
        <row r="2">
          <cell r="A2">
            <v>43462</v>
          </cell>
        </row>
      </sheetData>
      <sheetData sheetId="6510">
        <row r="2">
          <cell r="A2">
            <v>43462</v>
          </cell>
        </row>
      </sheetData>
      <sheetData sheetId="6511">
        <row r="2">
          <cell r="A2">
            <v>43462</v>
          </cell>
        </row>
      </sheetData>
      <sheetData sheetId="6512">
        <row r="2">
          <cell r="A2">
            <v>43462</v>
          </cell>
        </row>
      </sheetData>
      <sheetData sheetId="6513">
        <row r="2">
          <cell r="A2">
            <v>43462</v>
          </cell>
        </row>
      </sheetData>
      <sheetData sheetId="6514">
        <row r="2">
          <cell r="A2">
            <v>43462</v>
          </cell>
        </row>
      </sheetData>
      <sheetData sheetId="6515">
        <row r="2">
          <cell r="A2">
            <v>43462</v>
          </cell>
        </row>
      </sheetData>
      <sheetData sheetId="6516">
        <row r="2">
          <cell r="A2" t="str">
            <v>Complete</v>
          </cell>
        </row>
      </sheetData>
      <sheetData sheetId="6517">
        <row r="2">
          <cell r="A2" t="str">
            <v>Complete</v>
          </cell>
        </row>
      </sheetData>
      <sheetData sheetId="6518">
        <row r="2">
          <cell r="A2" t="str">
            <v>Complete</v>
          </cell>
        </row>
      </sheetData>
      <sheetData sheetId="6519">
        <row r="2">
          <cell r="A2" t="str">
            <v>Complete</v>
          </cell>
        </row>
      </sheetData>
      <sheetData sheetId="6520">
        <row r="2">
          <cell r="A2" t="str">
            <v>Complete</v>
          </cell>
        </row>
      </sheetData>
      <sheetData sheetId="6521">
        <row r="2">
          <cell r="A2" t="str">
            <v>Complete</v>
          </cell>
        </row>
      </sheetData>
      <sheetData sheetId="6522">
        <row r="2">
          <cell r="A2" t="str">
            <v>Complete</v>
          </cell>
        </row>
      </sheetData>
      <sheetData sheetId="6523">
        <row r="2">
          <cell r="A2" t="str">
            <v>Complete</v>
          </cell>
        </row>
      </sheetData>
      <sheetData sheetId="6524">
        <row r="2">
          <cell r="A2" t="str">
            <v>Complete</v>
          </cell>
        </row>
      </sheetData>
      <sheetData sheetId="6525">
        <row r="2">
          <cell r="A2" t="str">
            <v>Complete</v>
          </cell>
        </row>
      </sheetData>
      <sheetData sheetId="6526">
        <row r="2">
          <cell r="A2" t="str">
            <v>Complete</v>
          </cell>
        </row>
      </sheetData>
      <sheetData sheetId="6527">
        <row r="2">
          <cell r="A2">
            <v>43462</v>
          </cell>
        </row>
      </sheetData>
      <sheetData sheetId="6528">
        <row r="2">
          <cell r="A2">
            <v>43462</v>
          </cell>
        </row>
      </sheetData>
      <sheetData sheetId="6529">
        <row r="2">
          <cell r="A2">
            <v>43462</v>
          </cell>
        </row>
      </sheetData>
      <sheetData sheetId="6530">
        <row r="2">
          <cell r="A2">
            <v>43462</v>
          </cell>
        </row>
      </sheetData>
      <sheetData sheetId="6531">
        <row r="2">
          <cell r="A2">
            <v>43462</v>
          </cell>
        </row>
      </sheetData>
      <sheetData sheetId="6532">
        <row r="2">
          <cell r="A2">
            <v>43462</v>
          </cell>
        </row>
      </sheetData>
      <sheetData sheetId="6533">
        <row r="2">
          <cell r="A2">
            <v>43462</v>
          </cell>
        </row>
      </sheetData>
      <sheetData sheetId="6534">
        <row r="2">
          <cell r="A2">
            <v>43462</v>
          </cell>
        </row>
      </sheetData>
      <sheetData sheetId="6535">
        <row r="2">
          <cell r="A2">
            <v>43462</v>
          </cell>
        </row>
      </sheetData>
      <sheetData sheetId="6536">
        <row r="2">
          <cell r="A2">
            <v>43462</v>
          </cell>
        </row>
      </sheetData>
      <sheetData sheetId="6537">
        <row r="2">
          <cell r="A2">
            <v>43462</v>
          </cell>
        </row>
      </sheetData>
      <sheetData sheetId="6538">
        <row r="2">
          <cell r="A2">
            <v>43462</v>
          </cell>
        </row>
      </sheetData>
      <sheetData sheetId="6539">
        <row r="2">
          <cell r="A2">
            <v>43462</v>
          </cell>
        </row>
      </sheetData>
      <sheetData sheetId="6540">
        <row r="2">
          <cell r="A2">
            <v>43462</v>
          </cell>
        </row>
      </sheetData>
      <sheetData sheetId="6541">
        <row r="2">
          <cell r="A2">
            <v>43462</v>
          </cell>
        </row>
      </sheetData>
      <sheetData sheetId="6542">
        <row r="2">
          <cell r="A2">
            <v>43462</v>
          </cell>
        </row>
      </sheetData>
      <sheetData sheetId="6543">
        <row r="2">
          <cell r="A2">
            <v>43462</v>
          </cell>
        </row>
      </sheetData>
      <sheetData sheetId="6544">
        <row r="2">
          <cell r="A2">
            <v>43462</v>
          </cell>
        </row>
      </sheetData>
      <sheetData sheetId="6545">
        <row r="2">
          <cell r="A2">
            <v>43462</v>
          </cell>
        </row>
      </sheetData>
      <sheetData sheetId="6546">
        <row r="2">
          <cell r="A2">
            <v>43462</v>
          </cell>
        </row>
      </sheetData>
      <sheetData sheetId="6547">
        <row r="2">
          <cell r="A2">
            <v>43462</v>
          </cell>
        </row>
      </sheetData>
      <sheetData sheetId="6548">
        <row r="2">
          <cell r="A2">
            <v>43462</v>
          </cell>
        </row>
      </sheetData>
      <sheetData sheetId="6549">
        <row r="2">
          <cell r="A2">
            <v>43462</v>
          </cell>
        </row>
      </sheetData>
      <sheetData sheetId="6550">
        <row r="2">
          <cell r="A2">
            <v>43462</v>
          </cell>
        </row>
      </sheetData>
      <sheetData sheetId="6551">
        <row r="2">
          <cell r="A2">
            <v>43462</v>
          </cell>
        </row>
      </sheetData>
      <sheetData sheetId="6552">
        <row r="2">
          <cell r="A2">
            <v>43462</v>
          </cell>
        </row>
      </sheetData>
      <sheetData sheetId="6553">
        <row r="2">
          <cell r="A2">
            <v>43462</v>
          </cell>
        </row>
      </sheetData>
      <sheetData sheetId="6554">
        <row r="2">
          <cell r="A2">
            <v>43462</v>
          </cell>
        </row>
      </sheetData>
      <sheetData sheetId="6555">
        <row r="2">
          <cell r="A2">
            <v>43462</v>
          </cell>
        </row>
      </sheetData>
      <sheetData sheetId="6556">
        <row r="2">
          <cell r="A2">
            <v>43462</v>
          </cell>
        </row>
      </sheetData>
      <sheetData sheetId="6557">
        <row r="2">
          <cell r="A2">
            <v>43462</v>
          </cell>
        </row>
      </sheetData>
      <sheetData sheetId="6558">
        <row r="2">
          <cell r="A2">
            <v>43462</v>
          </cell>
        </row>
      </sheetData>
      <sheetData sheetId="6559">
        <row r="2">
          <cell r="A2">
            <v>43462</v>
          </cell>
        </row>
      </sheetData>
      <sheetData sheetId="6560">
        <row r="2">
          <cell r="A2">
            <v>43462</v>
          </cell>
        </row>
      </sheetData>
      <sheetData sheetId="6561">
        <row r="2">
          <cell r="A2">
            <v>43462</v>
          </cell>
        </row>
      </sheetData>
      <sheetData sheetId="6562">
        <row r="2">
          <cell r="A2">
            <v>43462</v>
          </cell>
        </row>
      </sheetData>
      <sheetData sheetId="6563">
        <row r="2">
          <cell r="A2">
            <v>43462</v>
          </cell>
        </row>
      </sheetData>
      <sheetData sheetId="6564">
        <row r="2">
          <cell r="A2">
            <v>43462</v>
          </cell>
        </row>
      </sheetData>
      <sheetData sheetId="6565">
        <row r="2">
          <cell r="A2">
            <v>43462</v>
          </cell>
        </row>
      </sheetData>
      <sheetData sheetId="6566">
        <row r="2">
          <cell r="A2">
            <v>43462</v>
          </cell>
        </row>
      </sheetData>
      <sheetData sheetId="6567">
        <row r="2">
          <cell r="A2">
            <v>43462</v>
          </cell>
        </row>
      </sheetData>
      <sheetData sheetId="6568">
        <row r="2">
          <cell r="A2">
            <v>43462</v>
          </cell>
        </row>
      </sheetData>
      <sheetData sheetId="6569">
        <row r="2">
          <cell r="A2">
            <v>43462</v>
          </cell>
        </row>
      </sheetData>
      <sheetData sheetId="6570">
        <row r="2">
          <cell r="A2">
            <v>43462</v>
          </cell>
        </row>
      </sheetData>
      <sheetData sheetId="6571">
        <row r="2">
          <cell r="A2">
            <v>43462</v>
          </cell>
        </row>
      </sheetData>
      <sheetData sheetId="6572">
        <row r="2">
          <cell r="A2">
            <v>43462</v>
          </cell>
        </row>
      </sheetData>
      <sheetData sheetId="6573">
        <row r="2">
          <cell r="A2">
            <v>43462</v>
          </cell>
        </row>
      </sheetData>
      <sheetData sheetId="6574">
        <row r="2">
          <cell r="A2">
            <v>43462</v>
          </cell>
        </row>
      </sheetData>
      <sheetData sheetId="6575">
        <row r="2">
          <cell r="A2">
            <v>43462</v>
          </cell>
        </row>
      </sheetData>
      <sheetData sheetId="6576">
        <row r="2">
          <cell r="A2">
            <v>43462</v>
          </cell>
        </row>
      </sheetData>
      <sheetData sheetId="6577">
        <row r="2">
          <cell r="A2">
            <v>43462</v>
          </cell>
        </row>
      </sheetData>
      <sheetData sheetId="6578">
        <row r="2">
          <cell r="A2">
            <v>43462</v>
          </cell>
        </row>
      </sheetData>
      <sheetData sheetId="6579">
        <row r="2">
          <cell r="A2">
            <v>43462</v>
          </cell>
        </row>
      </sheetData>
      <sheetData sheetId="6580">
        <row r="2">
          <cell r="A2">
            <v>43462</v>
          </cell>
        </row>
      </sheetData>
      <sheetData sheetId="6581">
        <row r="2">
          <cell r="A2">
            <v>43462</v>
          </cell>
        </row>
      </sheetData>
      <sheetData sheetId="6582">
        <row r="2">
          <cell r="A2">
            <v>43462</v>
          </cell>
        </row>
      </sheetData>
      <sheetData sheetId="6583">
        <row r="2">
          <cell r="A2">
            <v>43462</v>
          </cell>
        </row>
      </sheetData>
      <sheetData sheetId="6584">
        <row r="2">
          <cell r="A2">
            <v>43462</v>
          </cell>
        </row>
      </sheetData>
      <sheetData sheetId="6585">
        <row r="2">
          <cell r="A2">
            <v>43462</v>
          </cell>
        </row>
      </sheetData>
      <sheetData sheetId="6586">
        <row r="2">
          <cell r="A2">
            <v>43462</v>
          </cell>
        </row>
      </sheetData>
      <sheetData sheetId="6587">
        <row r="2">
          <cell r="A2">
            <v>43462</v>
          </cell>
        </row>
      </sheetData>
      <sheetData sheetId="6588">
        <row r="2">
          <cell r="A2">
            <v>43462</v>
          </cell>
        </row>
      </sheetData>
      <sheetData sheetId="6589">
        <row r="2">
          <cell r="A2">
            <v>43462</v>
          </cell>
        </row>
      </sheetData>
      <sheetData sheetId="6590">
        <row r="2">
          <cell r="A2">
            <v>43462</v>
          </cell>
        </row>
      </sheetData>
      <sheetData sheetId="6591">
        <row r="2">
          <cell r="A2">
            <v>43462</v>
          </cell>
        </row>
      </sheetData>
      <sheetData sheetId="6592">
        <row r="2">
          <cell r="A2">
            <v>43462</v>
          </cell>
        </row>
      </sheetData>
      <sheetData sheetId="6593">
        <row r="2">
          <cell r="A2">
            <v>43462</v>
          </cell>
        </row>
      </sheetData>
      <sheetData sheetId="6594">
        <row r="2">
          <cell r="A2">
            <v>43462</v>
          </cell>
        </row>
      </sheetData>
      <sheetData sheetId="6595">
        <row r="2">
          <cell r="A2">
            <v>43462</v>
          </cell>
        </row>
      </sheetData>
      <sheetData sheetId="6596">
        <row r="2">
          <cell r="A2">
            <v>43462</v>
          </cell>
        </row>
      </sheetData>
      <sheetData sheetId="6597">
        <row r="2">
          <cell r="A2">
            <v>43462</v>
          </cell>
        </row>
      </sheetData>
      <sheetData sheetId="6598">
        <row r="2">
          <cell r="A2" t="str">
            <v>Complete</v>
          </cell>
        </row>
      </sheetData>
      <sheetData sheetId="6599">
        <row r="2">
          <cell r="A2" t="str">
            <v>Complete</v>
          </cell>
        </row>
      </sheetData>
      <sheetData sheetId="6600">
        <row r="2">
          <cell r="A2" t="str">
            <v>Complete</v>
          </cell>
        </row>
      </sheetData>
      <sheetData sheetId="6601">
        <row r="2">
          <cell r="A2" t="str">
            <v>Complete</v>
          </cell>
        </row>
      </sheetData>
      <sheetData sheetId="6602">
        <row r="2">
          <cell r="A2" t="str">
            <v>Complete</v>
          </cell>
        </row>
      </sheetData>
      <sheetData sheetId="6603">
        <row r="2">
          <cell r="A2" t="str">
            <v>Complete</v>
          </cell>
        </row>
      </sheetData>
      <sheetData sheetId="6604">
        <row r="2">
          <cell r="A2" t="str">
            <v>Complete</v>
          </cell>
        </row>
      </sheetData>
      <sheetData sheetId="6605">
        <row r="2">
          <cell r="A2" t="str">
            <v>Complete</v>
          </cell>
        </row>
      </sheetData>
      <sheetData sheetId="6606">
        <row r="2">
          <cell r="A2" t="str">
            <v>Complete</v>
          </cell>
        </row>
      </sheetData>
      <sheetData sheetId="6607">
        <row r="2">
          <cell r="A2" t="str">
            <v>Complete</v>
          </cell>
        </row>
      </sheetData>
      <sheetData sheetId="6608">
        <row r="2">
          <cell r="A2" t="str">
            <v>Complete</v>
          </cell>
        </row>
      </sheetData>
      <sheetData sheetId="6609">
        <row r="2">
          <cell r="A2" t="str">
            <v>Complete</v>
          </cell>
        </row>
      </sheetData>
      <sheetData sheetId="6610">
        <row r="2">
          <cell r="A2" t="str">
            <v>Complete</v>
          </cell>
        </row>
      </sheetData>
      <sheetData sheetId="6611">
        <row r="2">
          <cell r="A2" t="str">
            <v>Complete</v>
          </cell>
        </row>
      </sheetData>
      <sheetData sheetId="6612">
        <row r="2">
          <cell r="A2" t="str">
            <v>Complete</v>
          </cell>
        </row>
      </sheetData>
      <sheetData sheetId="6613">
        <row r="2">
          <cell r="A2" t="str">
            <v>Complete</v>
          </cell>
        </row>
      </sheetData>
      <sheetData sheetId="6614">
        <row r="2">
          <cell r="A2" t="str">
            <v>Complete</v>
          </cell>
        </row>
      </sheetData>
      <sheetData sheetId="6615">
        <row r="2">
          <cell r="A2" t="str">
            <v>Complete</v>
          </cell>
        </row>
      </sheetData>
      <sheetData sheetId="6616">
        <row r="2">
          <cell r="A2" t="str">
            <v>Complete</v>
          </cell>
        </row>
      </sheetData>
      <sheetData sheetId="6617">
        <row r="2">
          <cell r="A2" t="str">
            <v>Complete</v>
          </cell>
        </row>
      </sheetData>
      <sheetData sheetId="6618">
        <row r="2">
          <cell r="A2" t="str">
            <v>Complete</v>
          </cell>
        </row>
      </sheetData>
      <sheetData sheetId="6619">
        <row r="2">
          <cell r="A2" t="str">
            <v>Complete</v>
          </cell>
        </row>
      </sheetData>
      <sheetData sheetId="6620">
        <row r="2">
          <cell r="A2" t="str">
            <v>Complete</v>
          </cell>
        </row>
      </sheetData>
      <sheetData sheetId="6621">
        <row r="2">
          <cell r="A2" t="str">
            <v>Complete</v>
          </cell>
        </row>
      </sheetData>
      <sheetData sheetId="6622">
        <row r="2">
          <cell r="A2" t="str">
            <v>Complete</v>
          </cell>
        </row>
      </sheetData>
      <sheetData sheetId="6623">
        <row r="2">
          <cell r="A2" t="str">
            <v>Complete</v>
          </cell>
        </row>
      </sheetData>
      <sheetData sheetId="6624">
        <row r="2">
          <cell r="A2" t="str">
            <v>Complete</v>
          </cell>
        </row>
      </sheetData>
      <sheetData sheetId="6625">
        <row r="2">
          <cell r="A2" t="str">
            <v>Complete</v>
          </cell>
        </row>
      </sheetData>
      <sheetData sheetId="6626">
        <row r="2">
          <cell r="A2" t="str">
            <v>Complete</v>
          </cell>
        </row>
      </sheetData>
      <sheetData sheetId="6627">
        <row r="2">
          <cell r="A2" t="str">
            <v>Complete</v>
          </cell>
        </row>
      </sheetData>
      <sheetData sheetId="6628">
        <row r="2">
          <cell r="A2" t="str">
            <v>Complete</v>
          </cell>
        </row>
      </sheetData>
      <sheetData sheetId="6629">
        <row r="2">
          <cell r="A2" t="str">
            <v>Complete</v>
          </cell>
        </row>
      </sheetData>
      <sheetData sheetId="6630">
        <row r="2">
          <cell r="A2" t="str">
            <v>Complete</v>
          </cell>
        </row>
      </sheetData>
      <sheetData sheetId="6631">
        <row r="2">
          <cell r="A2" t="str">
            <v>Complete</v>
          </cell>
        </row>
      </sheetData>
      <sheetData sheetId="6632">
        <row r="2">
          <cell r="A2" t="str">
            <v>Complete</v>
          </cell>
        </row>
      </sheetData>
      <sheetData sheetId="6633">
        <row r="2">
          <cell r="A2" t="str">
            <v>Complete</v>
          </cell>
        </row>
      </sheetData>
      <sheetData sheetId="6634">
        <row r="2">
          <cell r="A2" t="str">
            <v>Complete</v>
          </cell>
        </row>
      </sheetData>
      <sheetData sheetId="6635">
        <row r="2">
          <cell r="A2" t="str">
            <v>Complete</v>
          </cell>
        </row>
      </sheetData>
      <sheetData sheetId="6636">
        <row r="2">
          <cell r="A2" t="str">
            <v>Complete</v>
          </cell>
        </row>
      </sheetData>
      <sheetData sheetId="6637">
        <row r="2">
          <cell r="A2" t="str">
            <v>Complete</v>
          </cell>
        </row>
      </sheetData>
      <sheetData sheetId="6638">
        <row r="2">
          <cell r="A2" t="str">
            <v>Complete</v>
          </cell>
        </row>
      </sheetData>
      <sheetData sheetId="6639">
        <row r="2">
          <cell r="A2" t="str">
            <v>Complete</v>
          </cell>
        </row>
      </sheetData>
      <sheetData sheetId="6640">
        <row r="2">
          <cell r="A2">
            <v>43462</v>
          </cell>
        </row>
      </sheetData>
      <sheetData sheetId="6641">
        <row r="2">
          <cell r="A2">
            <v>43462</v>
          </cell>
        </row>
      </sheetData>
      <sheetData sheetId="6642">
        <row r="2">
          <cell r="A2">
            <v>43462</v>
          </cell>
        </row>
      </sheetData>
      <sheetData sheetId="6643">
        <row r="2">
          <cell r="A2">
            <v>43462</v>
          </cell>
        </row>
      </sheetData>
      <sheetData sheetId="6644">
        <row r="2">
          <cell r="A2">
            <v>43462</v>
          </cell>
        </row>
      </sheetData>
      <sheetData sheetId="6645">
        <row r="2">
          <cell r="A2">
            <v>43462</v>
          </cell>
        </row>
      </sheetData>
      <sheetData sheetId="6646">
        <row r="2">
          <cell r="A2">
            <v>43462</v>
          </cell>
        </row>
      </sheetData>
      <sheetData sheetId="6647">
        <row r="2">
          <cell r="A2">
            <v>43462</v>
          </cell>
        </row>
      </sheetData>
      <sheetData sheetId="6648">
        <row r="2">
          <cell r="A2">
            <v>43462</v>
          </cell>
        </row>
      </sheetData>
      <sheetData sheetId="6649">
        <row r="2">
          <cell r="A2">
            <v>43462</v>
          </cell>
        </row>
      </sheetData>
      <sheetData sheetId="6650">
        <row r="2">
          <cell r="A2">
            <v>43462</v>
          </cell>
        </row>
      </sheetData>
      <sheetData sheetId="6651">
        <row r="2">
          <cell r="A2">
            <v>43462</v>
          </cell>
        </row>
      </sheetData>
      <sheetData sheetId="6652">
        <row r="2">
          <cell r="A2">
            <v>43462</v>
          </cell>
        </row>
      </sheetData>
      <sheetData sheetId="6653">
        <row r="2">
          <cell r="A2">
            <v>43462</v>
          </cell>
        </row>
      </sheetData>
      <sheetData sheetId="6654">
        <row r="2">
          <cell r="A2">
            <v>43462</v>
          </cell>
        </row>
      </sheetData>
      <sheetData sheetId="6655">
        <row r="2">
          <cell r="A2">
            <v>43462</v>
          </cell>
        </row>
      </sheetData>
      <sheetData sheetId="6656">
        <row r="2">
          <cell r="A2">
            <v>43462</v>
          </cell>
        </row>
      </sheetData>
      <sheetData sheetId="6657">
        <row r="2">
          <cell r="A2">
            <v>43462</v>
          </cell>
        </row>
      </sheetData>
      <sheetData sheetId="6658">
        <row r="2">
          <cell r="A2">
            <v>43462</v>
          </cell>
        </row>
      </sheetData>
      <sheetData sheetId="6659">
        <row r="2">
          <cell r="A2">
            <v>43462</v>
          </cell>
        </row>
      </sheetData>
      <sheetData sheetId="6660">
        <row r="2">
          <cell r="A2">
            <v>43462</v>
          </cell>
        </row>
      </sheetData>
      <sheetData sheetId="6661">
        <row r="2">
          <cell r="A2">
            <v>43462</v>
          </cell>
        </row>
      </sheetData>
      <sheetData sheetId="6662">
        <row r="2">
          <cell r="A2">
            <v>43462</v>
          </cell>
        </row>
      </sheetData>
      <sheetData sheetId="6663">
        <row r="2">
          <cell r="A2">
            <v>43462</v>
          </cell>
        </row>
      </sheetData>
      <sheetData sheetId="6664">
        <row r="2">
          <cell r="A2">
            <v>43462</v>
          </cell>
        </row>
      </sheetData>
      <sheetData sheetId="6665">
        <row r="2">
          <cell r="A2">
            <v>43462</v>
          </cell>
        </row>
      </sheetData>
      <sheetData sheetId="6666">
        <row r="2">
          <cell r="A2">
            <v>43462</v>
          </cell>
        </row>
      </sheetData>
      <sheetData sheetId="6667">
        <row r="2">
          <cell r="A2">
            <v>43462</v>
          </cell>
        </row>
      </sheetData>
      <sheetData sheetId="6668">
        <row r="2">
          <cell r="A2">
            <v>43462</v>
          </cell>
        </row>
      </sheetData>
      <sheetData sheetId="6669">
        <row r="2">
          <cell r="A2">
            <v>43462</v>
          </cell>
        </row>
      </sheetData>
      <sheetData sheetId="6670">
        <row r="2">
          <cell r="A2">
            <v>43462</v>
          </cell>
        </row>
      </sheetData>
      <sheetData sheetId="6671">
        <row r="2">
          <cell r="A2">
            <v>43462</v>
          </cell>
        </row>
      </sheetData>
      <sheetData sheetId="6672">
        <row r="2">
          <cell r="A2">
            <v>43462</v>
          </cell>
        </row>
      </sheetData>
      <sheetData sheetId="6673">
        <row r="2">
          <cell r="A2">
            <v>43462</v>
          </cell>
        </row>
      </sheetData>
      <sheetData sheetId="6674">
        <row r="2">
          <cell r="A2">
            <v>43462</v>
          </cell>
        </row>
      </sheetData>
      <sheetData sheetId="6675">
        <row r="2">
          <cell r="A2">
            <v>43462</v>
          </cell>
        </row>
      </sheetData>
      <sheetData sheetId="6676">
        <row r="2">
          <cell r="A2">
            <v>43462</v>
          </cell>
        </row>
      </sheetData>
      <sheetData sheetId="6677">
        <row r="2">
          <cell r="A2">
            <v>43462</v>
          </cell>
        </row>
      </sheetData>
      <sheetData sheetId="6678">
        <row r="2">
          <cell r="A2">
            <v>43462</v>
          </cell>
        </row>
      </sheetData>
      <sheetData sheetId="6679">
        <row r="2">
          <cell r="A2">
            <v>43462</v>
          </cell>
        </row>
      </sheetData>
      <sheetData sheetId="6680">
        <row r="2">
          <cell r="A2" t="str">
            <v>Complete</v>
          </cell>
        </row>
      </sheetData>
      <sheetData sheetId="6681">
        <row r="2">
          <cell r="A2" t="str">
            <v>Complete</v>
          </cell>
        </row>
      </sheetData>
      <sheetData sheetId="6682">
        <row r="2">
          <cell r="A2" t="str">
            <v>Complete</v>
          </cell>
        </row>
      </sheetData>
      <sheetData sheetId="6683">
        <row r="2">
          <cell r="A2" t="str">
            <v>Complete</v>
          </cell>
        </row>
      </sheetData>
      <sheetData sheetId="6684">
        <row r="2">
          <cell r="A2" t="str">
            <v>Complete</v>
          </cell>
        </row>
      </sheetData>
      <sheetData sheetId="6685">
        <row r="2">
          <cell r="A2" t="str">
            <v>Complete</v>
          </cell>
        </row>
      </sheetData>
      <sheetData sheetId="6686">
        <row r="2">
          <cell r="A2" t="str">
            <v>Complete</v>
          </cell>
        </row>
      </sheetData>
      <sheetData sheetId="6687">
        <row r="2">
          <cell r="A2" t="str">
            <v>Complete</v>
          </cell>
        </row>
      </sheetData>
      <sheetData sheetId="6688">
        <row r="2">
          <cell r="A2" t="str">
            <v>Complete</v>
          </cell>
        </row>
      </sheetData>
      <sheetData sheetId="6689">
        <row r="2">
          <cell r="A2" t="str">
            <v>Complete</v>
          </cell>
        </row>
      </sheetData>
      <sheetData sheetId="6690">
        <row r="2">
          <cell r="A2" t="str">
            <v>Complete</v>
          </cell>
        </row>
      </sheetData>
      <sheetData sheetId="6691">
        <row r="2">
          <cell r="A2" t="str">
            <v>Complete</v>
          </cell>
        </row>
      </sheetData>
      <sheetData sheetId="6692">
        <row r="2">
          <cell r="A2" t="str">
            <v>Complete</v>
          </cell>
        </row>
      </sheetData>
      <sheetData sheetId="6693">
        <row r="2">
          <cell r="A2" t="str">
            <v>Complete</v>
          </cell>
        </row>
      </sheetData>
      <sheetData sheetId="6694">
        <row r="2">
          <cell r="A2" t="str">
            <v>Complete</v>
          </cell>
        </row>
      </sheetData>
      <sheetData sheetId="6695">
        <row r="2">
          <cell r="A2" t="str">
            <v>Complete</v>
          </cell>
        </row>
      </sheetData>
      <sheetData sheetId="6696">
        <row r="2">
          <cell r="A2" t="str">
            <v>Complete</v>
          </cell>
        </row>
      </sheetData>
      <sheetData sheetId="6697">
        <row r="2">
          <cell r="A2" t="str">
            <v>Complete</v>
          </cell>
        </row>
      </sheetData>
      <sheetData sheetId="6698">
        <row r="2">
          <cell r="A2" t="str">
            <v>Complete</v>
          </cell>
        </row>
      </sheetData>
      <sheetData sheetId="6699">
        <row r="2">
          <cell r="A2" t="str">
            <v>Complete</v>
          </cell>
        </row>
      </sheetData>
      <sheetData sheetId="6700">
        <row r="2">
          <cell r="A2" t="str">
            <v>Complete</v>
          </cell>
        </row>
      </sheetData>
      <sheetData sheetId="6701">
        <row r="2">
          <cell r="A2" t="str">
            <v>Complete</v>
          </cell>
        </row>
      </sheetData>
      <sheetData sheetId="6702">
        <row r="2">
          <cell r="A2" t="str">
            <v>Complete</v>
          </cell>
        </row>
      </sheetData>
      <sheetData sheetId="6703">
        <row r="2">
          <cell r="A2" t="str">
            <v>Complete</v>
          </cell>
        </row>
      </sheetData>
      <sheetData sheetId="6704">
        <row r="2">
          <cell r="A2" t="str">
            <v>Complete</v>
          </cell>
        </row>
      </sheetData>
      <sheetData sheetId="6705">
        <row r="2">
          <cell r="A2" t="str">
            <v>Complete</v>
          </cell>
        </row>
      </sheetData>
      <sheetData sheetId="6706">
        <row r="2">
          <cell r="A2" t="str">
            <v>Complete</v>
          </cell>
        </row>
      </sheetData>
      <sheetData sheetId="6707">
        <row r="2">
          <cell r="A2" t="str">
            <v>Complete</v>
          </cell>
        </row>
      </sheetData>
      <sheetData sheetId="6708">
        <row r="2">
          <cell r="A2" t="str">
            <v>Complete</v>
          </cell>
        </row>
      </sheetData>
      <sheetData sheetId="6709">
        <row r="2">
          <cell r="A2" t="str">
            <v>Complete</v>
          </cell>
        </row>
      </sheetData>
      <sheetData sheetId="6710">
        <row r="2">
          <cell r="A2" t="str">
            <v>Complete</v>
          </cell>
        </row>
      </sheetData>
      <sheetData sheetId="6711">
        <row r="2">
          <cell r="A2" t="str">
            <v>Complete</v>
          </cell>
        </row>
      </sheetData>
      <sheetData sheetId="6712">
        <row r="2">
          <cell r="A2" t="str">
            <v>Complete</v>
          </cell>
        </row>
      </sheetData>
      <sheetData sheetId="6713">
        <row r="2">
          <cell r="A2" t="str">
            <v>Complete</v>
          </cell>
        </row>
      </sheetData>
      <sheetData sheetId="6714">
        <row r="2">
          <cell r="A2" t="str">
            <v>Complete</v>
          </cell>
        </row>
      </sheetData>
      <sheetData sheetId="6715">
        <row r="2">
          <cell r="A2" t="str">
            <v>Complete</v>
          </cell>
        </row>
      </sheetData>
      <sheetData sheetId="6716">
        <row r="2">
          <cell r="A2" t="str">
            <v>Complete</v>
          </cell>
        </row>
      </sheetData>
      <sheetData sheetId="6717">
        <row r="2">
          <cell r="A2" t="str">
            <v>Complete</v>
          </cell>
        </row>
      </sheetData>
      <sheetData sheetId="6718">
        <row r="2">
          <cell r="A2" t="str">
            <v>Complete</v>
          </cell>
        </row>
      </sheetData>
      <sheetData sheetId="6719">
        <row r="2">
          <cell r="A2" t="str">
            <v>Complete</v>
          </cell>
        </row>
      </sheetData>
      <sheetData sheetId="6720">
        <row r="2">
          <cell r="A2" t="str">
            <v>Complete</v>
          </cell>
        </row>
      </sheetData>
      <sheetData sheetId="6721">
        <row r="2">
          <cell r="A2" t="str">
            <v>Complete</v>
          </cell>
        </row>
      </sheetData>
      <sheetData sheetId="6722">
        <row r="2">
          <cell r="A2" t="str">
            <v>Complete</v>
          </cell>
        </row>
      </sheetData>
      <sheetData sheetId="6723">
        <row r="2">
          <cell r="A2" t="str">
            <v>Complete</v>
          </cell>
        </row>
      </sheetData>
      <sheetData sheetId="6724">
        <row r="2">
          <cell r="A2" t="str">
            <v>Complete</v>
          </cell>
        </row>
      </sheetData>
      <sheetData sheetId="6725">
        <row r="2">
          <cell r="A2" t="str">
            <v>Complete</v>
          </cell>
        </row>
      </sheetData>
      <sheetData sheetId="6726">
        <row r="2">
          <cell r="A2" t="str">
            <v>Complete</v>
          </cell>
        </row>
      </sheetData>
      <sheetData sheetId="6727">
        <row r="2">
          <cell r="A2" t="str">
            <v>Complete</v>
          </cell>
        </row>
      </sheetData>
      <sheetData sheetId="6728">
        <row r="2">
          <cell r="A2" t="str">
            <v>Complete</v>
          </cell>
        </row>
      </sheetData>
      <sheetData sheetId="6729">
        <row r="2">
          <cell r="A2" t="str">
            <v>Complete</v>
          </cell>
        </row>
      </sheetData>
      <sheetData sheetId="6730">
        <row r="2">
          <cell r="A2" t="str">
            <v>Complete</v>
          </cell>
        </row>
      </sheetData>
      <sheetData sheetId="6731" refreshError="1"/>
      <sheetData sheetId="6732">
        <row r="2">
          <cell r="A2" t="str">
            <v>Complete</v>
          </cell>
        </row>
      </sheetData>
      <sheetData sheetId="6733">
        <row r="2">
          <cell r="A2" t="str">
            <v>Complete</v>
          </cell>
        </row>
      </sheetData>
      <sheetData sheetId="6734">
        <row r="2">
          <cell r="A2" t="str">
            <v>Complete</v>
          </cell>
        </row>
      </sheetData>
      <sheetData sheetId="6735">
        <row r="2">
          <cell r="A2" t="str">
            <v>Complete</v>
          </cell>
        </row>
      </sheetData>
      <sheetData sheetId="6736">
        <row r="2">
          <cell r="A2" t="str">
            <v>Complete</v>
          </cell>
        </row>
      </sheetData>
      <sheetData sheetId="6737">
        <row r="2">
          <cell r="A2" t="str">
            <v>Complete</v>
          </cell>
        </row>
      </sheetData>
      <sheetData sheetId="6738">
        <row r="2">
          <cell r="A2" t="str">
            <v>Complete</v>
          </cell>
        </row>
      </sheetData>
      <sheetData sheetId="6739">
        <row r="2">
          <cell r="A2" t="str">
            <v>Complete</v>
          </cell>
        </row>
      </sheetData>
      <sheetData sheetId="6740">
        <row r="2">
          <cell r="A2" t="str">
            <v>Complete</v>
          </cell>
        </row>
      </sheetData>
      <sheetData sheetId="6741">
        <row r="2">
          <cell r="A2" t="str">
            <v>Complete</v>
          </cell>
        </row>
      </sheetData>
      <sheetData sheetId="6742">
        <row r="2">
          <cell r="A2" t="str">
            <v>Complete</v>
          </cell>
        </row>
      </sheetData>
      <sheetData sheetId="6743">
        <row r="2">
          <cell r="A2" t="str">
            <v>Complete</v>
          </cell>
        </row>
      </sheetData>
      <sheetData sheetId="6744">
        <row r="2">
          <cell r="A2" t="str">
            <v>Complete</v>
          </cell>
        </row>
      </sheetData>
      <sheetData sheetId="6745">
        <row r="2">
          <cell r="A2">
            <v>43462</v>
          </cell>
        </row>
      </sheetData>
      <sheetData sheetId="6746">
        <row r="2">
          <cell r="A2">
            <v>43462</v>
          </cell>
        </row>
      </sheetData>
      <sheetData sheetId="6747">
        <row r="2">
          <cell r="A2">
            <v>43462</v>
          </cell>
        </row>
      </sheetData>
      <sheetData sheetId="6748">
        <row r="2">
          <cell r="A2">
            <v>43462</v>
          </cell>
        </row>
      </sheetData>
      <sheetData sheetId="6749">
        <row r="2">
          <cell r="A2">
            <v>43462</v>
          </cell>
        </row>
      </sheetData>
      <sheetData sheetId="6750">
        <row r="2">
          <cell r="A2">
            <v>43462</v>
          </cell>
        </row>
      </sheetData>
      <sheetData sheetId="6751">
        <row r="2">
          <cell r="A2">
            <v>43462</v>
          </cell>
        </row>
      </sheetData>
      <sheetData sheetId="6752">
        <row r="2">
          <cell r="A2">
            <v>43462</v>
          </cell>
        </row>
      </sheetData>
      <sheetData sheetId="6753">
        <row r="2">
          <cell r="A2">
            <v>43462</v>
          </cell>
        </row>
      </sheetData>
      <sheetData sheetId="6754">
        <row r="2">
          <cell r="A2">
            <v>43462</v>
          </cell>
        </row>
      </sheetData>
      <sheetData sheetId="6755">
        <row r="2">
          <cell r="A2">
            <v>43462</v>
          </cell>
        </row>
      </sheetData>
      <sheetData sheetId="6756">
        <row r="2">
          <cell r="A2">
            <v>43462</v>
          </cell>
        </row>
      </sheetData>
      <sheetData sheetId="6757">
        <row r="2">
          <cell r="A2">
            <v>43462</v>
          </cell>
        </row>
      </sheetData>
      <sheetData sheetId="6758">
        <row r="2">
          <cell r="A2">
            <v>43462</v>
          </cell>
        </row>
      </sheetData>
      <sheetData sheetId="6759">
        <row r="2">
          <cell r="A2">
            <v>43462</v>
          </cell>
        </row>
      </sheetData>
      <sheetData sheetId="6760">
        <row r="2">
          <cell r="A2">
            <v>43462</v>
          </cell>
        </row>
      </sheetData>
      <sheetData sheetId="6761">
        <row r="2">
          <cell r="A2">
            <v>43462</v>
          </cell>
        </row>
      </sheetData>
      <sheetData sheetId="6762">
        <row r="2">
          <cell r="A2">
            <v>43462</v>
          </cell>
        </row>
      </sheetData>
      <sheetData sheetId="6763">
        <row r="2">
          <cell r="A2" t="str">
            <v>Complete</v>
          </cell>
        </row>
      </sheetData>
      <sheetData sheetId="6764">
        <row r="2">
          <cell r="A2" t="str">
            <v>Complete</v>
          </cell>
        </row>
      </sheetData>
      <sheetData sheetId="6765">
        <row r="2">
          <cell r="A2" t="str">
            <v>Complete</v>
          </cell>
        </row>
      </sheetData>
      <sheetData sheetId="6766">
        <row r="2">
          <cell r="A2" t="str">
            <v>Complete</v>
          </cell>
        </row>
      </sheetData>
      <sheetData sheetId="6767">
        <row r="2">
          <cell r="A2" t="str">
            <v>Complete</v>
          </cell>
        </row>
      </sheetData>
      <sheetData sheetId="6768">
        <row r="2">
          <cell r="A2" t="str">
            <v>Complete</v>
          </cell>
        </row>
      </sheetData>
      <sheetData sheetId="6769">
        <row r="2">
          <cell r="A2" t="str">
            <v>Complete</v>
          </cell>
        </row>
      </sheetData>
      <sheetData sheetId="6770">
        <row r="2">
          <cell r="A2" t="str">
            <v>Complete</v>
          </cell>
        </row>
      </sheetData>
      <sheetData sheetId="6771">
        <row r="2">
          <cell r="A2" t="str">
            <v>Complete</v>
          </cell>
        </row>
      </sheetData>
      <sheetData sheetId="6772">
        <row r="2">
          <cell r="A2" t="str">
            <v>Complete</v>
          </cell>
        </row>
      </sheetData>
      <sheetData sheetId="6773">
        <row r="2">
          <cell r="A2" t="str">
            <v>Complete</v>
          </cell>
        </row>
      </sheetData>
      <sheetData sheetId="6774">
        <row r="2">
          <cell r="A2" t="str">
            <v>Complete</v>
          </cell>
        </row>
      </sheetData>
      <sheetData sheetId="6775">
        <row r="2">
          <cell r="A2" t="str">
            <v>Complete</v>
          </cell>
        </row>
      </sheetData>
      <sheetData sheetId="6776">
        <row r="2">
          <cell r="A2" t="str">
            <v>Complete</v>
          </cell>
        </row>
      </sheetData>
      <sheetData sheetId="6777">
        <row r="2">
          <cell r="A2" t="str">
            <v>Complete</v>
          </cell>
        </row>
      </sheetData>
      <sheetData sheetId="6778">
        <row r="2">
          <cell r="A2" t="str">
            <v>Complete</v>
          </cell>
        </row>
      </sheetData>
      <sheetData sheetId="6779">
        <row r="2">
          <cell r="A2" t="str">
            <v>Complete</v>
          </cell>
        </row>
      </sheetData>
      <sheetData sheetId="6780">
        <row r="2">
          <cell r="A2" t="str">
            <v>Complete</v>
          </cell>
        </row>
      </sheetData>
      <sheetData sheetId="6781">
        <row r="2">
          <cell r="A2" t="str">
            <v>Complete</v>
          </cell>
        </row>
      </sheetData>
      <sheetData sheetId="6782">
        <row r="2">
          <cell r="A2">
            <v>43462</v>
          </cell>
        </row>
      </sheetData>
      <sheetData sheetId="6783">
        <row r="2">
          <cell r="A2">
            <v>43462</v>
          </cell>
        </row>
      </sheetData>
      <sheetData sheetId="6784">
        <row r="2">
          <cell r="A2">
            <v>43462</v>
          </cell>
        </row>
      </sheetData>
      <sheetData sheetId="6785">
        <row r="2">
          <cell r="A2">
            <v>43462</v>
          </cell>
        </row>
      </sheetData>
      <sheetData sheetId="6786">
        <row r="2">
          <cell r="A2">
            <v>43462</v>
          </cell>
        </row>
      </sheetData>
      <sheetData sheetId="6787">
        <row r="2">
          <cell r="A2">
            <v>43462</v>
          </cell>
        </row>
      </sheetData>
      <sheetData sheetId="6788">
        <row r="2">
          <cell r="A2">
            <v>43462</v>
          </cell>
        </row>
      </sheetData>
      <sheetData sheetId="6789">
        <row r="2">
          <cell r="A2">
            <v>43462</v>
          </cell>
        </row>
      </sheetData>
      <sheetData sheetId="6790">
        <row r="2">
          <cell r="A2">
            <v>43462</v>
          </cell>
        </row>
      </sheetData>
      <sheetData sheetId="6791">
        <row r="2">
          <cell r="A2">
            <v>43462</v>
          </cell>
        </row>
      </sheetData>
      <sheetData sheetId="6792">
        <row r="2">
          <cell r="A2">
            <v>43462</v>
          </cell>
        </row>
      </sheetData>
      <sheetData sheetId="6793">
        <row r="2">
          <cell r="A2">
            <v>43462</v>
          </cell>
        </row>
      </sheetData>
      <sheetData sheetId="6794">
        <row r="2">
          <cell r="A2">
            <v>43462</v>
          </cell>
        </row>
      </sheetData>
      <sheetData sheetId="6795">
        <row r="2">
          <cell r="A2">
            <v>43462</v>
          </cell>
        </row>
      </sheetData>
      <sheetData sheetId="6796">
        <row r="2">
          <cell r="A2">
            <v>43462</v>
          </cell>
        </row>
      </sheetData>
      <sheetData sheetId="6797">
        <row r="2">
          <cell r="A2">
            <v>43462</v>
          </cell>
        </row>
      </sheetData>
      <sheetData sheetId="6798">
        <row r="2">
          <cell r="A2">
            <v>43462</v>
          </cell>
        </row>
      </sheetData>
      <sheetData sheetId="6799">
        <row r="2">
          <cell r="A2">
            <v>43462</v>
          </cell>
        </row>
      </sheetData>
      <sheetData sheetId="6800">
        <row r="2">
          <cell r="A2">
            <v>43462</v>
          </cell>
        </row>
      </sheetData>
      <sheetData sheetId="6801">
        <row r="2">
          <cell r="A2">
            <v>43462</v>
          </cell>
        </row>
      </sheetData>
      <sheetData sheetId="6802">
        <row r="2">
          <cell r="A2">
            <v>43462</v>
          </cell>
        </row>
      </sheetData>
      <sheetData sheetId="6803">
        <row r="2">
          <cell r="A2">
            <v>43462</v>
          </cell>
        </row>
      </sheetData>
      <sheetData sheetId="6804">
        <row r="2">
          <cell r="A2" t="str">
            <v>Complete</v>
          </cell>
        </row>
      </sheetData>
      <sheetData sheetId="6805">
        <row r="2">
          <cell r="A2" t="str">
            <v>Complete</v>
          </cell>
        </row>
      </sheetData>
      <sheetData sheetId="6806">
        <row r="2">
          <cell r="A2" t="str">
            <v>Complete</v>
          </cell>
        </row>
      </sheetData>
      <sheetData sheetId="6807">
        <row r="2">
          <cell r="A2" t="str">
            <v>Complete</v>
          </cell>
        </row>
      </sheetData>
      <sheetData sheetId="6808">
        <row r="2">
          <cell r="A2" t="str">
            <v>Complete</v>
          </cell>
        </row>
      </sheetData>
      <sheetData sheetId="6809">
        <row r="2">
          <cell r="A2" t="str">
            <v>Complete</v>
          </cell>
        </row>
      </sheetData>
      <sheetData sheetId="6810">
        <row r="2">
          <cell r="A2" t="str">
            <v>Complete</v>
          </cell>
        </row>
      </sheetData>
      <sheetData sheetId="6811">
        <row r="2">
          <cell r="A2" t="str">
            <v>Complete</v>
          </cell>
        </row>
      </sheetData>
      <sheetData sheetId="6812">
        <row r="2">
          <cell r="A2" t="str">
            <v>Complete</v>
          </cell>
        </row>
      </sheetData>
      <sheetData sheetId="6813">
        <row r="2">
          <cell r="A2" t="str">
            <v>Complete</v>
          </cell>
        </row>
      </sheetData>
      <sheetData sheetId="6814">
        <row r="2">
          <cell r="A2" t="str">
            <v>Complete</v>
          </cell>
        </row>
      </sheetData>
      <sheetData sheetId="6815">
        <row r="2">
          <cell r="A2" t="str">
            <v>Complete</v>
          </cell>
        </row>
      </sheetData>
      <sheetData sheetId="6816">
        <row r="2">
          <cell r="A2" t="str">
            <v>Complete</v>
          </cell>
        </row>
      </sheetData>
      <sheetData sheetId="6817">
        <row r="2">
          <cell r="A2" t="str">
            <v>Complete</v>
          </cell>
        </row>
      </sheetData>
      <sheetData sheetId="6818">
        <row r="2">
          <cell r="A2" t="str">
            <v>Complete</v>
          </cell>
        </row>
      </sheetData>
      <sheetData sheetId="6819">
        <row r="2">
          <cell r="A2" t="str">
            <v>Complete</v>
          </cell>
        </row>
      </sheetData>
      <sheetData sheetId="6820">
        <row r="2">
          <cell r="A2" t="str">
            <v>Complete</v>
          </cell>
        </row>
      </sheetData>
      <sheetData sheetId="6821">
        <row r="2">
          <cell r="A2" t="str">
            <v>Complete</v>
          </cell>
        </row>
      </sheetData>
      <sheetData sheetId="6822">
        <row r="2">
          <cell r="A2" t="str">
            <v>Complete</v>
          </cell>
        </row>
      </sheetData>
      <sheetData sheetId="6823">
        <row r="2">
          <cell r="A2">
            <v>43462</v>
          </cell>
        </row>
      </sheetData>
      <sheetData sheetId="6824">
        <row r="2">
          <cell r="A2">
            <v>43462</v>
          </cell>
        </row>
      </sheetData>
      <sheetData sheetId="6825">
        <row r="2">
          <cell r="A2">
            <v>43462</v>
          </cell>
        </row>
      </sheetData>
      <sheetData sheetId="6826">
        <row r="2">
          <cell r="A2">
            <v>43462</v>
          </cell>
        </row>
      </sheetData>
      <sheetData sheetId="6827">
        <row r="2">
          <cell r="A2">
            <v>43462</v>
          </cell>
        </row>
      </sheetData>
      <sheetData sheetId="6828">
        <row r="2">
          <cell r="A2">
            <v>43462</v>
          </cell>
        </row>
      </sheetData>
      <sheetData sheetId="6829">
        <row r="2">
          <cell r="A2">
            <v>43462</v>
          </cell>
        </row>
      </sheetData>
      <sheetData sheetId="6830">
        <row r="2">
          <cell r="A2">
            <v>43462</v>
          </cell>
        </row>
      </sheetData>
      <sheetData sheetId="6831">
        <row r="2">
          <cell r="A2">
            <v>43462</v>
          </cell>
        </row>
      </sheetData>
      <sheetData sheetId="6832">
        <row r="2">
          <cell r="A2">
            <v>43462</v>
          </cell>
        </row>
      </sheetData>
      <sheetData sheetId="6833">
        <row r="2">
          <cell r="A2">
            <v>43462</v>
          </cell>
        </row>
      </sheetData>
      <sheetData sheetId="6834">
        <row r="2">
          <cell r="A2">
            <v>43462</v>
          </cell>
        </row>
      </sheetData>
      <sheetData sheetId="6835">
        <row r="2">
          <cell r="A2">
            <v>43462</v>
          </cell>
        </row>
      </sheetData>
      <sheetData sheetId="6836">
        <row r="2">
          <cell r="A2">
            <v>43462</v>
          </cell>
        </row>
      </sheetData>
      <sheetData sheetId="6837">
        <row r="2">
          <cell r="A2">
            <v>43462</v>
          </cell>
        </row>
      </sheetData>
      <sheetData sheetId="6838">
        <row r="2">
          <cell r="A2">
            <v>43462</v>
          </cell>
        </row>
      </sheetData>
      <sheetData sheetId="6839">
        <row r="2">
          <cell r="A2">
            <v>43462</v>
          </cell>
        </row>
      </sheetData>
      <sheetData sheetId="6840">
        <row r="2">
          <cell r="A2">
            <v>43462</v>
          </cell>
        </row>
      </sheetData>
      <sheetData sheetId="6841">
        <row r="2">
          <cell r="A2">
            <v>43462</v>
          </cell>
        </row>
      </sheetData>
      <sheetData sheetId="6842">
        <row r="2">
          <cell r="A2">
            <v>43462</v>
          </cell>
        </row>
      </sheetData>
      <sheetData sheetId="6843">
        <row r="2">
          <cell r="A2">
            <v>43462</v>
          </cell>
        </row>
      </sheetData>
      <sheetData sheetId="6844">
        <row r="2">
          <cell r="A2">
            <v>43462</v>
          </cell>
        </row>
      </sheetData>
      <sheetData sheetId="6845">
        <row r="2">
          <cell r="A2" t="str">
            <v>Complete</v>
          </cell>
        </row>
      </sheetData>
      <sheetData sheetId="6846">
        <row r="2">
          <cell r="A2" t="str">
            <v>Complete</v>
          </cell>
        </row>
      </sheetData>
      <sheetData sheetId="6847">
        <row r="2">
          <cell r="A2" t="str">
            <v>Complete</v>
          </cell>
        </row>
      </sheetData>
      <sheetData sheetId="6848">
        <row r="2">
          <cell r="A2" t="str">
            <v>Complete</v>
          </cell>
        </row>
      </sheetData>
      <sheetData sheetId="6849">
        <row r="2">
          <cell r="A2" t="str">
            <v>Complete</v>
          </cell>
        </row>
      </sheetData>
      <sheetData sheetId="6850">
        <row r="2">
          <cell r="A2" t="str">
            <v>Complete</v>
          </cell>
        </row>
      </sheetData>
      <sheetData sheetId="6851">
        <row r="2">
          <cell r="A2" t="str">
            <v>Complete</v>
          </cell>
        </row>
      </sheetData>
      <sheetData sheetId="6852">
        <row r="2">
          <cell r="A2" t="str">
            <v>Complete</v>
          </cell>
        </row>
      </sheetData>
      <sheetData sheetId="6853">
        <row r="2">
          <cell r="A2" t="str">
            <v>Complete</v>
          </cell>
        </row>
      </sheetData>
      <sheetData sheetId="6854">
        <row r="2">
          <cell r="A2" t="str">
            <v>Complete</v>
          </cell>
        </row>
      </sheetData>
      <sheetData sheetId="6855">
        <row r="2">
          <cell r="A2" t="str">
            <v>Complete</v>
          </cell>
        </row>
      </sheetData>
      <sheetData sheetId="6856">
        <row r="2">
          <cell r="A2" t="str">
            <v>Complete</v>
          </cell>
        </row>
      </sheetData>
      <sheetData sheetId="6857">
        <row r="2">
          <cell r="A2" t="str">
            <v>Complete</v>
          </cell>
        </row>
      </sheetData>
      <sheetData sheetId="6858">
        <row r="2">
          <cell r="A2" t="str">
            <v>Complete</v>
          </cell>
        </row>
      </sheetData>
      <sheetData sheetId="6859">
        <row r="2">
          <cell r="A2" t="str">
            <v>Complete</v>
          </cell>
        </row>
      </sheetData>
      <sheetData sheetId="6860">
        <row r="2">
          <cell r="A2" t="str">
            <v>Complete</v>
          </cell>
        </row>
      </sheetData>
      <sheetData sheetId="6861">
        <row r="2">
          <cell r="A2" t="str">
            <v>Complete</v>
          </cell>
        </row>
      </sheetData>
      <sheetData sheetId="6862">
        <row r="2">
          <cell r="A2" t="str">
            <v>Complete</v>
          </cell>
        </row>
      </sheetData>
      <sheetData sheetId="6863">
        <row r="2">
          <cell r="A2" t="str">
            <v>Complete</v>
          </cell>
        </row>
      </sheetData>
      <sheetData sheetId="6864">
        <row r="2">
          <cell r="A2">
            <v>43462</v>
          </cell>
        </row>
      </sheetData>
      <sheetData sheetId="6865">
        <row r="2">
          <cell r="A2">
            <v>43462</v>
          </cell>
        </row>
      </sheetData>
      <sheetData sheetId="6866">
        <row r="2">
          <cell r="A2">
            <v>43462</v>
          </cell>
        </row>
      </sheetData>
      <sheetData sheetId="6867">
        <row r="2">
          <cell r="A2">
            <v>43462</v>
          </cell>
        </row>
      </sheetData>
      <sheetData sheetId="6868">
        <row r="2">
          <cell r="A2">
            <v>43462</v>
          </cell>
        </row>
      </sheetData>
      <sheetData sheetId="6869">
        <row r="2">
          <cell r="A2">
            <v>43462</v>
          </cell>
        </row>
      </sheetData>
      <sheetData sheetId="6870">
        <row r="2">
          <cell r="A2">
            <v>43462</v>
          </cell>
        </row>
      </sheetData>
      <sheetData sheetId="6871">
        <row r="2">
          <cell r="A2">
            <v>43462</v>
          </cell>
        </row>
      </sheetData>
      <sheetData sheetId="6872">
        <row r="2">
          <cell r="A2">
            <v>43462</v>
          </cell>
        </row>
      </sheetData>
      <sheetData sheetId="6873">
        <row r="2">
          <cell r="A2">
            <v>43462</v>
          </cell>
        </row>
      </sheetData>
      <sheetData sheetId="6874">
        <row r="2">
          <cell r="A2">
            <v>43462</v>
          </cell>
        </row>
      </sheetData>
      <sheetData sheetId="6875">
        <row r="2">
          <cell r="A2">
            <v>43462</v>
          </cell>
        </row>
      </sheetData>
      <sheetData sheetId="6876">
        <row r="2">
          <cell r="A2">
            <v>43462</v>
          </cell>
        </row>
      </sheetData>
      <sheetData sheetId="6877">
        <row r="2">
          <cell r="A2">
            <v>43462</v>
          </cell>
        </row>
      </sheetData>
      <sheetData sheetId="6878">
        <row r="2">
          <cell r="A2">
            <v>43462</v>
          </cell>
        </row>
      </sheetData>
      <sheetData sheetId="6879">
        <row r="2">
          <cell r="A2">
            <v>43462</v>
          </cell>
        </row>
      </sheetData>
      <sheetData sheetId="6880">
        <row r="2">
          <cell r="A2">
            <v>43462</v>
          </cell>
        </row>
      </sheetData>
      <sheetData sheetId="6881">
        <row r="2">
          <cell r="A2">
            <v>43462</v>
          </cell>
        </row>
      </sheetData>
      <sheetData sheetId="6882">
        <row r="2">
          <cell r="A2">
            <v>43462</v>
          </cell>
        </row>
      </sheetData>
      <sheetData sheetId="6883">
        <row r="2">
          <cell r="A2">
            <v>43462</v>
          </cell>
        </row>
      </sheetData>
      <sheetData sheetId="6884">
        <row r="2">
          <cell r="A2">
            <v>43462</v>
          </cell>
        </row>
      </sheetData>
      <sheetData sheetId="6885">
        <row r="2">
          <cell r="A2">
            <v>43462</v>
          </cell>
        </row>
      </sheetData>
      <sheetData sheetId="6886">
        <row r="2">
          <cell r="A2" t="str">
            <v>Complete</v>
          </cell>
        </row>
      </sheetData>
      <sheetData sheetId="6887">
        <row r="2">
          <cell r="A2" t="str">
            <v>Complete</v>
          </cell>
        </row>
      </sheetData>
      <sheetData sheetId="6888">
        <row r="2">
          <cell r="A2" t="str">
            <v>Complete</v>
          </cell>
        </row>
      </sheetData>
      <sheetData sheetId="6889">
        <row r="2">
          <cell r="A2" t="str">
            <v>Complete</v>
          </cell>
        </row>
      </sheetData>
      <sheetData sheetId="6890">
        <row r="2">
          <cell r="A2" t="str">
            <v>Complete</v>
          </cell>
        </row>
      </sheetData>
      <sheetData sheetId="6891">
        <row r="2">
          <cell r="A2" t="str">
            <v>Complete</v>
          </cell>
        </row>
      </sheetData>
      <sheetData sheetId="6892">
        <row r="2">
          <cell r="A2" t="str">
            <v>Complete</v>
          </cell>
        </row>
      </sheetData>
      <sheetData sheetId="6893">
        <row r="2">
          <cell r="A2" t="str">
            <v>Complete</v>
          </cell>
        </row>
      </sheetData>
      <sheetData sheetId="6894">
        <row r="2">
          <cell r="A2" t="str">
            <v>Complete</v>
          </cell>
        </row>
      </sheetData>
      <sheetData sheetId="6895">
        <row r="2">
          <cell r="A2" t="str">
            <v>Complete</v>
          </cell>
        </row>
      </sheetData>
      <sheetData sheetId="6896">
        <row r="2">
          <cell r="A2" t="str">
            <v>Complete</v>
          </cell>
        </row>
      </sheetData>
      <sheetData sheetId="6897">
        <row r="2">
          <cell r="A2" t="str">
            <v>Complete</v>
          </cell>
        </row>
      </sheetData>
      <sheetData sheetId="6898">
        <row r="2">
          <cell r="A2" t="str">
            <v>Complete</v>
          </cell>
        </row>
      </sheetData>
      <sheetData sheetId="6899">
        <row r="2">
          <cell r="A2" t="str">
            <v>Complete</v>
          </cell>
        </row>
      </sheetData>
      <sheetData sheetId="6900">
        <row r="2">
          <cell r="A2" t="str">
            <v>Complete</v>
          </cell>
        </row>
      </sheetData>
      <sheetData sheetId="6901">
        <row r="2">
          <cell r="A2" t="str">
            <v>Complete</v>
          </cell>
        </row>
      </sheetData>
      <sheetData sheetId="6902">
        <row r="2">
          <cell r="A2" t="str">
            <v>Complete</v>
          </cell>
        </row>
      </sheetData>
      <sheetData sheetId="6903">
        <row r="2">
          <cell r="A2" t="str">
            <v>Complete</v>
          </cell>
        </row>
      </sheetData>
      <sheetData sheetId="6904">
        <row r="2">
          <cell r="A2" t="str">
            <v>Complete</v>
          </cell>
        </row>
      </sheetData>
      <sheetData sheetId="6905">
        <row r="2">
          <cell r="A2">
            <v>43462</v>
          </cell>
        </row>
      </sheetData>
      <sheetData sheetId="6906">
        <row r="2">
          <cell r="A2">
            <v>43462</v>
          </cell>
        </row>
      </sheetData>
      <sheetData sheetId="6907">
        <row r="2">
          <cell r="A2">
            <v>43462</v>
          </cell>
        </row>
      </sheetData>
      <sheetData sheetId="6908">
        <row r="2">
          <cell r="A2">
            <v>43462</v>
          </cell>
        </row>
      </sheetData>
      <sheetData sheetId="6909">
        <row r="2">
          <cell r="A2">
            <v>43462</v>
          </cell>
        </row>
      </sheetData>
      <sheetData sheetId="6910">
        <row r="2">
          <cell r="A2">
            <v>43462</v>
          </cell>
        </row>
      </sheetData>
      <sheetData sheetId="6911">
        <row r="2">
          <cell r="A2">
            <v>43462</v>
          </cell>
        </row>
      </sheetData>
      <sheetData sheetId="6912">
        <row r="2">
          <cell r="A2">
            <v>43462</v>
          </cell>
        </row>
      </sheetData>
      <sheetData sheetId="6913">
        <row r="2">
          <cell r="A2">
            <v>43462</v>
          </cell>
        </row>
      </sheetData>
      <sheetData sheetId="6914">
        <row r="2">
          <cell r="A2">
            <v>43462</v>
          </cell>
        </row>
      </sheetData>
      <sheetData sheetId="6915">
        <row r="2">
          <cell r="A2">
            <v>43462</v>
          </cell>
        </row>
      </sheetData>
      <sheetData sheetId="6916">
        <row r="2">
          <cell r="A2">
            <v>43462</v>
          </cell>
        </row>
      </sheetData>
      <sheetData sheetId="6917">
        <row r="2">
          <cell r="A2">
            <v>43462</v>
          </cell>
        </row>
      </sheetData>
      <sheetData sheetId="6918">
        <row r="2">
          <cell r="A2">
            <v>43462</v>
          </cell>
        </row>
      </sheetData>
      <sheetData sheetId="6919">
        <row r="2">
          <cell r="A2">
            <v>43462</v>
          </cell>
        </row>
      </sheetData>
      <sheetData sheetId="6920">
        <row r="2">
          <cell r="A2">
            <v>43462</v>
          </cell>
        </row>
      </sheetData>
      <sheetData sheetId="6921">
        <row r="2">
          <cell r="A2">
            <v>43462</v>
          </cell>
        </row>
      </sheetData>
      <sheetData sheetId="6922">
        <row r="2">
          <cell r="A2">
            <v>43462</v>
          </cell>
        </row>
      </sheetData>
      <sheetData sheetId="6923">
        <row r="2">
          <cell r="A2">
            <v>43462</v>
          </cell>
        </row>
      </sheetData>
      <sheetData sheetId="6924">
        <row r="2">
          <cell r="A2">
            <v>43462</v>
          </cell>
        </row>
      </sheetData>
      <sheetData sheetId="6925">
        <row r="2">
          <cell r="A2">
            <v>43462</v>
          </cell>
        </row>
      </sheetData>
      <sheetData sheetId="6926">
        <row r="2">
          <cell r="A2">
            <v>43462</v>
          </cell>
        </row>
      </sheetData>
      <sheetData sheetId="6927">
        <row r="2">
          <cell r="A2" t="str">
            <v>Complete</v>
          </cell>
        </row>
      </sheetData>
      <sheetData sheetId="6928">
        <row r="2">
          <cell r="A2" t="str">
            <v>Complete</v>
          </cell>
        </row>
      </sheetData>
      <sheetData sheetId="6929">
        <row r="2">
          <cell r="A2" t="str">
            <v>Complete</v>
          </cell>
        </row>
      </sheetData>
      <sheetData sheetId="6930">
        <row r="2">
          <cell r="A2" t="str">
            <v>Complete</v>
          </cell>
        </row>
      </sheetData>
      <sheetData sheetId="6931">
        <row r="2">
          <cell r="A2" t="str">
            <v>Complete</v>
          </cell>
        </row>
      </sheetData>
      <sheetData sheetId="6932">
        <row r="2">
          <cell r="A2" t="str">
            <v>Complete</v>
          </cell>
        </row>
      </sheetData>
      <sheetData sheetId="6933">
        <row r="2">
          <cell r="A2" t="str">
            <v>Complete</v>
          </cell>
        </row>
      </sheetData>
      <sheetData sheetId="6934">
        <row r="2">
          <cell r="A2" t="str">
            <v>Complete</v>
          </cell>
        </row>
      </sheetData>
      <sheetData sheetId="6935">
        <row r="2">
          <cell r="A2" t="str">
            <v>Complete</v>
          </cell>
        </row>
      </sheetData>
      <sheetData sheetId="6936">
        <row r="2">
          <cell r="A2" t="str">
            <v>Complete</v>
          </cell>
        </row>
      </sheetData>
      <sheetData sheetId="6937">
        <row r="2">
          <cell r="A2" t="str">
            <v>Complete</v>
          </cell>
        </row>
      </sheetData>
      <sheetData sheetId="6938">
        <row r="2">
          <cell r="A2" t="str">
            <v>Complete</v>
          </cell>
        </row>
      </sheetData>
      <sheetData sheetId="6939">
        <row r="2">
          <cell r="A2" t="str">
            <v>Complete</v>
          </cell>
        </row>
      </sheetData>
      <sheetData sheetId="6940">
        <row r="2">
          <cell r="A2" t="str">
            <v>Complete</v>
          </cell>
        </row>
      </sheetData>
      <sheetData sheetId="6941">
        <row r="2">
          <cell r="A2" t="str">
            <v>Complete</v>
          </cell>
        </row>
      </sheetData>
      <sheetData sheetId="6942">
        <row r="2">
          <cell r="A2" t="str">
            <v>Complete</v>
          </cell>
        </row>
      </sheetData>
      <sheetData sheetId="6943">
        <row r="2">
          <cell r="A2" t="str">
            <v>Complete</v>
          </cell>
        </row>
      </sheetData>
      <sheetData sheetId="6944">
        <row r="2">
          <cell r="A2" t="str">
            <v>Complete</v>
          </cell>
        </row>
      </sheetData>
      <sheetData sheetId="6945">
        <row r="2">
          <cell r="A2" t="str">
            <v>Complete</v>
          </cell>
        </row>
      </sheetData>
      <sheetData sheetId="6946">
        <row r="2">
          <cell r="A2">
            <v>43462</v>
          </cell>
        </row>
      </sheetData>
      <sheetData sheetId="6947">
        <row r="2">
          <cell r="A2">
            <v>43462</v>
          </cell>
        </row>
      </sheetData>
      <sheetData sheetId="6948">
        <row r="2">
          <cell r="A2">
            <v>43462</v>
          </cell>
        </row>
      </sheetData>
      <sheetData sheetId="6949">
        <row r="2">
          <cell r="A2">
            <v>43462</v>
          </cell>
        </row>
      </sheetData>
      <sheetData sheetId="6950">
        <row r="2">
          <cell r="A2">
            <v>43462</v>
          </cell>
        </row>
      </sheetData>
      <sheetData sheetId="6951">
        <row r="2">
          <cell r="A2">
            <v>43462</v>
          </cell>
        </row>
      </sheetData>
      <sheetData sheetId="6952">
        <row r="2">
          <cell r="A2">
            <v>43462</v>
          </cell>
        </row>
      </sheetData>
      <sheetData sheetId="6953">
        <row r="2">
          <cell r="A2">
            <v>43462</v>
          </cell>
        </row>
      </sheetData>
      <sheetData sheetId="6954">
        <row r="2">
          <cell r="A2">
            <v>43462</v>
          </cell>
        </row>
      </sheetData>
      <sheetData sheetId="6955">
        <row r="2">
          <cell r="A2">
            <v>43462</v>
          </cell>
        </row>
      </sheetData>
      <sheetData sheetId="6956">
        <row r="2">
          <cell r="A2">
            <v>43462</v>
          </cell>
        </row>
      </sheetData>
      <sheetData sheetId="6957">
        <row r="2">
          <cell r="A2">
            <v>43462</v>
          </cell>
        </row>
      </sheetData>
      <sheetData sheetId="6958">
        <row r="2">
          <cell r="A2">
            <v>43462</v>
          </cell>
        </row>
      </sheetData>
      <sheetData sheetId="6959">
        <row r="2">
          <cell r="A2">
            <v>43462</v>
          </cell>
        </row>
      </sheetData>
      <sheetData sheetId="6960">
        <row r="2">
          <cell r="A2">
            <v>43462</v>
          </cell>
        </row>
      </sheetData>
      <sheetData sheetId="6961">
        <row r="2">
          <cell r="A2">
            <v>43462</v>
          </cell>
        </row>
      </sheetData>
      <sheetData sheetId="6962">
        <row r="2">
          <cell r="A2">
            <v>43462</v>
          </cell>
        </row>
      </sheetData>
      <sheetData sheetId="6963">
        <row r="2">
          <cell r="A2">
            <v>43462</v>
          </cell>
        </row>
      </sheetData>
      <sheetData sheetId="6964">
        <row r="2">
          <cell r="A2">
            <v>43462</v>
          </cell>
        </row>
      </sheetData>
      <sheetData sheetId="6965">
        <row r="2">
          <cell r="A2">
            <v>43462</v>
          </cell>
        </row>
      </sheetData>
      <sheetData sheetId="6966">
        <row r="2">
          <cell r="A2">
            <v>43462</v>
          </cell>
        </row>
      </sheetData>
      <sheetData sheetId="6967">
        <row r="2">
          <cell r="A2">
            <v>43462</v>
          </cell>
        </row>
      </sheetData>
      <sheetData sheetId="6968">
        <row r="2">
          <cell r="A2" t="str">
            <v>Complete</v>
          </cell>
        </row>
      </sheetData>
      <sheetData sheetId="6969">
        <row r="2">
          <cell r="A2" t="str">
            <v>Complete</v>
          </cell>
        </row>
      </sheetData>
      <sheetData sheetId="6970">
        <row r="2">
          <cell r="A2" t="str">
            <v>Complete</v>
          </cell>
        </row>
      </sheetData>
      <sheetData sheetId="6971">
        <row r="2">
          <cell r="A2" t="str">
            <v>Complete</v>
          </cell>
        </row>
      </sheetData>
      <sheetData sheetId="6972">
        <row r="2">
          <cell r="A2" t="str">
            <v>Complete</v>
          </cell>
        </row>
      </sheetData>
      <sheetData sheetId="6973">
        <row r="2">
          <cell r="A2" t="str">
            <v>Complete</v>
          </cell>
        </row>
      </sheetData>
      <sheetData sheetId="6974">
        <row r="2">
          <cell r="A2" t="str">
            <v>Complete</v>
          </cell>
        </row>
      </sheetData>
      <sheetData sheetId="6975">
        <row r="2">
          <cell r="A2" t="str">
            <v>Complete</v>
          </cell>
        </row>
      </sheetData>
      <sheetData sheetId="6976">
        <row r="2">
          <cell r="A2" t="str">
            <v>Complete</v>
          </cell>
        </row>
      </sheetData>
      <sheetData sheetId="6977">
        <row r="2">
          <cell r="A2" t="str">
            <v>Complete</v>
          </cell>
        </row>
      </sheetData>
      <sheetData sheetId="6978">
        <row r="2">
          <cell r="A2" t="str">
            <v>Complete</v>
          </cell>
        </row>
      </sheetData>
      <sheetData sheetId="6979">
        <row r="2">
          <cell r="A2" t="str">
            <v>Complete</v>
          </cell>
        </row>
      </sheetData>
      <sheetData sheetId="6980">
        <row r="2">
          <cell r="A2" t="str">
            <v>Complete</v>
          </cell>
        </row>
      </sheetData>
      <sheetData sheetId="6981">
        <row r="2">
          <cell r="A2" t="str">
            <v>Complete</v>
          </cell>
        </row>
      </sheetData>
      <sheetData sheetId="6982">
        <row r="2">
          <cell r="A2" t="str">
            <v>Complete</v>
          </cell>
        </row>
      </sheetData>
      <sheetData sheetId="6983">
        <row r="2">
          <cell r="A2" t="str">
            <v>Complete</v>
          </cell>
        </row>
      </sheetData>
      <sheetData sheetId="6984">
        <row r="2">
          <cell r="A2" t="str">
            <v>Complete</v>
          </cell>
        </row>
      </sheetData>
      <sheetData sheetId="6985">
        <row r="2">
          <cell r="A2" t="str">
            <v>Complete</v>
          </cell>
        </row>
      </sheetData>
      <sheetData sheetId="6986">
        <row r="2">
          <cell r="A2" t="str">
            <v>Complete</v>
          </cell>
        </row>
      </sheetData>
      <sheetData sheetId="6987">
        <row r="2">
          <cell r="A2">
            <v>43462</v>
          </cell>
        </row>
      </sheetData>
      <sheetData sheetId="6988">
        <row r="2">
          <cell r="A2">
            <v>43462</v>
          </cell>
        </row>
      </sheetData>
      <sheetData sheetId="6989">
        <row r="2">
          <cell r="A2">
            <v>43462</v>
          </cell>
        </row>
      </sheetData>
      <sheetData sheetId="6990">
        <row r="2">
          <cell r="A2">
            <v>43462</v>
          </cell>
        </row>
      </sheetData>
      <sheetData sheetId="6991">
        <row r="2">
          <cell r="A2">
            <v>43462</v>
          </cell>
        </row>
      </sheetData>
      <sheetData sheetId="6992">
        <row r="2">
          <cell r="A2">
            <v>43462</v>
          </cell>
        </row>
      </sheetData>
      <sheetData sheetId="6993">
        <row r="2">
          <cell r="A2">
            <v>43462</v>
          </cell>
        </row>
      </sheetData>
      <sheetData sheetId="6994">
        <row r="2">
          <cell r="A2">
            <v>43462</v>
          </cell>
        </row>
      </sheetData>
      <sheetData sheetId="6995">
        <row r="2">
          <cell r="A2">
            <v>43462</v>
          </cell>
        </row>
      </sheetData>
      <sheetData sheetId="6996">
        <row r="2">
          <cell r="A2">
            <v>43462</v>
          </cell>
        </row>
      </sheetData>
      <sheetData sheetId="6997">
        <row r="2">
          <cell r="A2">
            <v>43462</v>
          </cell>
        </row>
      </sheetData>
      <sheetData sheetId="6998">
        <row r="2">
          <cell r="A2">
            <v>43462</v>
          </cell>
        </row>
      </sheetData>
      <sheetData sheetId="6999">
        <row r="2">
          <cell r="A2">
            <v>43462</v>
          </cell>
        </row>
      </sheetData>
      <sheetData sheetId="7000">
        <row r="2">
          <cell r="A2">
            <v>43462</v>
          </cell>
        </row>
      </sheetData>
      <sheetData sheetId="7001">
        <row r="2">
          <cell r="A2">
            <v>43462</v>
          </cell>
        </row>
      </sheetData>
      <sheetData sheetId="7002">
        <row r="2">
          <cell r="A2">
            <v>43462</v>
          </cell>
        </row>
      </sheetData>
      <sheetData sheetId="7003">
        <row r="2">
          <cell r="A2">
            <v>43462</v>
          </cell>
        </row>
      </sheetData>
      <sheetData sheetId="7004">
        <row r="2">
          <cell r="A2">
            <v>43462</v>
          </cell>
        </row>
      </sheetData>
      <sheetData sheetId="7005">
        <row r="2">
          <cell r="A2">
            <v>43462</v>
          </cell>
        </row>
      </sheetData>
      <sheetData sheetId="7006">
        <row r="2">
          <cell r="A2">
            <v>43462</v>
          </cell>
        </row>
      </sheetData>
      <sheetData sheetId="7007">
        <row r="2">
          <cell r="A2" t="str">
            <v>Complete</v>
          </cell>
        </row>
      </sheetData>
      <sheetData sheetId="7008">
        <row r="2">
          <cell r="A2">
            <v>43462</v>
          </cell>
        </row>
      </sheetData>
      <sheetData sheetId="7009">
        <row r="2">
          <cell r="A2" t="str">
            <v>Complete</v>
          </cell>
        </row>
      </sheetData>
      <sheetData sheetId="7010">
        <row r="2">
          <cell r="A2" t="str">
            <v>Complete</v>
          </cell>
        </row>
      </sheetData>
      <sheetData sheetId="7011">
        <row r="2">
          <cell r="A2" t="str">
            <v>Complete</v>
          </cell>
        </row>
      </sheetData>
      <sheetData sheetId="7012">
        <row r="2">
          <cell r="A2" t="str">
            <v>Complete</v>
          </cell>
        </row>
      </sheetData>
      <sheetData sheetId="7013">
        <row r="2">
          <cell r="A2" t="str">
            <v>Complete</v>
          </cell>
        </row>
      </sheetData>
      <sheetData sheetId="7014">
        <row r="2">
          <cell r="A2" t="str">
            <v>Complete</v>
          </cell>
        </row>
      </sheetData>
      <sheetData sheetId="7015">
        <row r="2">
          <cell r="A2" t="str">
            <v>Complete</v>
          </cell>
        </row>
      </sheetData>
      <sheetData sheetId="7016">
        <row r="2">
          <cell r="A2" t="str">
            <v>Complete</v>
          </cell>
        </row>
      </sheetData>
      <sheetData sheetId="7017">
        <row r="2">
          <cell r="A2" t="str">
            <v>Complete</v>
          </cell>
        </row>
      </sheetData>
      <sheetData sheetId="7018">
        <row r="2">
          <cell r="A2" t="str">
            <v>Complete</v>
          </cell>
        </row>
      </sheetData>
      <sheetData sheetId="7019">
        <row r="2">
          <cell r="A2" t="str">
            <v>Complete</v>
          </cell>
        </row>
      </sheetData>
      <sheetData sheetId="7020">
        <row r="2">
          <cell r="A2" t="str">
            <v>Complete</v>
          </cell>
        </row>
      </sheetData>
      <sheetData sheetId="7021">
        <row r="2">
          <cell r="A2" t="str">
            <v>Complete</v>
          </cell>
        </row>
      </sheetData>
      <sheetData sheetId="7022">
        <row r="2">
          <cell r="A2" t="str">
            <v>Complete</v>
          </cell>
        </row>
      </sheetData>
      <sheetData sheetId="7023">
        <row r="2">
          <cell r="A2" t="str">
            <v>Complete</v>
          </cell>
        </row>
      </sheetData>
      <sheetData sheetId="7024">
        <row r="2">
          <cell r="A2" t="str">
            <v>Complete</v>
          </cell>
        </row>
      </sheetData>
      <sheetData sheetId="7025">
        <row r="2">
          <cell r="A2" t="str">
            <v>Complete</v>
          </cell>
        </row>
      </sheetData>
      <sheetData sheetId="7026">
        <row r="2">
          <cell r="A2" t="str">
            <v>Complete</v>
          </cell>
        </row>
      </sheetData>
      <sheetData sheetId="7027">
        <row r="2">
          <cell r="A2" t="str">
            <v>Complete</v>
          </cell>
        </row>
      </sheetData>
      <sheetData sheetId="7028">
        <row r="2">
          <cell r="A2" t="str">
            <v>Complete</v>
          </cell>
        </row>
      </sheetData>
      <sheetData sheetId="7029">
        <row r="2">
          <cell r="A2" t="str">
            <v>Complete</v>
          </cell>
        </row>
      </sheetData>
      <sheetData sheetId="7030">
        <row r="2">
          <cell r="A2">
            <v>43462</v>
          </cell>
        </row>
      </sheetData>
      <sheetData sheetId="7031">
        <row r="2">
          <cell r="A2">
            <v>43462</v>
          </cell>
        </row>
      </sheetData>
      <sheetData sheetId="7032">
        <row r="2">
          <cell r="A2">
            <v>43462</v>
          </cell>
        </row>
      </sheetData>
      <sheetData sheetId="7033">
        <row r="2">
          <cell r="A2">
            <v>43462</v>
          </cell>
        </row>
      </sheetData>
      <sheetData sheetId="7034">
        <row r="2">
          <cell r="A2">
            <v>43462</v>
          </cell>
        </row>
      </sheetData>
      <sheetData sheetId="7035">
        <row r="2">
          <cell r="A2">
            <v>43462</v>
          </cell>
        </row>
      </sheetData>
      <sheetData sheetId="7036">
        <row r="2">
          <cell r="A2">
            <v>43462</v>
          </cell>
        </row>
      </sheetData>
      <sheetData sheetId="7037">
        <row r="2">
          <cell r="A2">
            <v>43462</v>
          </cell>
        </row>
      </sheetData>
      <sheetData sheetId="7038">
        <row r="2">
          <cell r="A2">
            <v>43462</v>
          </cell>
        </row>
      </sheetData>
      <sheetData sheetId="7039">
        <row r="2">
          <cell r="A2">
            <v>43462</v>
          </cell>
        </row>
      </sheetData>
      <sheetData sheetId="7040">
        <row r="2">
          <cell r="A2">
            <v>43462</v>
          </cell>
        </row>
      </sheetData>
      <sheetData sheetId="7041">
        <row r="2">
          <cell r="A2">
            <v>43462</v>
          </cell>
        </row>
      </sheetData>
      <sheetData sheetId="7042">
        <row r="2">
          <cell r="A2">
            <v>43462</v>
          </cell>
        </row>
      </sheetData>
      <sheetData sheetId="7043">
        <row r="2">
          <cell r="A2">
            <v>43462</v>
          </cell>
        </row>
      </sheetData>
      <sheetData sheetId="7044">
        <row r="2">
          <cell r="A2">
            <v>43462</v>
          </cell>
        </row>
      </sheetData>
      <sheetData sheetId="7045">
        <row r="2">
          <cell r="A2">
            <v>43462</v>
          </cell>
        </row>
      </sheetData>
      <sheetData sheetId="7046">
        <row r="2">
          <cell r="A2">
            <v>43462</v>
          </cell>
        </row>
      </sheetData>
      <sheetData sheetId="7047">
        <row r="2">
          <cell r="A2">
            <v>43462</v>
          </cell>
        </row>
      </sheetData>
      <sheetData sheetId="7048">
        <row r="2">
          <cell r="A2">
            <v>43462</v>
          </cell>
        </row>
      </sheetData>
      <sheetData sheetId="7049">
        <row r="2">
          <cell r="A2">
            <v>43462</v>
          </cell>
        </row>
      </sheetData>
      <sheetData sheetId="7050">
        <row r="2">
          <cell r="A2" t="str">
            <v>Complete</v>
          </cell>
        </row>
      </sheetData>
      <sheetData sheetId="7051">
        <row r="2">
          <cell r="A2" t="str">
            <v>Complete</v>
          </cell>
        </row>
      </sheetData>
      <sheetData sheetId="7052">
        <row r="2">
          <cell r="A2" t="str">
            <v>Complete</v>
          </cell>
        </row>
      </sheetData>
      <sheetData sheetId="7053">
        <row r="2">
          <cell r="A2" t="str">
            <v>Complete</v>
          </cell>
        </row>
      </sheetData>
      <sheetData sheetId="7054">
        <row r="2">
          <cell r="A2" t="str">
            <v>Complete</v>
          </cell>
        </row>
      </sheetData>
      <sheetData sheetId="7055">
        <row r="2">
          <cell r="A2" t="str">
            <v>Complete</v>
          </cell>
        </row>
      </sheetData>
      <sheetData sheetId="7056">
        <row r="2">
          <cell r="A2" t="str">
            <v>Complete</v>
          </cell>
        </row>
      </sheetData>
      <sheetData sheetId="7057">
        <row r="2">
          <cell r="A2" t="str">
            <v>Complete</v>
          </cell>
        </row>
      </sheetData>
      <sheetData sheetId="7058">
        <row r="2">
          <cell r="A2" t="str">
            <v>Complete</v>
          </cell>
        </row>
      </sheetData>
      <sheetData sheetId="7059">
        <row r="2">
          <cell r="A2" t="str">
            <v>Complete</v>
          </cell>
        </row>
      </sheetData>
      <sheetData sheetId="7060">
        <row r="2">
          <cell r="A2" t="str">
            <v>Complete</v>
          </cell>
        </row>
      </sheetData>
      <sheetData sheetId="7061">
        <row r="2">
          <cell r="A2" t="str">
            <v>Complete</v>
          </cell>
        </row>
      </sheetData>
      <sheetData sheetId="7062">
        <row r="2">
          <cell r="A2" t="str">
            <v>Complete</v>
          </cell>
        </row>
      </sheetData>
      <sheetData sheetId="7063">
        <row r="2">
          <cell r="A2" t="str">
            <v>Complete</v>
          </cell>
        </row>
      </sheetData>
      <sheetData sheetId="7064">
        <row r="2">
          <cell r="A2" t="str">
            <v>Complete</v>
          </cell>
        </row>
      </sheetData>
      <sheetData sheetId="7065">
        <row r="2">
          <cell r="A2" t="str">
            <v>Complete</v>
          </cell>
        </row>
      </sheetData>
      <sheetData sheetId="7066">
        <row r="2">
          <cell r="A2" t="str">
            <v>Complete</v>
          </cell>
        </row>
      </sheetData>
      <sheetData sheetId="7067">
        <row r="2">
          <cell r="A2" t="str">
            <v>Complete</v>
          </cell>
        </row>
      </sheetData>
      <sheetData sheetId="7068">
        <row r="2">
          <cell r="A2" t="str">
            <v>Complete</v>
          </cell>
        </row>
      </sheetData>
      <sheetData sheetId="7069">
        <row r="2">
          <cell r="A2">
            <v>43462</v>
          </cell>
        </row>
      </sheetData>
      <sheetData sheetId="7070">
        <row r="2">
          <cell r="A2">
            <v>43462</v>
          </cell>
        </row>
      </sheetData>
      <sheetData sheetId="7071">
        <row r="2">
          <cell r="A2">
            <v>43462</v>
          </cell>
        </row>
      </sheetData>
      <sheetData sheetId="7072">
        <row r="2">
          <cell r="A2">
            <v>43462</v>
          </cell>
        </row>
      </sheetData>
      <sheetData sheetId="7073">
        <row r="2">
          <cell r="A2">
            <v>43462</v>
          </cell>
        </row>
      </sheetData>
      <sheetData sheetId="7074">
        <row r="2">
          <cell r="A2">
            <v>43462</v>
          </cell>
        </row>
      </sheetData>
      <sheetData sheetId="7075">
        <row r="2">
          <cell r="A2">
            <v>43462</v>
          </cell>
        </row>
      </sheetData>
      <sheetData sheetId="7076">
        <row r="2">
          <cell r="A2">
            <v>43462</v>
          </cell>
        </row>
      </sheetData>
      <sheetData sheetId="7077">
        <row r="2">
          <cell r="A2">
            <v>43462</v>
          </cell>
        </row>
      </sheetData>
      <sheetData sheetId="7078">
        <row r="2">
          <cell r="A2">
            <v>43462</v>
          </cell>
        </row>
      </sheetData>
      <sheetData sheetId="7079">
        <row r="2">
          <cell r="A2">
            <v>43462</v>
          </cell>
        </row>
      </sheetData>
      <sheetData sheetId="7080">
        <row r="2">
          <cell r="A2">
            <v>43462</v>
          </cell>
        </row>
      </sheetData>
      <sheetData sheetId="7081">
        <row r="2">
          <cell r="A2">
            <v>43462</v>
          </cell>
        </row>
      </sheetData>
      <sheetData sheetId="7082">
        <row r="2">
          <cell r="A2">
            <v>43462</v>
          </cell>
        </row>
      </sheetData>
      <sheetData sheetId="7083">
        <row r="2">
          <cell r="A2">
            <v>43462</v>
          </cell>
        </row>
      </sheetData>
      <sheetData sheetId="7084">
        <row r="2">
          <cell r="A2">
            <v>43462</v>
          </cell>
        </row>
      </sheetData>
      <sheetData sheetId="7085">
        <row r="2">
          <cell r="A2">
            <v>43462</v>
          </cell>
        </row>
      </sheetData>
      <sheetData sheetId="7086">
        <row r="2">
          <cell r="A2">
            <v>43462</v>
          </cell>
        </row>
      </sheetData>
      <sheetData sheetId="7087">
        <row r="2">
          <cell r="A2">
            <v>43462</v>
          </cell>
        </row>
      </sheetData>
      <sheetData sheetId="7088">
        <row r="2">
          <cell r="A2">
            <v>43462</v>
          </cell>
        </row>
      </sheetData>
      <sheetData sheetId="7089">
        <row r="2">
          <cell r="A2" t="str">
            <v>Complete</v>
          </cell>
        </row>
      </sheetData>
      <sheetData sheetId="7090">
        <row r="2">
          <cell r="A2">
            <v>43462</v>
          </cell>
        </row>
      </sheetData>
      <sheetData sheetId="7091">
        <row r="2">
          <cell r="A2" t="str">
            <v>Complete</v>
          </cell>
        </row>
      </sheetData>
      <sheetData sheetId="7092">
        <row r="2">
          <cell r="A2" t="str">
            <v>Complete</v>
          </cell>
        </row>
      </sheetData>
      <sheetData sheetId="7093">
        <row r="2">
          <cell r="A2" t="str">
            <v>Complete</v>
          </cell>
        </row>
      </sheetData>
      <sheetData sheetId="7094">
        <row r="2">
          <cell r="A2" t="str">
            <v>Complete</v>
          </cell>
        </row>
      </sheetData>
      <sheetData sheetId="7095">
        <row r="2">
          <cell r="A2" t="str">
            <v>Complete</v>
          </cell>
        </row>
      </sheetData>
      <sheetData sheetId="7096">
        <row r="2">
          <cell r="A2" t="str">
            <v>Complete</v>
          </cell>
        </row>
      </sheetData>
      <sheetData sheetId="7097">
        <row r="2">
          <cell r="A2" t="str">
            <v>Complete</v>
          </cell>
        </row>
      </sheetData>
      <sheetData sheetId="7098">
        <row r="2">
          <cell r="A2" t="str">
            <v>Complete</v>
          </cell>
        </row>
      </sheetData>
      <sheetData sheetId="7099">
        <row r="2">
          <cell r="A2" t="str">
            <v>Complete</v>
          </cell>
        </row>
      </sheetData>
      <sheetData sheetId="7100">
        <row r="2">
          <cell r="A2" t="str">
            <v>Complete</v>
          </cell>
        </row>
      </sheetData>
      <sheetData sheetId="7101">
        <row r="2">
          <cell r="A2" t="str">
            <v>Complete</v>
          </cell>
        </row>
      </sheetData>
      <sheetData sheetId="7102">
        <row r="2">
          <cell r="A2" t="str">
            <v>Complete</v>
          </cell>
        </row>
      </sheetData>
      <sheetData sheetId="7103">
        <row r="2">
          <cell r="A2" t="str">
            <v>Complete</v>
          </cell>
        </row>
      </sheetData>
      <sheetData sheetId="7104">
        <row r="2">
          <cell r="A2" t="str">
            <v>Complete</v>
          </cell>
        </row>
      </sheetData>
      <sheetData sheetId="7105">
        <row r="2">
          <cell r="A2" t="str">
            <v>Complete</v>
          </cell>
        </row>
      </sheetData>
      <sheetData sheetId="7106">
        <row r="2">
          <cell r="A2" t="str">
            <v>Complete</v>
          </cell>
        </row>
      </sheetData>
      <sheetData sheetId="7107">
        <row r="2">
          <cell r="A2" t="str">
            <v>Complete</v>
          </cell>
        </row>
      </sheetData>
      <sheetData sheetId="7108">
        <row r="2">
          <cell r="A2" t="str">
            <v>Complete</v>
          </cell>
        </row>
      </sheetData>
      <sheetData sheetId="7109">
        <row r="2">
          <cell r="A2" t="str">
            <v>Complete</v>
          </cell>
        </row>
      </sheetData>
      <sheetData sheetId="7110">
        <row r="2">
          <cell r="A2" t="str">
            <v>Complete</v>
          </cell>
        </row>
      </sheetData>
      <sheetData sheetId="7111">
        <row r="2">
          <cell r="A2" t="str">
            <v>Complete</v>
          </cell>
        </row>
      </sheetData>
      <sheetData sheetId="7112">
        <row r="2">
          <cell r="A2" t="str">
            <v>Complete</v>
          </cell>
        </row>
      </sheetData>
      <sheetData sheetId="7113">
        <row r="2">
          <cell r="A2" t="str">
            <v>Complete</v>
          </cell>
        </row>
      </sheetData>
      <sheetData sheetId="7114">
        <row r="2">
          <cell r="A2">
            <v>43462</v>
          </cell>
        </row>
      </sheetData>
      <sheetData sheetId="7115">
        <row r="2">
          <cell r="A2">
            <v>43462</v>
          </cell>
        </row>
      </sheetData>
      <sheetData sheetId="7116">
        <row r="2">
          <cell r="A2">
            <v>43462</v>
          </cell>
        </row>
      </sheetData>
      <sheetData sheetId="7117">
        <row r="2">
          <cell r="A2">
            <v>43462</v>
          </cell>
        </row>
      </sheetData>
      <sheetData sheetId="7118">
        <row r="2">
          <cell r="A2">
            <v>43462</v>
          </cell>
        </row>
      </sheetData>
      <sheetData sheetId="7119">
        <row r="2">
          <cell r="A2">
            <v>43462</v>
          </cell>
        </row>
      </sheetData>
      <sheetData sheetId="7120">
        <row r="2">
          <cell r="A2">
            <v>43462</v>
          </cell>
        </row>
      </sheetData>
      <sheetData sheetId="7121">
        <row r="2">
          <cell r="A2">
            <v>43462</v>
          </cell>
        </row>
      </sheetData>
      <sheetData sheetId="7122">
        <row r="2">
          <cell r="A2">
            <v>43462</v>
          </cell>
        </row>
      </sheetData>
      <sheetData sheetId="7123">
        <row r="2">
          <cell r="A2">
            <v>43462</v>
          </cell>
        </row>
      </sheetData>
      <sheetData sheetId="7124">
        <row r="2">
          <cell r="A2">
            <v>43462</v>
          </cell>
        </row>
      </sheetData>
      <sheetData sheetId="7125">
        <row r="2">
          <cell r="A2">
            <v>43462</v>
          </cell>
        </row>
      </sheetData>
      <sheetData sheetId="7126">
        <row r="2">
          <cell r="A2">
            <v>43462</v>
          </cell>
        </row>
      </sheetData>
      <sheetData sheetId="7127">
        <row r="2">
          <cell r="A2">
            <v>43462</v>
          </cell>
        </row>
      </sheetData>
      <sheetData sheetId="7128">
        <row r="2">
          <cell r="A2">
            <v>43462</v>
          </cell>
        </row>
      </sheetData>
      <sheetData sheetId="7129">
        <row r="2">
          <cell r="A2">
            <v>43462</v>
          </cell>
        </row>
      </sheetData>
      <sheetData sheetId="7130">
        <row r="2">
          <cell r="A2">
            <v>43462</v>
          </cell>
        </row>
      </sheetData>
      <sheetData sheetId="7131">
        <row r="2">
          <cell r="A2">
            <v>43462</v>
          </cell>
        </row>
      </sheetData>
      <sheetData sheetId="7132">
        <row r="2">
          <cell r="A2" t="str">
            <v>Complete</v>
          </cell>
        </row>
      </sheetData>
      <sheetData sheetId="7133">
        <row r="2">
          <cell r="A2" t="str">
            <v>Complete</v>
          </cell>
        </row>
      </sheetData>
      <sheetData sheetId="7134">
        <row r="2">
          <cell r="A2" t="str">
            <v>Complete</v>
          </cell>
        </row>
      </sheetData>
      <sheetData sheetId="7135">
        <row r="2">
          <cell r="A2" t="str">
            <v>Complete</v>
          </cell>
        </row>
      </sheetData>
      <sheetData sheetId="7136">
        <row r="2">
          <cell r="A2" t="str">
            <v>Complete</v>
          </cell>
        </row>
      </sheetData>
      <sheetData sheetId="7137">
        <row r="2">
          <cell r="A2" t="str">
            <v>Complete</v>
          </cell>
        </row>
      </sheetData>
      <sheetData sheetId="7138">
        <row r="2">
          <cell r="A2" t="str">
            <v>Complete</v>
          </cell>
        </row>
      </sheetData>
      <sheetData sheetId="7139">
        <row r="2">
          <cell r="A2" t="str">
            <v>Complete</v>
          </cell>
        </row>
      </sheetData>
      <sheetData sheetId="7140">
        <row r="2">
          <cell r="A2" t="str">
            <v>Complete</v>
          </cell>
        </row>
      </sheetData>
      <sheetData sheetId="7141">
        <row r="2">
          <cell r="A2" t="str">
            <v>Complete</v>
          </cell>
        </row>
      </sheetData>
      <sheetData sheetId="7142">
        <row r="2">
          <cell r="A2" t="str">
            <v>Complete</v>
          </cell>
        </row>
      </sheetData>
      <sheetData sheetId="7143">
        <row r="2">
          <cell r="A2" t="str">
            <v>Complete</v>
          </cell>
        </row>
      </sheetData>
      <sheetData sheetId="7144">
        <row r="2">
          <cell r="A2" t="str">
            <v>Complete</v>
          </cell>
        </row>
      </sheetData>
      <sheetData sheetId="7145">
        <row r="2">
          <cell r="A2" t="str">
            <v>Complete</v>
          </cell>
        </row>
      </sheetData>
      <sheetData sheetId="7146">
        <row r="2">
          <cell r="A2" t="str">
            <v>Complete</v>
          </cell>
        </row>
      </sheetData>
      <sheetData sheetId="7147">
        <row r="2">
          <cell r="A2" t="str">
            <v>Complete</v>
          </cell>
        </row>
      </sheetData>
      <sheetData sheetId="7148">
        <row r="2">
          <cell r="A2" t="str">
            <v>Complete</v>
          </cell>
        </row>
      </sheetData>
      <sheetData sheetId="7149">
        <row r="2">
          <cell r="A2">
            <v>43462</v>
          </cell>
        </row>
      </sheetData>
      <sheetData sheetId="7150">
        <row r="2">
          <cell r="A2">
            <v>43462</v>
          </cell>
        </row>
      </sheetData>
      <sheetData sheetId="7151">
        <row r="2">
          <cell r="A2">
            <v>43462</v>
          </cell>
        </row>
      </sheetData>
      <sheetData sheetId="7152">
        <row r="2">
          <cell r="A2">
            <v>43462</v>
          </cell>
        </row>
      </sheetData>
      <sheetData sheetId="7153">
        <row r="2">
          <cell r="A2">
            <v>43462</v>
          </cell>
        </row>
      </sheetData>
      <sheetData sheetId="7154">
        <row r="2">
          <cell r="A2">
            <v>43462</v>
          </cell>
        </row>
      </sheetData>
      <sheetData sheetId="7155">
        <row r="2">
          <cell r="A2">
            <v>43462</v>
          </cell>
        </row>
      </sheetData>
      <sheetData sheetId="7156">
        <row r="2">
          <cell r="A2">
            <v>43462</v>
          </cell>
        </row>
      </sheetData>
      <sheetData sheetId="7157">
        <row r="2">
          <cell r="A2">
            <v>43462</v>
          </cell>
        </row>
      </sheetData>
      <sheetData sheetId="7158">
        <row r="2">
          <cell r="A2">
            <v>43462</v>
          </cell>
        </row>
      </sheetData>
      <sheetData sheetId="7159">
        <row r="2">
          <cell r="A2">
            <v>43462</v>
          </cell>
        </row>
      </sheetData>
      <sheetData sheetId="7160">
        <row r="2">
          <cell r="A2">
            <v>43462</v>
          </cell>
        </row>
      </sheetData>
      <sheetData sheetId="7161">
        <row r="2">
          <cell r="A2">
            <v>43462</v>
          </cell>
        </row>
      </sheetData>
      <sheetData sheetId="7162">
        <row r="2">
          <cell r="A2">
            <v>43462</v>
          </cell>
        </row>
      </sheetData>
      <sheetData sheetId="7163">
        <row r="2">
          <cell r="A2">
            <v>43462</v>
          </cell>
        </row>
      </sheetData>
      <sheetData sheetId="7164">
        <row r="2">
          <cell r="A2">
            <v>43462</v>
          </cell>
        </row>
      </sheetData>
      <sheetData sheetId="7165">
        <row r="2">
          <cell r="A2">
            <v>43462</v>
          </cell>
        </row>
      </sheetData>
      <sheetData sheetId="7166">
        <row r="2">
          <cell r="A2">
            <v>43462</v>
          </cell>
        </row>
      </sheetData>
      <sheetData sheetId="7167">
        <row r="2">
          <cell r="A2">
            <v>43462</v>
          </cell>
        </row>
      </sheetData>
      <sheetData sheetId="7168">
        <row r="2">
          <cell r="A2">
            <v>43462</v>
          </cell>
        </row>
      </sheetData>
      <sheetData sheetId="7169">
        <row r="2">
          <cell r="A2">
            <v>43462</v>
          </cell>
        </row>
      </sheetData>
      <sheetData sheetId="7170">
        <row r="2">
          <cell r="A2">
            <v>43462</v>
          </cell>
        </row>
      </sheetData>
      <sheetData sheetId="7171">
        <row r="2">
          <cell r="A2">
            <v>43462</v>
          </cell>
        </row>
      </sheetData>
      <sheetData sheetId="7172">
        <row r="2">
          <cell r="A2">
            <v>43462</v>
          </cell>
        </row>
      </sheetData>
      <sheetData sheetId="7173">
        <row r="2">
          <cell r="A2">
            <v>43462</v>
          </cell>
        </row>
      </sheetData>
      <sheetData sheetId="7174">
        <row r="2">
          <cell r="A2" t="str">
            <v>Complete</v>
          </cell>
        </row>
      </sheetData>
      <sheetData sheetId="7175">
        <row r="2">
          <cell r="A2" t="str">
            <v>Complete</v>
          </cell>
        </row>
      </sheetData>
      <sheetData sheetId="7176">
        <row r="2">
          <cell r="A2" t="str">
            <v>Complete</v>
          </cell>
        </row>
      </sheetData>
      <sheetData sheetId="7177">
        <row r="2">
          <cell r="A2" t="str">
            <v>Complete</v>
          </cell>
        </row>
      </sheetData>
      <sheetData sheetId="7178">
        <row r="2">
          <cell r="A2" t="str">
            <v>Complete</v>
          </cell>
        </row>
      </sheetData>
      <sheetData sheetId="7179">
        <row r="2">
          <cell r="A2" t="str">
            <v>Complete</v>
          </cell>
        </row>
      </sheetData>
      <sheetData sheetId="7180">
        <row r="2">
          <cell r="A2" t="str">
            <v>Complete</v>
          </cell>
        </row>
      </sheetData>
      <sheetData sheetId="7181">
        <row r="2">
          <cell r="A2" t="str">
            <v>Complete</v>
          </cell>
        </row>
      </sheetData>
      <sheetData sheetId="7182">
        <row r="2">
          <cell r="A2" t="str">
            <v>Complete</v>
          </cell>
        </row>
      </sheetData>
      <sheetData sheetId="7183">
        <row r="2">
          <cell r="A2" t="str">
            <v>Complete</v>
          </cell>
        </row>
      </sheetData>
      <sheetData sheetId="7184">
        <row r="2">
          <cell r="A2" t="str">
            <v>Complete</v>
          </cell>
        </row>
      </sheetData>
      <sheetData sheetId="7185">
        <row r="2">
          <cell r="A2" t="str">
            <v>Complete</v>
          </cell>
        </row>
      </sheetData>
      <sheetData sheetId="7186">
        <row r="2">
          <cell r="A2" t="str">
            <v>Complete</v>
          </cell>
        </row>
      </sheetData>
      <sheetData sheetId="7187">
        <row r="2">
          <cell r="A2" t="str">
            <v>Complete</v>
          </cell>
        </row>
      </sheetData>
      <sheetData sheetId="7188">
        <row r="2">
          <cell r="A2" t="str">
            <v>Complete</v>
          </cell>
        </row>
      </sheetData>
      <sheetData sheetId="7189">
        <row r="2">
          <cell r="A2" t="str">
            <v>Complete</v>
          </cell>
        </row>
      </sheetData>
      <sheetData sheetId="7190">
        <row r="2">
          <cell r="A2" t="str">
            <v>Complete</v>
          </cell>
        </row>
      </sheetData>
      <sheetData sheetId="7191">
        <row r="2">
          <cell r="A2" t="str">
            <v>Complete</v>
          </cell>
        </row>
      </sheetData>
      <sheetData sheetId="7192">
        <row r="2">
          <cell r="A2" t="str">
            <v>Complete</v>
          </cell>
        </row>
      </sheetData>
      <sheetData sheetId="7193">
        <row r="2">
          <cell r="A2" t="str">
            <v>Complete</v>
          </cell>
        </row>
      </sheetData>
      <sheetData sheetId="7194">
        <row r="2">
          <cell r="A2">
            <v>43462</v>
          </cell>
        </row>
      </sheetData>
      <sheetData sheetId="7195">
        <row r="2">
          <cell r="A2">
            <v>43462</v>
          </cell>
        </row>
      </sheetData>
      <sheetData sheetId="7196">
        <row r="2">
          <cell r="A2">
            <v>43462</v>
          </cell>
        </row>
      </sheetData>
      <sheetData sheetId="7197">
        <row r="2">
          <cell r="A2">
            <v>43462</v>
          </cell>
        </row>
      </sheetData>
      <sheetData sheetId="7198">
        <row r="2">
          <cell r="A2">
            <v>43462</v>
          </cell>
        </row>
      </sheetData>
      <sheetData sheetId="7199">
        <row r="2">
          <cell r="A2">
            <v>43462</v>
          </cell>
        </row>
      </sheetData>
      <sheetData sheetId="7200">
        <row r="2">
          <cell r="A2">
            <v>43462</v>
          </cell>
        </row>
      </sheetData>
      <sheetData sheetId="7201">
        <row r="2">
          <cell r="A2">
            <v>43462</v>
          </cell>
        </row>
      </sheetData>
      <sheetData sheetId="7202">
        <row r="2">
          <cell r="A2">
            <v>43462</v>
          </cell>
        </row>
      </sheetData>
      <sheetData sheetId="7203">
        <row r="2">
          <cell r="A2">
            <v>43462</v>
          </cell>
        </row>
      </sheetData>
      <sheetData sheetId="7204">
        <row r="2">
          <cell r="A2">
            <v>43462</v>
          </cell>
        </row>
      </sheetData>
      <sheetData sheetId="7205">
        <row r="2">
          <cell r="A2">
            <v>43462</v>
          </cell>
        </row>
      </sheetData>
      <sheetData sheetId="7206">
        <row r="2">
          <cell r="A2">
            <v>43462</v>
          </cell>
        </row>
      </sheetData>
      <sheetData sheetId="7207">
        <row r="2">
          <cell r="A2">
            <v>43462</v>
          </cell>
        </row>
      </sheetData>
      <sheetData sheetId="7208">
        <row r="2">
          <cell r="A2">
            <v>43462</v>
          </cell>
        </row>
      </sheetData>
      <sheetData sheetId="7209">
        <row r="2">
          <cell r="A2">
            <v>43462</v>
          </cell>
        </row>
      </sheetData>
      <sheetData sheetId="7210">
        <row r="2">
          <cell r="A2">
            <v>43462</v>
          </cell>
        </row>
      </sheetData>
      <sheetData sheetId="7211">
        <row r="2">
          <cell r="A2">
            <v>43462</v>
          </cell>
        </row>
      </sheetData>
      <sheetData sheetId="7212">
        <row r="2">
          <cell r="A2">
            <v>43462</v>
          </cell>
        </row>
      </sheetData>
      <sheetData sheetId="7213">
        <row r="2">
          <cell r="A2">
            <v>43462</v>
          </cell>
        </row>
      </sheetData>
      <sheetData sheetId="7214">
        <row r="2">
          <cell r="A2" t="str">
            <v>Complete</v>
          </cell>
        </row>
      </sheetData>
      <sheetData sheetId="7215">
        <row r="2">
          <cell r="A2" t="str">
            <v>Complete</v>
          </cell>
        </row>
      </sheetData>
      <sheetData sheetId="7216">
        <row r="2">
          <cell r="A2" t="str">
            <v>Complete</v>
          </cell>
        </row>
      </sheetData>
      <sheetData sheetId="7217">
        <row r="2">
          <cell r="A2" t="str">
            <v>Complete</v>
          </cell>
        </row>
      </sheetData>
      <sheetData sheetId="7218">
        <row r="2">
          <cell r="A2" t="str">
            <v>Complete</v>
          </cell>
        </row>
      </sheetData>
      <sheetData sheetId="7219">
        <row r="2">
          <cell r="A2" t="str">
            <v>Complete</v>
          </cell>
        </row>
      </sheetData>
      <sheetData sheetId="7220">
        <row r="2">
          <cell r="A2" t="str">
            <v>Complete</v>
          </cell>
        </row>
      </sheetData>
      <sheetData sheetId="7221">
        <row r="2">
          <cell r="A2" t="str">
            <v>Complete</v>
          </cell>
        </row>
      </sheetData>
      <sheetData sheetId="7222">
        <row r="2">
          <cell r="A2" t="str">
            <v>Complete</v>
          </cell>
        </row>
      </sheetData>
      <sheetData sheetId="7223">
        <row r="2">
          <cell r="A2" t="str">
            <v>Complete</v>
          </cell>
        </row>
      </sheetData>
      <sheetData sheetId="7224">
        <row r="2">
          <cell r="A2" t="str">
            <v>Complete</v>
          </cell>
        </row>
      </sheetData>
      <sheetData sheetId="7225">
        <row r="2">
          <cell r="A2" t="str">
            <v>Complete</v>
          </cell>
        </row>
      </sheetData>
      <sheetData sheetId="7226">
        <row r="2">
          <cell r="A2" t="str">
            <v>Complete</v>
          </cell>
        </row>
      </sheetData>
      <sheetData sheetId="7227">
        <row r="2">
          <cell r="A2" t="str">
            <v>Complete</v>
          </cell>
        </row>
      </sheetData>
      <sheetData sheetId="7228">
        <row r="2">
          <cell r="A2" t="str">
            <v>Complete</v>
          </cell>
        </row>
      </sheetData>
      <sheetData sheetId="7229">
        <row r="2">
          <cell r="A2" t="str">
            <v>Complete</v>
          </cell>
        </row>
      </sheetData>
      <sheetData sheetId="7230">
        <row r="2">
          <cell r="A2" t="str">
            <v>Complete</v>
          </cell>
        </row>
      </sheetData>
      <sheetData sheetId="7231">
        <row r="2">
          <cell r="A2">
            <v>43462</v>
          </cell>
        </row>
      </sheetData>
      <sheetData sheetId="7232">
        <row r="2">
          <cell r="A2">
            <v>43462</v>
          </cell>
        </row>
      </sheetData>
      <sheetData sheetId="7233">
        <row r="2">
          <cell r="A2">
            <v>43462</v>
          </cell>
        </row>
      </sheetData>
      <sheetData sheetId="7234">
        <row r="2">
          <cell r="A2">
            <v>43462</v>
          </cell>
        </row>
      </sheetData>
      <sheetData sheetId="7235">
        <row r="2">
          <cell r="A2">
            <v>43462</v>
          </cell>
        </row>
      </sheetData>
      <sheetData sheetId="7236">
        <row r="2">
          <cell r="A2">
            <v>43462</v>
          </cell>
        </row>
      </sheetData>
      <sheetData sheetId="7237">
        <row r="2">
          <cell r="A2">
            <v>43462</v>
          </cell>
        </row>
      </sheetData>
      <sheetData sheetId="7238">
        <row r="2">
          <cell r="A2">
            <v>43462</v>
          </cell>
        </row>
      </sheetData>
      <sheetData sheetId="7239">
        <row r="2">
          <cell r="A2">
            <v>43462</v>
          </cell>
        </row>
      </sheetData>
      <sheetData sheetId="7240">
        <row r="2">
          <cell r="A2">
            <v>43462</v>
          </cell>
        </row>
      </sheetData>
      <sheetData sheetId="7241">
        <row r="2">
          <cell r="A2">
            <v>43462</v>
          </cell>
        </row>
      </sheetData>
      <sheetData sheetId="7242">
        <row r="2">
          <cell r="A2">
            <v>43462</v>
          </cell>
        </row>
      </sheetData>
      <sheetData sheetId="7243">
        <row r="2">
          <cell r="A2">
            <v>43462</v>
          </cell>
        </row>
      </sheetData>
      <sheetData sheetId="7244">
        <row r="2">
          <cell r="A2">
            <v>43462</v>
          </cell>
        </row>
      </sheetData>
      <sheetData sheetId="7245">
        <row r="2">
          <cell r="A2">
            <v>43462</v>
          </cell>
        </row>
      </sheetData>
      <sheetData sheetId="7246">
        <row r="2">
          <cell r="A2">
            <v>43462</v>
          </cell>
        </row>
      </sheetData>
      <sheetData sheetId="7247">
        <row r="2">
          <cell r="A2">
            <v>43462</v>
          </cell>
        </row>
      </sheetData>
      <sheetData sheetId="7248">
        <row r="2">
          <cell r="A2">
            <v>43462</v>
          </cell>
        </row>
      </sheetData>
      <sheetData sheetId="7249">
        <row r="2">
          <cell r="A2">
            <v>43462</v>
          </cell>
        </row>
      </sheetData>
      <sheetData sheetId="7250">
        <row r="2">
          <cell r="A2">
            <v>43462</v>
          </cell>
        </row>
      </sheetData>
      <sheetData sheetId="7251">
        <row r="2">
          <cell r="A2">
            <v>43462</v>
          </cell>
        </row>
      </sheetData>
      <sheetData sheetId="7252">
        <row r="2">
          <cell r="A2">
            <v>43462</v>
          </cell>
        </row>
      </sheetData>
      <sheetData sheetId="7253">
        <row r="2">
          <cell r="A2">
            <v>43462</v>
          </cell>
        </row>
      </sheetData>
      <sheetData sheetId="7254">
        <row r="2">
          <cell r="A2">
            <v>43462</v>
          </cell>
        </row>
      </sheetData>
      <sheetData sheetId="7255">
        <row r="2">
          <cell r="A2">
            <v>43462</v>
          </cell>
        </row>
      </sheetData>
      <sheetData sheetId="7256">
        <row r="2">
          <cell r="A2" t="str">
            <v>Complete</v>
          </cell>
        </row>
      </sheetData>
      <sheetData sheetId="7257">
        <row r="2">
          <cell r="A2" t="str">
            <v>Complete</v>
          </cell>
        </row>
      </sheetData>
      <sheetData sheetId="7258">
        <row r="2">
          <cell r="A2" t="str">
            <v>Complete</v>
          </cell>
        </row>
      </sheetData>
      <sheetData sheetId="7259">
        <row r="2">
          <cell r="A2" t="str">
            <v>Complete</v>
          </cell>
        </row>
      </sheetData>
      <sheetData sheetId="7260">
        <row r="2">
          <cell r="A2" t="str">
            <v>Complete</v>
          </cell>
        </row>
      </sheetData>
      <sheetData sheetId="7261">
        <row r="2">
          <cell r="A2" t="str">
            <v>Complete</v>
          </cell>
        </row>
      </sheetData>
      <sheetData sheetId="7262">
        <row r="2">
          <cell r="A2" t="str">
            <v>Complete</v>
          </cell>
        </row>
      </sheetData>
      <sheetData sheetId="7263">
        <row r="2">
          <cell r="A2" t="str">
            <v>Complete</v>
          </cell>
        </row>
      </sheetData>
      <sheetData sheetId="7264">
        <row r="2">
          <cell r="A2" t="str">
            <v>Complete</v>
          </cell>
        </row>
      </sheetData>
      <sheetData sheetId="7265">
        <row r="2">
          <cell r="A2" t="str">
            <v>Complete</v>
          </cell>
        </row>
      </sheetData>
      <sheetData sheetId="7266">
        <row r="2">
          <cell r="A2" t="str">
            <v>Complete</v>
          </cell>
        </row>
      </sheetData>
      <sheetData sheetId="7267">
        <row r="2">
          <cell r="A2" t="str">
            <v>Complete</v>
          </cell>
        </row>
      </sheetData>
      <sheetData sheetId="7268">
        <row r="2">
          <cell r="A2" t="str">
            <v>Complete</v>
          </cell>
        </row>
      </sheetData>
      <sheetData sheetId="7269">
        <row r="2">
          <cell r="A2" t="str">
            <v>Complete</v>
          </cell>
        </row>
      </sheetData>
      <sheetData sheetId="7270">
        <row r="2">
          <cell r="A2" t="str">
            <v>Complete</v>
          </cell>
        </row>
      </sheetData>
      <sheetData sheetId="7271">
        <row r="2">
          <cell r="A2" t="str">
            <v>Complete</v>
          </cell>
        </row>
      </sheetData>
      <sheetData sheetId="7272">
        <row r="2">
          <cell r="A2" t="str">
            <v>Complete</v>
          </cell>
        </row>
      </sheetData>
      <sheetData sheetId="7273">
        <row r="2">
          <cell r="A2">
            <v>43462</v>
          </cell>
        </row>
      </sheetData>
      <sheetData sheetId="7274">
        <row r="2">
          <cell r="A2">
            <v>43462</v>
          </cell>
        </row>
      </sheetData>
      <sheetData sheetId="7275">
        <row r="2">
          <cell r="A2">
            <v>43462</v>
          </cell>
        </row>
      </sheetData>
      <sheetData sheetId="7276">
        <row r="2">
          <cell r="A2">
            <v>43462</v>
          </cell>
        </row>
      </sheetData>
      <sheetData sheetId="7277">
        <row r="2">
          <cell r="A2">
            <v>43462</v>
          </cell>
        </row>
      </sheetData>
      <sheetData sheetId="7278">
        <row r="2">
          <cell r="A2">
            <v>43462</v>
          </cell>
        </row>
      </sheetData>
      <sheetData sheetId="7279">
        <row r="2">
          <cell r="A2">
            <v>43462</v>
          </cell>
        </row>
      </sheetData>
      <sheetData sheetId="7280">
        <row r="2">
          <cell r="A2">
            <v>43462</v>
          </cell>
        </row>
      </sheetData>
      <sheetData sheetId="7281">
        <row r="2">
          <cell r="A2">
            <v>43462</v>
          </cell>
        </row>
      </sheetData>
      <sheetData sheetId="7282">
        <row r="2">
          <cell r="A2">
            <v>43462</v>
          </cell>
        </row>
      </sheetData>
      <sheetData sheetId="7283">
        <row r="2">
          <cell r="A2">
            <v>43462</v>
          </cell>
        </row>
      </sheetData>
      <sheetData sheetId="7284">
        <row r="2">
          <cell r="A2">
            <v>43462</v>
          </cell>
        </row>
      </sheetData>
      <sheetData sheetId="7285">
        <row r="2">
          <cell r="A2">
            <v>43462</v>
          </cell>
        </row>
      </sheetData>
      <sheetData sheetId="7286">
        <row r="2">
          <cell r="A2">
            <v>43462</v>
          </cell>
        </row>
      </sheetData>
      <sheetData sheetId="7287">
        <row r="2">
          <cell r="A2">
            <v>43462</v>
          </cell>
        </row>
      </sheetData>
      <sheetData sheetId="7288">
        <row r="2">
          <cell r="A2">
            <v>43462</v>
          </cell>
        </row>
      </sheetData>
      <sheetData sheetId="7289">
        <row r="2">
          <cell r="A2">
            <v>43462</v>
          </cell>
        </row>
      </sheetData>
      <sheetData sheetId="7290">
        <row r="2">
          <cell r="A2">
            <v>43462</v>
          </cell>
        </row>
      </sheetData>
      <sheetData sheetId="7291">
        <row r="2">
          <cell r="A2">
            <v>43462</v>
          </cell>
        </row>
      </sheetData>
      <sheetData sheetId="7292">
        <row r="2">
          <cell r="A2">
            <v>43462</v>
          </cell>
        </row>
      </sheetData>
      <sheetData sheetId="7293">
        <row r="2">
          <cell r="A2">
            <v>43462</v>
          </cell>
        </row>
      </sheetData>
      <sheetData sheetId="7294">
        <row r="2">
          <cell r="A2">
            <v>43462</v>
          </cell>
        </row>
      </sheetData>
      <sheetData sheetId="7295">
        <row r="2">
          <cell r="A2">
            <v>43462</v>
          </cell>
        </row>
      </sheetData>
      <sheetData sheetId="7296">
        <row r="2">
          <cell r="A2">
            <v>43462</v>
          </cell>
        </row>
      </sheetData>
      <sheetData sheetId="7297">
        <row r="2">
          <cell r="A2" t="str">
            <v>Complete</v>
          </cell>
        </row>
      </sheetData>
      <sheetData sheetId="7298">
        <row r="2">
          <cell r="A2" t="str">
            <v>Complete</v>
          </cell>
        </row>
      </sheetData>
      <sheetData sheetId="7299">
        <row r="2">
          <cell r="A2" t="str">
            <v>Complete</v>
          </cell>
        </row>
      </sheetData>
      <sheetData sheetId="7300">
        <row r="2">
          <cell r="A2" t="str">
            <v>Complete</v>
          </cell>
        </row>
      </sheetData>
      <sheetData sheetId="7301">
        <row r="2">
          <cell r="A2" t="str">
            <v>Complete</v>
          </cell>
        </row>
      </sheetData>
      <sheetData sheetId="7302">
        <row r="2">
          <cell r="A2" t="str">
            <v>Complete</v>
          </cell>
        </row>
      </sheetData>
      <sheetData sheetId="7303">
        <row r="2">
          <cell r="A2" t="str">
            <v>Complete</v>
          </cell>
        </row>
      </sheetData>
      <sheetData sheetId="7304">
        <row r="2">
          <cell r="A2" t="str">
            <v>Complete</v>
          </cell>
        </row>
      </sheetData>
      <sheetData sheetId="7305">
        <row r="2">
          <cell r="A2" t="str">
            <v>Complete</v>
          </cell>
        </row>
      </sheetData>
      <sheetData sheetId="7306">
        <row r="2">
          <cell r="A2" t="str">
            <v>Complete</v>
          </cell>
        </row>
      </sheetData>
      <sheetData sheetId="7307">
        <row r="2">
          <cell r="A2" t="str">
            <v>Complete</v>
          </cell>
        </row>
      </sheetData>
      <sheetData sheetId="7308">
        <row r="2">
          <cell r="A2" t="str">
            <v>Complete</v>
          </cell>
        </row>
      </sheetData>
      <sheetData sheetId="7309">
        <row r="2">
          <cell r="A2" t="str">
            <v>Complete</v>
          </cell>
        </row>
      </sheetData>
      <sheetData sheetId="7310">
        <row r="2">
          <cell r="A2" t="str">
            <v>Complete</v>
          </cell>
        </row>
      </sheetData>
      <sheetData sheetId="7311">
        <row r="2">
          <cell r="A2" t="str">
            <v>Complete</v>
          </cell>
        </row>
      </sheetData>
      <sheetData sheetId="7312">
        <row r="2">
          <cell r="A2" t="str">
            <v>Complete</v>
          </cell>
        </row>
      </sheetData>
      <sheetData sheetId="7313">
        <row r="2">
          <cell r="A2" t="str">
            <v>Complete</v>
          </cell>
        </row>
      </sheetData>
      <sheetData sheetId="7314">
        <row r="2">
          <cell r="A2">
            <v>43462</v>
          </cell>
        </row>
      </sheetData>
      <sheetData sheetId="7315">
        <row r="2">
          <cell r="A2">
            <v>43462</v>
          </cell>
        </row>
      </sheetData>
      <sheetData sheetId="7316">
        <row r="2">
          <cell r="A2">
            <v>43462</v>
          </cell>
        </row>
      </sheetData>
      <sheetData sheetId="7317">
        <row r="2">
          <cell r="A2">
            <v>43462</v>
          </cell>
        </row>
      </sheetData>
      <sheetData sheetId="7318">
        <row r="2">
          <cell r="A2">
            <v>43462</v>
          </cell>
        </row>
      </sheetData>
      <sheetData sheetId="7319">
        <row r="2">
          <cell r="A2">
            <v>43462</v>
          </cell>
        </row>
      </sheetData>
      <sheetData sheetId="7320">
        <row r="2">
          <cell r="A2">
            <v>43462</v>
          </cell>
        </row>
      </sheetData>
      <sheetData sheetId="7321">
        <row r="2">
          <cell r="A2">
            <v>43462</v>
          </cell>
        </row>
      </sheetData>
      <sheetData sheetId="7322">
        <row r="2">
          <cell r="A2">
            <v>43462</v>
          </cell>
        </row>
      </sheetData>
      <sheetData sheetId="7323">
        <row r="2">
          <cell r="A2">
            <v>43462</v>
          </cell>
        </row>
      </sheetData>
      <sheetData sheetId="7324">
        <row r="2">
          <cell r="A2">
            <v>43462</v>
          </cell>
        </row>
      </sheetData>
      <sheetData sheetId="7325">
        <row r="2">
          <cell r="A2">
            <v>43462</v>
          </cell>
        </row>
      </sheetData>
      <sheetData sheetId="7326">
        <row r="2">
          <cell r="A2">
            <v>43462</v>
          </cell>
        </row>
      </sheetData>
      <sheetData sheetId="7327">
        <row r="2">
          <cell r="A2">
            <v>43462</v>
          </cell>
        </row>
      </sheetData>
      <sheetData sheetId="7328">
        <row r="2">
          <cell r="A2">
            <v>43462</v>
          </cell>
        </row>
      </sheetData>
      <sheetData sheetId="7329">
        <row r="2">
          <cell r="A2">
            <v>43462</v>
          </cell>
        </row>
      </sheetData>
      <sheetData sheetId="7330">
        <row r="2">
          <cell r="A2">
            <v>43462</v>
          </cell>
        </row>
      </sheetData>
      <sheetData sheetId="7331">
        <row r="2">
          <cell r="A2">
            <v>43462</v>
          </cell>
        </row>
      </sheetData>
      <sheetData sheetId="7332">
        <row r="2">
          <cell r="A2">
            <v>43462</v>
          </cell>
        </row>
      </sheetData>
      <sheetData sheetId="7333">
        <row r="2">
          <cell r="A2">
            <v>43462</v>
          </cell>
        </row>
      </sheetData>
      <sheetData sheetId="7334">
        <row r="2">
          <cell r="A2">
            <v>43462</v>
          </cell>
        </row>
      </sheetData>
      <sheetData sheetId="7335">
        <row r="2">
          <cell r="A2">
            <v>43462</v>
          </cell>
        </row>
      </sheetData>
      <sheetData sheetId="7336">
        <row r="2">
          <cell r="A2">
            <v>43462</v>
          </cell>
        </row>
      </sheetData>
      <sheetData sheetId="7337">
        <row r="2">
          <cell r="A2">
            <v>43462</v>
          </cell>
        </row>
      </sheetData>
      <sheetData sheetId="7338">
        <row r="2">
          <cell r="A2" t="str">
            <v>Complete</v>
          </cell>
        </row>
      </sheetData>
      <sheetData sheetId="7339">
        <row r="2">
          <cell r="A2" t="str">
            <v>Complete</v>
          </cell>
        </row>
      </sheetData>
      <sheetData sheetId="7340">
        <row r="2">
          <cell r="A2" t="str">
            <v>Complete</v>
          </cell>
        </row>
      </sheetData>
      <sheetData sheetId="7341">
        <row r="2">
          <cell r="A2" t="str">
            <v>Complete</v>
          </cell>
        </row>
      </sheetData>
      <sheetData sheetId="7342">
        <row r="2">
          <cell r="A2" t="str">
            <v>Complete</v>
          </cell>
        </row>
      </sheetData>
      <sheetData sheetId="7343">
        <row r="2">
          <cell r="A2" t="str">
            <v>Complete</v>
          </cell>
        </row>
      </sheetData>
      <sheetData sheetId="7344">
        <row r="2">
          <cell r="A2" t="str">
            <v>Complete</v>
          </cell>
        </row>
      </sheetData>
      <sheetData sheetId="7345">
        <row r="2">
          <cell r="A2" t="str">
            <v>Complete</v>
          </cell>
        </row>
      </sheetData>
      <sheetData sheetId="7346">
        <row r="2">
          <cell r="A2" t="str">
            <v>Complete</v>
          </cell>
        </row>
      </sheetData>
      <sheetData sheetId="7347">
        <row r="2">
          <cell r="A2" t="str">
            <v>Complete</v>
          </cell>
        </row>
      </sheetData>
      <sheetData sheetId="7348">
        <row r="2">
          <cell r="A2" t="str">
            <v>Complete</v>
          </cell>
        </row>
      </sheetData>
      <sheetData sheetId="7349">
        <row r="2">
          <cell r="A2" t="str">
            <v>Complete</v>
          </cell>
        </row>
      </sheetData>
      <sheetData sheetId="7350">
        <row r="2">
          <cell r="A2" t="str">
            <v>Complete</v>
          </cell>
        </row>
      </sheetData>
      <sheetData sheetId="7351">
        <row r="2">
          <cell r="A2" t="str">
            <v>Complete</v>
          </cell>
        </row>
      </sheetData>
      <sheetData sheetId="7352">
        <row r="2">
          <cell r="A2" t="str">
            <v>Complete</v>
          </cell>
        </row>
      </sheetData>
      <sheetData sheetId="7353">
        <row r="2">
          <cell r="A2" t="str">
            <v>Complete</v>
          </cell>
        </row>
      </sheetData>
      <sheetData sheetId="7354">
        <row r="2">
          <cell r="A2" t="str">
            <v>Complete</v>
          </cell>
        </row>
      </sheetData>
      <sheetData sheetId="7355">
        <row r="2">
          <cell r="A2" t="str">
            <v>Complete</v>
          </cell>
        </row>
      </sheetData>
      <sheetData sheetId="7356">
        <row r="2">
          <cell r="A2" t="str">
            <v>Complete</v>
          </cell>
        </row>
      </sheetData>
      <sheetData sheetId="7357">
        <row r="2">
          <cell r="A2" t="str">
            <v>Complete</v>
          </cell>
        </row>
      </sheetData>
      <sheetData sheetId="7358">
        <row r="2">
          <cell r="A2">
            <v>43462</v>
          </cell>
        </row>
      </sheetData>
      <sheetData sheetId="7359">
        <row r="2">
          <cell r="A2">
            <v>43462</v>
          </cell>
        </row>
      </sheetData>
      <sheetData sheetId="7360">
        <row r="2">
          <cell r="A2">
            <v>43462</v>
          </cell>
        </row>
      </sheetData>
      <sheetData sheetId="7361">
        <row r="2">
          <cell r="A2">
            <v>43462</v>
          </cell>
        </row>
      </sheetData>
      <sheetData sheetId="7362">
        <row r="2">
          <cell r="A2">
            <v>43462</v>
          </cell>
        </row>
      </sheetData>
      <sheetData sheetId="7363">
        <row r="2">
          <cell r="A2">
            <v>43462</v>
          </cell>
        </row>
      </sheetData>
      <sheetData sheetId="7364">
        <row r="2">
          <cell r="A2">
            <v>43462</v>
          </cell>
        </row>
      </sheetData>
      <sheetData sheetId="7365">
        <row r="2">
          <cell r="A2">
            <v>43462</v>
          </cell>
        </row>
      </sheetData>
      <sheetData sheetId="7366">
        <row r="2">
          <cell r="A2">
            <v>43462</v>
          </cell>
        </row>
      </sheetData>
      <sheetData sheetId="7367">
        <row r="2">
          <cell r="A2">
            <v>43462</v>
          </cell>
        </row>
      </sheetData>
      <sheetData sheetId="7368">
        <row r="2">
          <cell r="A2">
            <v>43462</v>
          </cell>
        </row>
      </sheetData>
      <sheetData sheetId="7369">
        <row r="2">
          <cell r="A2">
            <v>43462</v>
          </cell>
        </row>
      </sheetData>
      <sheetData sheetId="7370">
        <row r="2">
          <cell r="A2">
            <v>43462</v>
          </cell>
        </row>
      </sheetData>
      <sheetData sheetId="7371">
        <row r="2">
          <cell r="A2">
            <v>43462</v>
          </cell>
        </row>
      </sheetData>
      <sheetData sheetId="7372">
        <row r="2">
          <cell r="A2">
            <v>43462</v>
          </cell>
        </row>
      </sheetData>
      <sheetData sheetId="7373">
        <row r="2">
          <cell r="A2">
            <v>43462</v>
          </cell>
        </row>
      </sheetData>
      <sheetData sheetId="7374">
        <row r="2">
          <cell r="A2">
            <v>43462</v>
          </cell>
        </row>
      </sheetData>
      <sheetData sheetId="7375">
        <row r="2">
          <cell r="A2">
            <v>43462</v>
          </cell>
        </row>
      </sheetData>
      <sheetData sheetId="7376">
        <row r="2">
          <cell r="A2">
            <v>43462</v>
          </cell>
        </row>
      </sheetData>
      <sheetData sheetId="7377">
        <row r="2">
          <cell r="A2">
            <v>43462</v>
          </cell>
        </row>
      </sheetData>
      <sheetData sheetId="7378">
        <row r="2">
          <cell r="A2" t="str">
            <v>Complete</v>
          </cell>
        </row>
      </sheetData>
      <sheetData sheetId="7379">
        <row r="2">
          <cell r="A2" t="str">
            <v>Complete</v>
          </cell>
        </row>
      </sheetData>
      <sheetData sheetId="7380">
        <row r="2">
          <cell r="A2" t="str">
            <v>Complete</v>
          </cell>
        </row>
      </sheetData>
      <sheetData sheetId="7381">
        <row r="2">
          <cell r="A2" t="str">
            <v>Complete</v>
          </cell>
        </row>
      </sheetData>
      <sheetData sheetId="7382">
        <row r="2">
          <cell r="A2" t="str">
            <v>Complete</v>
          </cell>
        </row>
      </sheetData>
      <sheetData sheetId="7383">
        <row r="2">
          <cell r="A2" t="str">
            <v>Complete</v>
          </cell>
        </row>
      </sheetData>
      <sheetData sheetId="7384">
        <row r="2">
          <cell r="A2" t="str">
            <v>Complete</v>
          </cell>
        </row>
      </sheetData>
      <sheetData sheetId="7385">
        <row r="2">
          <cell r="A2" t="str">
            <v>Complete</v>
          </cell>
        </row>
      </sheetData>
      <sheetData sheetId="7386">
        <row r="2">
          <cell r="A2" t="str">
            <v>Complete</v>
          </cell>
        </row>
      </sheetData>
      <sheetData sheetId="7387">
        <row r="2">
          <cell r="A2" t="str">
            <v>Complete</v>
          </cell>
        </row>
      </sheetData>
      <sheetData sheetId="7388">
        <row r="2">
          <cell r="A2" t="str">
            <v>Complete</v>
          </cell>
        </row>
      </sheetData>
      <sheetData sheetId="7389">
        <row r="2">
          <cell r="A2" t="str">
            <v>Complete</v>
          </cell>
        </row>
      </sheetData>
      <sheetData sheetId="7390">
        <row r="2">
          <cell r="A2" t="str">
            <v>Complete</v>
          </cell>
        </row>
      </sheetData>
      <sheetData sheetId="7391">
        <row r="2">
          <cell r="A2" t="str">
            <v>Complete</v>
          </cell>
        </row>
      </sheetData>
      <sheetData sheetId="7392">
        <row r="2">
          <cell r="A2" t="str">
            <v>Complete</v>
          </cell>
        </row>
      </sheetData>
      <sheetData sheetId="7393">
        <row r="2">
          <cell r="A2" t="str">
            <v>Complete</v>
          </cell>
        </row>
      </sheetData>
      <sheetData sheetId="7394">
        <row r="2">
          <cell r="A2" t="str">
            <v>Complete</v>
          </cell>
        </row>
      </sheetData>
      <sheetData sheetId="7395">
        <row r="2">
          <cell r="A2" t="str">
            <v>Complete</v>
          </cell>
        </row>
      </sheetData>
      <sheetData sheetId="7396">
        <row r="2">
          <cell r="A2" t="str">
            <v>Complete</v>
          </cell>
        </row>
      </sheetData>
      <sheetData sheetId="7397">
        <row r="2">
          <cell r="A2">
            <v>43462</v>
          </cell>
        </row>
      </sheetData>
      <sheetData sheetId="7398">
        <row r="2">
          <cell r="A2">
            <v>43462</v>
          </cell>
        </row>
      </sheetData>
      <sheetData sheetId="7399">
        <row r="2">
          <cell r="A2">
            <v>43462</v>
          </cell>
        </row>
      </sheetData>
      <sheetData sheetId="7400">
        <row r="2">
          <cell r="A2">
            <v>43462</v>
          </cell>
        </row>
      </sheetData>
      <sheetData sheetId="7401">
        <row r="2">
          <cell r="A2">
            <v>43462</v>
          </cell>
        </row>
      </sheetData>
      <sheetData sheetId="7402">
        <row r="2">
          <cell r="A2">
            <v>43462</v>
          </cell>
        </row>
      </sheetData>
      <sheetData sheetId="7403">
        <row r="2">
          <cell r="A2">
            <v>43462</v>
          </cell>
        </row>
      </sheetData>
      <sheetData sheetId="7404">
        <row r="2">
          <cell r="A2">
            <v>43462</v>
          </cell>
        </row>
      </sheetData>
      <sheetData sheetId="7405">
        <row r="2">
          <cell r="A2">
            <v>43462</v>
          </cell>
        </row>
      </sheetData>
      <sheetData sheetId="7406">
        <row r="2">
          <cell r="A2">
            <v>43462</v>
          </cell>
        </row>
      </sheetData>
      <sheetData sheetId="7407">
        <row r="2">
          <cell r="A2">
            <v>43462</v>
          </cell>
        </row>
      </sheetData>
      <sheetData sheetId="7408">
        <row r="2">
          <cell r="A2">
            <v>43462</v>
          </cell>
        </row>
      </sheetData>
      <sheetData sheetId="7409">
        <row r="2">
          <cell r="A2">
            <v>43462</v>
          </cell>
        </row>
      </sheetData>
      <sheetData sheetId="7410">
        <row r="2">
          <cell r="A2">
            <v>43462</v>
          </cell>
        </row>
      </sheetData>
      <sheetData sheetId="7411">
        <row r="2">
          <cell r="A2">
            <v>43462</v>
          </cell>
        </row>
      </sheetData>
      <sheetData sheetId="7412">
        <row r="2">
          <cell r="A2">
            <v>43462</v>
          </cell>
        </row>
      </sheetData>
      <sheetData sheetId="7413">
        <row r="2">
          <cell r="A2">
            <v>43462</v>
          </cell>
        </row>
      </sheetData>
      <sheetData sheetId="7414">
        <row r="2">
          <cell r="A2">
            <v>43462</v>
          </cell>
        </row>
      </sheetData>
      <sheetData sheetId="7415">
        <row r="2">
          <cell r="A2">
            <v>43462</v>
          </cell>
        </row>
      </sheetData>
      <sheetData sheetId="7416">
        <row r="2">
          <cell r="A2">
            <v>43462</v>
          </cell>
        </row>
      </sheetData>
      <sheetData sheetId="7417">
        <row r="2">
          <cell r="A2">
            <v>43462</v>
          </cell>
        </row>
      </sheetData>
      <sheetData sheetId="7418">
        <row r="2">
          <cell r="A2">
            <v>43462</v>
          </cell>
        </row>
      </sheetData>
      <sheetData sheetId="7419">
        <row r="2">
          <cell r="A2" t="str">
            <v>Complete</v>
          </cell>
        </row>
      </sheetData>
      <sheetData sheetId="7420">
        <row r="2">
          <cell r="A2" t="str">
            <v>Complete</v>
          </cell>
        </row>
      </sheetData>
      <sheetData sheetId="7421">
        <row r="2">
          <cell r="A2" t="str">
            <v>Complete</v>
          </cell>
        </row>
      </sheetData>
      <sheetData sheetId="7422">
        <row r="2">
          <cell r="A2" t="str">
            <v>Complete</v>
          </cell>
        </row>
      </sheetData>
      <sheetData sheetId="7423">
        <row r="2">
          <cell r="A2" t="str">
            <v>Complete</v>
          </cell>
        </row>
      </sheetData>
      <sheetData sheetId="7424">
        <row r="2">
          <cell r="A2" t="str">
            <v>Complete</v>
          </cell>
        </row>
      </sheetData>
      <sheetData sheetId="7425">
        <row r="2">
          <cell r="A2" t="str">
            <v>Complete</v>
          </cell>
        </row>
      </sheetData>
      <sheetData sheetId="7426">
        <row r="2">
          <cell r="A2" t="str">
            <v>Complete</v>
          </cell>
        </row>
      </sheetData>
      <sheetData sheetId="7427">
        <row r="2">
          <cell r="A2" t="str">
            <v>Complete</v>
          </cell>
        </row>
      </sheetData>
      <sheetData sheetId="7428">
        <row r="2">
          <cell r="A2" t="str">
            <v>Complete</v>
          </cell>
        </row>
      </sheetData>
      <sheetData sheetId="7429">
        <row r="2">
          <cell r="A2" t="str">
            <v>Complete</v>
          </cell>
        </row>
      </sheetData>
      <sheetData sheetId="7430">
        <row r="2">
          <cell r="A2" t="str">
            <v>Complete</v>
          </cell>
        </row>
      </sheetData>
      <sheetData sheetId="7431">
        <row r="2">
          <cell r="A2" t="str">
            <v>Complete</v>
          </cell>
        </row>
      </sheetData>
      <sheetData sheetId="7432">
        <row r="2">
          <cell r="A2" t="str">
            <v>Complete</v>
          </cell>
        </row>
      </sheetData>
      <sheetData sheetId="7433">
        <row r="2">
          <cell r="A2" t="str">
            <v>Complete</v>
          </cell>
        </row>
      </sheetData>
      <sheetData sheetId="7434">
        <row r="2">
          <cell r="A2" t="str">
            <v>Complete</v>
          </cell>
        </row>
      </sheetData>
      <sheetData sheetId="7435">
        <row r="2">
          <cell r="A2" t="str">
            <v>Complete</v>
          </cell>
        </row>
      </sheetData>
      <sheetData sheetId="7436">
        <row r="2">
          <cell r="A2" t="str">
            <v>Complete</v>
          </cell>
        </row>
      </sheetData>
      <sheetData sheetId="7437">
        <row r="2">
          <cell r="A2" t="str">
            <v>Complete</v>
          </cell>
        </row>
      </sheetData>
      <sheetData sheetId="7438">
        <row r="2">
          <cell r="A2">
            <v>43462</v>
          </cell>
        </row>
      </sheetData>
      <sheetData sheetId="7439">
        <row r="2">
          <cell r="A2">
            <v>43462</v>
          </cell>
        </row>
      </sheetData>
      <sheetData sheetId="7440">
        <row r="2">
          <cell r="A2">
            <v>43462</v>
          </cell>
        </row>
      </sheetData>
      <sheetData sheetId="7441">
        <row r="2">
          <cell r="A2">
            <v>43462</v>
          </cell>
        </row>
      </sheetData>
      <sheetData sheetId="7442">
        <row r="2">
          <cell r="A2">
            <v>43462</v>
          </cell>
        </row>
      </sheetData>
      <sheetData sheetId="7443">
        <row r="2">
          <cell r="A2">
            <v>43462</v>
          </cell>
        </row>
      </sheetData>
      <sheetData sheetId="7444">
        <row r="2">
          <cell r="A2">
            <v>43462</v>
          </cell>
        </row>
      </sheetData>
      <sheetData sheetId="7445">
        <row r="2">
          <cell r="A2">
            <v>43462</v>
          </cell>
        </row>
      </sheetData>
      <sheetData sheetId="7446">
        <row r="2">
          <cell r="A2">
            <v>43462</v>
          </cell>
        </row>
      </sheetData>
      <sheetData sheetId="7447">
        <row r="2">
          <cell r="A2">
            <v>43462</v>
          </cell>
        </row>
      </sheetData>
      <sheetData sheetId="7448">
        <row r="2">
          <cell r="A2">
            <v>43462</v>
          </cell>
        </row>
      </sheetData>
      <sheetData sheetId="7449">
        <row r="2">
          <cell r="A2">
            <v>43462</v>
          </cell>
        </row>
      </sheetData>
      <sheetData sheetId="7450">
        <row r="2">
          <cell r="A2">
            <v>43462</v>
          </cell>
        </row>
      </sheetData>
      <sheetData sheetId="7451">
        <row r="2">
          <cell r="A2">
            <v>43462</v>
          </cell>
        </row>
      </sheetData>
      <sheetData sheetId="7452">
        <row r="2">
          <cell r="A2">
            <v>43462</v>
          </cell>
        </row>
      </sheetData>
      <sheetData sheetId="7453">
        <row r="2">
          <cell r="A2">
            <v>43462</v>
          </cell>
        </row>
      </sheetData>
      <sheetData sheetId="7454">
        <row r="2">
          <cell r="A2">
            <v>43462</v>
          </cell>
        </row>
      </sheetData>
      <sheetData sheetId="7455">
        <row r="2">
          <cell r="A2">
            <v>43462</v>
          </cell>
        </row>
      </sheetData>
      <sheetData sheetId="7456">
        <row r="2">
          <cell r="A2">
            <v>43462</v>
          </cell>
        </row>
      </sheetData>
      <sheetData sheetId="7457">
        <row r="2">
          <cell r="A2">
            <v>43462</v>
          </cell>
        </row>
      </sheetData>
      <sheetData sheetId="7458">
        <row r="2">
          <cell r="A2">
            <v>43462</v>
          </cell>
        </row>
      </sheetData>
      <sheetData sheetId="7459">
        <row r="2">
          <cell r="A2">
            <v>43462</v>
          </cell>
        </row>
      </sheetData>
      <sheetData sheetId="7460">
        <row r="2">
          <cell r="A2" t="str">
            <v>Complete</v>
          </cell>
        </row>
      </sheetData>
      <sheetData sheetId="7461">
        <row r="2">
          <cell r="A2" t="str">
            <v>Complete</v>
          </cell>
        </row>
      </sheetData>
      <sheetData sheetId="7462">
        <row r="2">
          <cell r="A2" t="str">
            <v>Complete</v>
          </cell>
        </row>
      </sheetData>
      <sheetData sheetId="7463">
        <row r="2">
          <cell r="A2" t="str">
            <v>Complete</v>
          </cell>
        </row>
      </sheetData>
      <sheetData sheetId="7464">
        <row r="2">
          <cell r="A2" t="str">
            <v>Complete</v>
          </cell>
        </row>
      </sheetData>
      <sheetData sheetId="7465">
        <row r="2">
          <cell r="A2" t="str">
            <v>Complete</v>
          </cell>
        </row>
      </sheetData>
      <sheetData sheetId="7466">
        <row r="2">
          <cell r="A2" t="str">
            <v>Complete</v>
          </cell>
        </row>
      </sheetData>
      <sheetData sheetId="7467">
        <row r="2">
          <cell r="A2" t="str">
            <v>Complete</v>
          </cell>
        </row>
      </sheetData>
      <sheetData sheetId="7468">
        <row r="2">
          <cell r="A2" t="str">
            <v>Complete</v>
          </cell>
        </row>
      </sheetData>
      <sheetData sheetId="7469">
        <row r="2">
          <cell r="A2" t="str">
            <v>Complete</v>
          </cell>
        </row>
      </sheetData>
      <sheetData sheetId="7470">
        <row r="2">
          <cell r="A2" t="str">
            <v>Complete</v>
          </cell>
        </row>
      </sheetData>
      <sheetData sheetId="7471">
        <row r="2">
          <cell r="A2" t="str">
            <v>Complete</v>
          </cell>
        </row>
      </sheetData>
      <sheetData sheetId="7472">
        <row r="2">
          <cell r="A2" t="str">
            <v>Complete</v>
          </cell>
        </row>
      </sheetData>
      <sheetData sheetId="7473">
        <row r="2">
          <cell r="A2" t="str">
            <v>Complete</v>
          </cell>
        </row>
      </sheetData>
      <sheetData sheetId="7474">
        <row r="2">
          <cell r="A2" t="str">
            <v>Complete</v>
          </cell>
        </row>
      </sheetData>
      <sheetData sheetId="7475">
        <row r="2">
          <cell r="A2" t="str">
            <v>Complete</v>
          </cell>
        </row>
      </sheetData>
      <sheetData sheetId="7476">
        <row r="2">
          <cell r="A2" t="str">
            <v>Complete</v>
          </cell>
        </row>
      </sheetData>
      <sheetData sheetId="7477">
        <row r="2">
          <cell r="A2" t="str">
            <v>Complete</v>
          </cell>
        </row>
      </sheetData>
      <sheetData sheetId="7478">
        <row r="2">
          <cell r="A2" t="str">
            <v>Complete</v>
          </cell>
        </row>
      </sheetData>
      <sheetData sheetId="7479">
        <row r="2">
          <cell r="A2" t="str">
            <v>Complete</v>
          </cell>
        </row>
      </sheetData>
      <sheetData sheetId="7480">
        <row r="2">
          <cell r="A2" t="str">
            <v>Complete</v>
          </cell>
        </row>
      </sheetData>
      <sheetData sheetId="7481">
        <row r="2">
          <cell r="A2" t="str">
            <v>Complete</v>
          </cell>
        </row>
      </sheetData>
      <sheetData sheetId="7482">
        <row r="2">
          <cell r="A2" t="str">
            <v>Complete</v>
          </cell>
        </row>
      </sheetData>
      <sheetData sheetId="7483">
        <row r="2">
          <cell r="A2">
            <v>43462</v>
          </cell>
        </row>
      </sheetData>
      <sheetData sheetId="7484">
        <row r="2">
          <cell r="A2">
            <v>43462</v>
          </cell>
        </row>
      </sheetData>
      <sheetData sheetId="7485">
        <row r="2">
          <cell r="A2">
            <v>43462</v>
          </cell>
        </row>
      </sheetData>
      <sheetData sheetId="7486">
        <row r="2">
          <cell r="A2">
            <v>43462</v>
          </cell>
        </row>
      </sheetData>
      <sheetData sheetId="7487">
        <row r="2">
          <cell r="A2">
            <v>43462</v>
          </cell>
        </row>
      </sheetData>
      <sheetData sheetId="7488">
        <row r="2">
          <cell r="A2">
            <v>43462</v>
          </cell>
        </row>
      </sheetData>
      <sheetData sheetId="7489">
        <row r="2">
          <cell r="A2">
            <v>43462</v>
          </cell>
        </row>
      </sheetData>
      <sheetData sheetId="7490">
        <row r="2">
          <cell r="A2">
            <v>43462</v>
          </cell>
        </row>
      </sheetData>
      <sheetData sheetId="7491">
        <row r="2">
          <cell r="A2">
            <v>43462</v>
          </cell>
        </row>
      </sheetData>
      <sheetData sheetId="7492">
        <row r="2">
          <cell r="A2">
            <v>43462</v>
          </cell>
        </row>
      </sheetData>
      <sheetData sheetId="7493">
        <row r="2">
          <cell r="A2">
            <v>43462</v>
          </cell>
        </row>
      </sheetData>
      <sheetData sheetId="7494">
        <row r="2">
          <cell r="A2">
            <v>43462</v>
          </cell>
        </row>
      </sheetData>
      <sheetData sheetId="7495">
        <row r="2">
          <cell r="A2">
            <v>43462</v>
          </cell>
        </row>
      </sheetData>
      <sheetData sheetId="7496">
        <row r="2">
          <cell r="A2">
            <v>43462</v>
          </cell>
        </row>
      </sheetData>
      <sheetData sheetId="7497">
        <row r="2">
          <cell r="A2">
            <v>43462</v>
          </cell>
        </row>
      </sheetData>
      <sheetData sheetId="7498">
        <row r="2">
          <cell r="A2">
            <v>43462</v>
          </cell>
        </row>
      </sheetData>
      <sheetData sheetId="7499">
        <row r="2">
          <cell r="A2">
            <v>43462</v>
          </cell>
        </row>
      </sheetData>
      <sheetData sheetId="7500">
        <row r="2">
          <cell r="A2">
            <v>43462</v>
          </cell>
        </row>
      </sheetData>
      <sheetData sheetId="7501">
        <row r="2">
          <cell r="A2" t="str">
            <v>Complete</v>
          </cell>
        </row>
      </sheetData>
      <sheetData sheetId="7502">
        <row r="2">
          <cell r="A2" t="str">
            <v>Complete</v>
          </cell>
        </row>
      </sheetData>
      <sheetData sheetId="7503">
        <row r="2">
          <cell r="A2" t="str">
            <v>Complete</v>
          </cell>
        </row>
      </sheetData>
      <sheetData sheetId="7504">
        <row r="2">
          <cell r="A2" t="str">
            <v>Complete</v>
          </cell>
        </row>
      </sheetData>
      <sheetData sheetId="7505">
        <row r="2">
          <cell r="A2" t="str">
            <v>Complete</v>
          </cell>
        </row>
      </sheetData>
      <sheetData sheetId="7506">
        <row r="2">
          <cell r="A2" t="str">
            <v>Complete</v>
          </cell>
        </row>
      </sheetData>
      <sheetData sheetId="7507">
        <row r="2">
          <cell r="A2" t="str">
            <v>Complete</v>
          </cell>
        </row>
      </sheetData>
      <sheetData sheetId="7508">
        <row r="2">
          <cell r="A2" t="str">
            <v>Complete</v>
          </cell>
        </row>
      </sheetData>
      <sheetData sheetId="7509">
        <row r="2">
          <cell r="A2" t="str">
            <v>Complete</v>
          </cell>
        </row>
      </sheetData>
      <sheetData sheetId="7510">
        <row r="2">
          <cell r="A2" t="str">
            <v>Complete</v>
          </cell>
        </row>
      </sheetData>
      <sheetData sheetId="7511">
        <row r="2">
          <cell r="A2" t="str">
            <v>Complete</v>
          </cell>
        </row>
      </sheetData>
      <sheetData sheetId="7512">
        <row r="2">
          <cell r="A2" t="str">
            <v>Complete</v>
          </cell>
        </row>
      </sheetData>
      <sheetData sheetId="7513">
        <row r="2">
          <cell r="A2" t="str">
            <v>Complete</v>
          </cell>
        </row>
      </sheetData>
      <sheetData sheetId="7514">
        <row r="2">
          <cell r="A2" t="str">
            <v>Complete</v>
          </cell>
        </row>
      </sheetData>
      <sheetData sheetId="7515">
        <row r="2">
          <cell r="A2" t="str">
            <v>Complete</v>
          </cell>
        </row>
      </sheetData>
      <sheetData sheetId="7516">
        <row r="2">
          <cell r="A2" t="str">
            <v>Complete</v>
          </cell>
        </row>
      </sheetData>
      <sheetData sheetId="7517">
        <row r="2">
          <cell r="A2" t="str">
            <v>Complete</v>
          </cell>
        </row>
      </sheetData>
      <sheetData sheetId="7518">
        <row r="2">
          <cell r="A2" t="str">
            <v>Complete</v>
          </cell>
        </row>
      </sheetData>
      <sheetData sheetId="7519">
        <row r="2">
          <cell r="A2" t="str">
            <v>Complete</v>
          </cell>
        </row>
      </sheetData>
      <sheetData sheetId="7520">
        <row r="2">
          <cell r="A2">
            <v>43462</v>
          </cell>
        </row>
      </sheetData>
      <sheetData sheetId="7521">
        <row r="2">
          <cell r="A2">
            <v>43462</v>
          </cell>
        </row>
      </sheetData>
      <sheetData sheetId="7522">
        <row r="2">
          <cell r="A2">
            <v>43462</v>
          </cell>
        </row>
      </sheetData>
      <sheetData sheetId="7523">
        <row r="2">
          <cell r="A2">
            <v>43462</v>
          </cell>
        </row>
      </sheetData>
      <sheetData sheetId="7524">
        <row r="2">
          <cell r="A2">
            <v>43462</v>
          </cell>
        </row>
      </sheetData>
      <sheetData sheetId="7525">
        <row r="2">
          <cell r="A2">
            <v>43462</v>
          </cell>
        </row>
      </sheetData>
      <sheetData sheetId="7526">
        <row r="2">
          <cell r="A2">
            <v>43462</v>
          </cell>
        </row>
      </sheetData>
      <sheetData sheetId="7527">
        <row r="2">
          <cell r="A2">
            <v>43462</v>
          </cell>
        </row>
      </sheetData>
      <sheetData sheetId="7528">
        <row r="2">
          <cell r="A2">
            <v>43462</v>
          </cell>
        </row>
      </sheetData>
      <sheetData sheetId="7529">
        <row r="2">
          <cell r="A2">
            <v>43462</v>
          </cell>
        </row>
      </sheetData>
      <sheetData sheetId="7530">
        <row r="2">
          <cell r="A2">
            <v>43462</v>
          </cell>
        </row>
      </sheetData>
      <sheetData sheetId="7531">
        <row r="2">
          <cell r="A2">
            <v>43462</v>
          </cell>
        </row>
      </sheetData>
      <sheetData sheetId="7532">
        <row r="2">
          <cell r="A2">
            <v>43462</v>
          </cell>
        </row>
      </sheetData>
      <sheetData sheetId="7533">
        <row r="2">
          <cell r="A2">
            <v>43462</v>
          </cell>
        </row>
      </sheetData>
      <sheetData sheetId="7534">
        <row r="2">
          <cell r="A2">
            <v>43462</v>
          </cell>
        </row>
      </sheetData>
      <sheetData sheetId="7535">
        <row r="2">
          <cell r="A2">
            <v>43462</v>
          </cell>
        </row>
      </sheetData>
      <sheetData sheetId="7536">
        <row r="2">
          <cell r="A2">
            <v>43462</v>
          </cell>
        </row>
      </sheetData>
      <sheetData sheetId="7537">
        <row r="2">
          <cell r="A2">
            <v>43462</v>
          </cell>
        </row>
      </sheetData>
      <sheetData sheetId="7538">
        <row r="2">
          <cell r="A2">
            <v>43462</v>
          </cell>
        </row>
      </sheetData>
      <sheetData sheetId="7539">
        <row r="2">
          <cell r="A2">
            <v>43462</v>
          </cell>
        </row>
      </sheetData>
      <sheetData sheetId="7540">
        <row r="2">
          <cell r="A2">
            <v>43462</v>
          </cell>
        </row>
      </sheetData>
      <sheetData sheetId="7541">
        <row r="2">
          <cell r="A2">
            <v>43462</v>
          </cell>
        </row>
      </sheetData>
      <sheetData sheetId="7542">
        <row r="2">
          <cell r="A2" t="str">
            <v>Complete</v>
          </cell>
        </row>
      </sheetData>
      <sheetData sheetId="7543">
        <row r="2">
          <cell r="A2" t="str">
            <v>Complete</v>
          </cell>
        </row>
      </sheetData>
      <sheetData sheetId="7544">
        <row r="2">
          <cell r="A2" t="str">
            <v>Complete</v>
          </cell>
        </row>
      </sheetData>
      <sheetData sheetId="7545">
        <row r="2">
          <cell r="A2" t="str">
            <v>Complete</v>
          </cell>
        </row>
      </sheetData>
      <sheetData sheetId="7546">
        <row r="2">
          <cell r="A2" t="str">
            <v>Complete</v>
          </cell>
        </row>
      </sheetData>
      <sheetData sheetId="7547">
        <row r="2">
          <cell r="A2" t="str">
            <v>Complete</v>
          </cell>
        </row>
      </sheetData>
      <sheetData sheetId="7548">
        <row r="2">
          <cell r="A2" t="str">
            <v>Complete</v>
          </cell>
        </row>
      </sheetData>
      <sheetData sheetId="7549">
        <row r="2">
          <cell r="A2" t="str">
            <v>Complete</v>
          </cell>
        </row>
      </sheetData>
      <sheetData sheetId="7550">
        <row r="2">
          <cell r="A2" t="str">
            <v>Complete</v>
          </cell>
        </row>
      </sheetData>
      <sheetData sheetId="7551">
        <row r="2">
          <cell r="A2" t="str">
            <v>Complete</v>
          </cell>
        </row>
      </sheetData>
      <sheetData sheetId="7552">
        <row r="2">
          <cell r="A2" t="str">
            <v>Complete</v>
          </cell>
        </row>
      </sheetData>
      <sheetData sheetId="7553">
        <row r="2">
          <cell r="A2" t="str">
            <v>Complete</v>
          </cell>
        </row>
      </sheetData>
      <sheetData sheetId="7554">
        <row r="2">
          <cell r="A2" t="str">
            <v>Complete</v>
          </cell>
        </row>
      </sheetData>
      <sheetData sheetId="7555">
        <row r="2">
          <cell r="A2" t="str">
            <v>Complete</v>
          </cell>
        </row>
      </sheetData>
      <sheetData sheetId="7556">
        <row r="2">
          <cell r="A2" t="str">
            <v>Complete</v>
          </cell>
        </row>
      </sheetData>
      <sheetData sheetId="7557">
        <row r="2">
          <cell r="A2" t="str">
            <v>Complete</v>
          </cell>
        </row>
      </sheetData>
      <sheetData sheetId="7558">
        <row r="2">
          <cell r="A2" t="str">
            <v>Complete</v>
          </cell>
        </row>
      </sheetData>
      <sheetData sheetId="7559">
        <row r="2">
          <cell r="A2" t="str">
            <v>Complete</v>
          </cell>
        </row>
      </sheetData>
      <sheetData sheetId="7560">
        <row r="2">
          <cell r="A2" t="str">
            <v>Complete</v>
          </cell>
        </row>
      </sheetData>
      <sheetData sheetId="7561">
        <row r="2">
          <cell r="A2">
            <v>43462</v>
          </cell>
        </row>
      </sheetData>
      <sheetData sheetId="7562">
        <row r="2">
          <cell r="A2">
            <v>43462</v>
          </cell>
        </row>
      </sheetData>
      <sheetData sheetId="7563">
        <row r="2">
          <cell r="A2">
            <v>43462</v>
          </cell>
        </row>
      </sheetData>
      <sheetData sheetId="7564">
        <row r="2">
          <cell r="A2">
            <v>43462</v>
          </cell>
        </row>
      </sheetData>
      <sheetData sheetId="7565">
        <row r="2">
          <cell r="A2">
            <v>43462</v>
          </cell>
        </row>
      </sheetData>
      <sheetData sheetId="7566">
        <row r="2">
          <cell r="A2">
            <v>43462</v>
          </cell>
        </row>
      </sheetData>
      <sheetData sheetId="7567">
        <row r="2">
          <cell r="A2">
            <v>43462</v>
          </cell>
        </row>
      </sheetData>
      <sheetData sheetId="7568">
        <row r="2">
          <cell r="A2">
            <v>43462</v>
          </cell>
        </row>
      </sheetData>
      <sheetData sheetId="7569">
        <row r="2">
          <cell r="A2">
            <v>43462</v>
          </cell>
        </row>
      </sheetData>
      <sheetData sheetId="7570">
        <row r="2">
          <cell r="A2">
            <v>43462</v>
          </cell>
        </row>
      </sheetData>
      <sheetData sheetId="7571">
        <row r="2">
          <cell r="A2">
            <v>43462</v>
          </cell>
        </row>
      </sheetData>
      <sheetData sheetId="7572">
        <row r="2">
          <cell r="A2">
            <v>43462</v>
          </cell>
        </row>
      </sheetData>
      <sheetData sheetId="7573">
        <row r="2">
          <cell r="A2">
            <v>43462</v>
          </cell>
        </row>
      </sheetData>
      <sheetData sheetId="7574">
        <row r="2">
          <cell r="A2">
            <v>43462</v>
          </cell>
        </row>
      </sheetData>
      <sheetData sheetId="7575">
        <row r="2">
          <cell r="A2">
            <v>43462</v>
          </cell>
        </row>
      </sheetData>
      <sheetData sheetId="7576">
        <row r="2">
          <cell r="A2">
            <v>43462</v>
          </cell>
        </row>
      </sheetData>
      <sheetData sheetId="7577">
        <row r="2">
          <cell r="A2">
            <v>43462</v>
          </cell>
        </row>
      </sheetData>
      <sheetData sheetId="7578">
        <row r="2">
          <cell r="A2">
            <v>43462</v>
          </cell>
        </row>
      </sheetData>
      <sheetData sheetId="7579">
        <row r="2">
          <cell r="A2">
            <v>43462</v>
          </cell>
        </row>
      </sheetData>
      <sheetData sheetId="7580">
        <row r="2">
          <cell r="A2">
            <v>43462</v>
          </cell>
        </row>
      </sheetData>
      <sheetData sheetId="7581">
        <row r="2">
          <cell r="A2">
            <v>43462</v>
          </cell>
        </row>
      </sheetData>
      <sheetData sheetId="7582">
        <row r="2">
          <cell r="A2">
            <v>43462</v>
          </cell>
        </row>
      </sheetData>
      <sheetData sheetId="7583">
        <row r="2">
          <cell r="A2" t="str">
            <v>Complete</v>
          </cell>
        </row>
      </sheetData>
      <sheetData sheetId="7584">
        <row r="2">
          <cell r="A2" t="str">
            <v>Complete</v>
          </cell>
        </row>
      </sheetData>
      <sheetData sheetId="7585">
        <row r="2">
          <cell r="A2" t="str">
            <v>Complete</v>
          </cell>
        </row>
      </sheetData>
      <sheetData sheetId="7586">
        <row r="2">
          <cell r="A2" t="str">
            <v>Complete</v>
          </cell>
        </row>
      </sheetData>
      <sheetData sheetId="7587">
        <row r="2">
          <cell r="A2" t="str">
            <v>Complete</v>
          </cell>
        </row>
      </sheetData>
      <sheetData sheetId="7588">
        <row r="2">
          <cell r="A2" t="str">
            <v>Complete</v>
          </cell>
        </row>
      </sheetData>
      <sheetData sheetId="7589">
        <row r="2">
          <cell r="A2" t="str">
            <v>Complete</v>
          </cell>
        </row>
      </sheetData>
      <sheetData sheetId="7590">
        <row r="2">
          <cell r="A2" t="str">
            <v>Complete</v>
          </cell>
        </row>
      </sheetData>
      <sheetData sheetId="7591">
        <row r="2">
          <cell r="A2" t="str">
            <v>Complete</v>
          </cell>
        </row>
      </sheetData>
      <sheetData sheetId="7592">
        <row r="2">
          <cell r="A2" t="str">
            <v>Complete</v>
          </cell>
        </row>
      </sheetData>
      <sheetData sheetId="7593">
        <row r="2">
          <cell r="A2" t="str">
            <v>Complete</v>
          </cell>
        </row>
      </sheetData>
      <sheetData sheetId="7594">
        <row r="2">
          <cell r="A2" t="str">
            <v>Complete</v>
          </cell>
        </row>
      </sheetData>
      <sheetData sheetId="7595">
        <row r="2">
          <cell r="A2" t="str">
            <v>Complete</v>
          </cell>
        </row>
      </sheetData>
      <sheetData sheetId="7596">
        <row r="2">
          <cell r="A2" t="str">
            <v>Complete</v>
          </cell>
        </row>
      </sheetData>
      <sheetData sheetId="7597">
        <row r="2">
          <cell r="A2" t="str">
            <v>Complete</v>
          </cell>
        </row>
      </sheetData>
      <sheetData sheetId="7598">
        <row r="2">
          <cell r="A2" t="str">
            <v>Complete</v>
          </cell>
        </row>
      </sheetData>
      <sheetData sheetId="7599">
        <row r="2">
          <cell r="A2" t="str">
            <v>Complete</v>
          </cell>
        </row>
      </sheetData>
      <sheetData sheetId="7600">
        <row r="2">
          <cell r="A2" t="str">
            <v>Complete</v>
          </cell>
        </row>
      </sheetData>
      <sheetData sheetId="7601">
        <row r="2">
          <cell r="A2" t="str">
            <v>Complete</v>
          </cell>
        </row>
      </sheetData>
      <sheetData sheetId="7602">
        <row r="2">
          <cell r="A2" t="str">
            <v>Complete</v>
          </cell>
        </row>
      </sheetData>
      <sheetData sheetId="7603">
        <row r="2">
          <cell r="A2" t="str">
            <v>Complete</v>
          </cell>
        </row>
      </sheetData>
      <sheetData sheetId="7604">
        <row r="2">
          <cell r="A2">
            <v>43462</v>
          </cell>
        </row>
      </sheetData>
      <sheetData sheetId="7605">
        <row r="2">
          <cell r="A2">
            <v>43462</v>
          </cell>
        </row>
      </sheetData>
      <sheetData sheetId="7606">
        <row r="2">
          <cell r="A2">
            <v>43462</v>
          </cell>
        </row>
      </sheetData>
      <sheetData sheetId="7607">
        <row r="2">
          <cell r="A2">
            <v>43462</v>
          </cell>
        </row>
      </sheetData>
      <sheetData sheetId="7608">
        <row r="2">
          <cell r="A2">
            <v>43462</v>
          </cell>
        </row>
      </sheetData>
      <sheetData sheetId="7609">
        <row r="2">
          <cell r="A2">
            <v>43462</v>
          </cell>
        </row>
      </sheetData>
      <sheetData sheetId="7610">
        <row r="2">
          <cell r="A2">
            <v>43462</v>
          </cell>
        </row>
      </sheetData>
      <sheetData sheetId="7611">
        <row r="2">
          <cell r="A2">
            <v>43462</v>
          </cell>
        </row>
      </sheetData>
      <sheetData sheetId="7612">
        <row r="2">
          <cell r="A2">
            <v>43462</v>
          </cell>
        </row>
      </sheetData>
      <sheetData sheetId="7613">
        <row r="2">
          <cell r="A2">
            <v>43462</v>
          </cell>
        </row>
      </sheetData>
      <sheetData sheetId="7614">
        <row r="2">
          <cell r="A2">
            <v>43462</v>
          </cell>
        </row>
      </sheetData>
      <sheetData sheetId="7615">
        <row r="2">
          <cell r="A2">
            <v>43462</v>
          </cell>
        </row>
      </sheetData>
      <sheetData sheetId="7616">
        <row r="2">
          <cell r="A2">
            <v>43462</v>
          </cell>
        </row>
      </sheetData>
      <sheetData sheetId="7617">
        <row r="2">
          <cell r="A2">
            <v>43462</v>
          </cell>
        </row>
      </sheetData>
      <sheetData sheetId="7618">
        <row r="2">
          <cell r="A2">
            <v>43462</v>
          </cell>
        </row>
      </sheetData>
      <sheetData sheetId="7619">
        <row r="2">
          <cell r="A2">
            <v>43462</v>
          </cell>
        </row>
      </sheetData>
      <sheetData sheetId="7620">
        <row r="2">
          <cell r="A2">
            <v>43462</v>
          </cell>
        </row>
      </sheetData>
      <sheetData sheetId="7621">
        <row r="2">
          <cell r="A2">
            <v>43462</v>
          </cell>
        </row>
      </sheetData>
      <sheetData sheetId="7622">
        <row r="2">
          <cell r="A2">
            <v>43462</v>
          </cell>
        </row>
      </sheetData>
      <sheetData sheetId="7623">
        <row r="2">
          <cell r="A2">
            <v>43462</v>
          </cell>
        </row>
      </sheetData>
      <sheetData sheetId="7624">
        <row r="2">
          <cell r="A2" t="str">
            <v>Complete</v>
          </cell>
        </row>
      </sheetData>
      <sheetData sheetId="7625">
        <row r="2">
          <cell r="A2" t="str">
            <v>Complete</v>
          </cell>
        </row>
      </sheetData>
      <sheetData sheetId="7626">
        <row r="2">
          <cell r="A2" t="str">
            <v>Complete</v>
          </cell>
        </row>
      </sheetData>
      <sheetData sheetId="7627">
        <row r="2">
          <cell r="A2" t="str">
            <v>Complete</v>
          </cell>
        </row>
      </sheetData>
      <sheetData sheetId="7628">
        <row r="2">
          <cell r="A2" t="str">
            <v>Complete</v>
          </cell>
        </row>
      </sheetData>
      <sheetData sheetId="7629">
        <row r="2">
          <cell r="A2" t="str">
            <v>Complete</v>
          </cell>
        </row>
      </sheetData>
      <sheetData sheetId="7630">
        <row r="2">
          <cell r="A2" t="str">
            <v>Complete</v>
          </cell>
        </row>
      </sheetData>
      <sheetData sheetId="7631">
        <row r="2">
          <cell r="A2" t="str">
            <v>Complete</v>
          </cell>
        </row>
      </sheetData>
      <sheetData sheetId="7632">
        <row r="2">
          <cell r="A2" t="str">
            <v>Complete</v>
          </cell>
        </row>
      </sheetData>
      <sheetData sheetId="7633">
        <row r="2">
          <cell r="A2" t="str">
            <v>Complete</v>
          </cell>
        </row>
      </sheetData>
      <sheetData sheetId="7634">
        <row r="2">
          <cell r="A2" t="str">
            <v>Complete</v>
          </cell>
        </row>
      </sheetData>
      <sheetData sheetId="7635">
        <row r="2">
          <cell r="A2" t="str">
            <v>Complete</v>
          </cell>
        </row>
      </sheetData>
      <sheetData sheetId="7636">
        <row r="2">
          <cell r="A2" t="str">
            <v>Complete</v>
          </cell>
        </row>
      </sheetData>
      <sheetData sheetId="7637">
        <row r="2">
          <cell r="A2" t="str">
            <v>Complete</v>
          </cell>
        </row>
      </sheetData>
      <sheetData sheetId="7638">
        <row r="2">
          <cell r="A2" t="str">
            <v>Complete</v>
          </cell>
        </row>
      </sheetData>
      <sheetData sheetId="7639">
        <row r="2">
          <cell r="A2" t="str">
            <v>Complete</v>
          </cell>
        </row>
      </sheetData>
      <sheetData sheetId="7640">
        <row r="2">
          <cell r="A2" t="str">
            <v>Complete</v>
          </cell>
        </row>
      </sheetData>
      <sheetData sheetId="7641">
        <row r="2">
          <cell r="A2" t="str">
            <v>Complete</v>
          </cell>
        </row>
      </sheetData>
      <sheetData sheetId="7642">
        <row r="2">
          <cell r="A2" t="str">
            <v>Complete</v>
          </cell>
        </row>
      </sheetData>
      <sheetData sheetId="7643">
        <row r="2">
          <cell r="A2" t="str">
            <v>Complete</v>
          </cell>
        </row>
      </sheetData>
      <sheetData sheetId="7644">
        <row r="2">
          <cell r="A2" t="str">
            <v>Complete</v>
          </cell>
        </row>
      </sheetData>
      <sheetData sheetId="7645">
        <row r="2">
          <cell r="A2">
            <v>43462</v>
          </cell>
        </row>
      </sheetData>
      <sheetData sheetId="7646">
        <row r="2">
          <cell r="A2">
            <v>43462</v>
          </cell>
        </row>
      </sheetData>
      <sheetData sheetId="7647">
        <row r="2">
          <cell r="A2">
            <v>43462</v>
          </cell>
        </row>
      </sheetData>
      <sheetData sheetId="7648">
        <row r="2">
          <cell r="A2">
            <v>43462</v>
          </cell>
        </row>
      </sheetData>
      <sheetData sheetId="7649">
        <row r="2">
          <cell r="A2">
            <v>43462</v>
          </cell>
        </row>
      </sheetData>
      <sheetData sheetId="7650">
        <row r="2">
          <cell r="A2">
            <v>43462</v>
          </cell>
        </row>
      </sheetData>
      <sheetData sheetId="7651">
        <row r="2">
          <cell r="A2">
            <v>43462</v>
          </cell>
        </row>
      </sheetData>
      <sheetData sheetId="7652">
        <row r="2">
          <cell r="A2">
            <v>43462</v>
          </cell>
        </row>
      </sheetData>
      <sheetData sheetId="7653">
        <row r="2">
          <cell r="A2">
            <v>43462</v>
          </cell>
        </row>
      </sheetData>
      <sheetData sheetId="7654">
        <row r="2">
          <cell r="A2">
            <v>43462</v>
          </cell>
        </row>
      </sheetData>
      <sheetData sheetId="7655">
        <row r="2">
          <cell r="A2">
            <v>43462</v>
          </cell>
        </row>
      </sheetData>
      <sheetData sheetId="7656">
        <row r="2">
          <cell r="A2">
            <v>43462</v>
          </cell>
        </row>
      </sheetData>
      <sheetData sheetId="7657">
        <row r="2">
          <cell r="A2">
            <v>43462</v>
          </cell>
        </row>
      </sheetData>
      <sheetData sheetId="7658">
        <row r="2">
          <cell r="A2">
            <v>43462</v>
          </cell>
        </row>
      </sheetData>
      <sheetData sheetId="7659">
        <row r="2">
          <cell r="A2">
            <v>43462</v>
          </cell>
        </row>
      </sheetData>
      <sheetData sheetId="7660">
        <row r="2">
          <cell r="A2">
            <v>43462</v>
          </cell>
        </row>
      </sheetData>
      <sheetData sheetId="7661">
        <row r="2">
          <cell r="A2">
            <v>43462</v>
          </cell>
        </row>
      </sheetData>
      <sheetData sheetId="7662">
        <row r="2">
          <cell r="A2">
            <v>43462</v>
          </cell>
        </row>
      </sheetData>
      <sheetData sheetId="7663">
        <row r="2">
          <cell r="A2">
            <v>43462</v>
          </cell>
        </row>
      </sheetData>
      <sheetData sheetId="7664">
        <row r="2">
          <cell r="A2">
            <v>43462</v>
          </cell>
        </row>
      </sheetData>
      <sheetData sheetId="7665">
        <row r="2">
          <cell r="A2" t="str">
            <v>Complete</v>
          </cell>
        </row>
      </sheetData>
      <sheetData sheetId="7666">
        <row r="2">
          <cell r="A2" t="str">
            <v>Complete</v>
          </cell>
        </row>
      </sheetData>
      <sheetData sheetId="7667">
        <row r="2">
          <cell r="A2" t="str">
            <v>Complete</v>
          </cell>
        </row>
      </sheetData>
      <sheetData sheetId="7668">
        <row r="2">
          <cell r="A2" t="str">
            <v>Complete</v>
          </cell>
        </row>
      </sheetData>
      <sheetData sheetId="7669">
        <row r="2">
          <cell r="A2" t="str">
            <v>Complete</v>
          </cell>
        </row>
      </sheetData>
      <sheetData sheetId="7670">
        <row r="2">
          <cell r="A2" t="str">
            <v>Complete</v>
          </cell>
        </row>
      </sheetData>
      <sheetData sheetId="7671">
        <row r="2">
          <cell r="A2" t="str">
            <v>Complete</v>
          </cell>
        </row>
      </sheetData>
      <sheetData sheetId="7672">
        <row r="2">
          <cell r="A2" t="str">
            <v>Complete</v>
          </cell>
        </row>
      </sheetData>
      <sheetData sheetId="7673">
        <row r="2">
          <cell r="A2" t="str">
            <v>Complete</v>
          </cell>
        </row>
      </sheetData>
      <sheetData sheetId="7674">
        <row r="2">
          <cell r="A2" t="str">
            <v>Complete</v>
          </cell>
        </row>
      </sheetData>
      <sheetData sheetId="7675">
        <row r="2">
          <cell r="A2" t="str">
            <v>Complete</v>
          </cell>
        </row>
      </sheetData>
      <sheetData sheetId="7676">
        <row r="2">
          <cell r="A2" t="str">
            <v>Complete</v>
          </cell>
        </row>
      </sheetData>
      <sheetData sheetId="7677">
        <row r="2">
          <cell r="A2" t="str">
            <v>Complete</v>
          </cell>
        </row>
      </sheetData>
      <sheetData sheetId="7678">
        <row r="2">
          <cell r="A2" t="str">
            <v>Complete</v>
          </cell>
        </row>
      </sheetData>
      <sheetData sheetId="7679">
        <row r="2">
          <cell r="A2" t="str">
            <v>Complete</v>
          </cell>
        </row>
      </sheetData>
      <sheetData sheetId="7680">
        <row r="2">
          <cell r="A2" t="str">
            <v>Complete</v>
          </cell>
        </row>
      </sheetData>
      <sheetData sheetId="7681">
        <row r="2">
          <cell r="A2" t="str">
            <v>Complete</v>
          </cell>
        </row>
      </sheetData>
      <sheetData sheetId="7682">
        <row r="2">
          <cell r="A2" t="str">
            <v>Complete</v>
          </cell>
        </row>
      </sheetData>
      <sheetData sheetId="7683">
        <row r="2">
          <cell r="A2" t="str">
            <v>Complete</v>
          </cell>
        </row>
      </sheetData>
      <sheetData sheetId="7684">
        <row r="2">
          <cell r="A2">
            <v>43462</v>
          </cell>
        </row>
      </sheetData>
      <sheetData sheetId="7685">
        <row r="2">
          <cell r="A2">
            <v>43462</v>
          </cell>
        </row>
      </sheetData>
      <sheetData sheetId="7686">
        <row r="2">
          <cell r="A2">
            <v>43462</v>
          </cell>
        </row>
      </sheetData>
      <sheetData sheetId="7687">
        <row r="2">
          <cell r="A2">
            <v>43462</v>
          </cell>
        </row>
      </sheetData>
      <sheetData sheetId="7688">
        <row r="2">
          <cell r="A2">
            <v>43462</v>
          </cell>
        </row>
      </sheetData>
      <sheetData sheetId="7689">
        <row r="2">
          <cell r="A2">
            <v>43462</v>
          </cell>
        </row>
      </sheetData>
      <sheetData sheetId="7690">
        <row r="2">
          <cell r="A2">
            <v>43462</v>
          </cell>
        </row>
      </sheetData>
      <sheetData sheetId="7691">
        <row r="2">
          <cell r="A2">
            <v>43462</v>
          </cell>
        </row>
      </sheetData>
      <sheetData sheetId="7692">
        <row r="2">
          <cell r="A2">
            <v>43462</v>
          </cell>
        </row>
      </sheetData>
      <sheetData sheetId="7693">
        <row r="2">
          <cell r="A2">
            <v>43462</v>
          </cell>
        </row>
      </sheetData>
      <sheetData sheetId="7694">
        <row r="2">
          <cell r="A2">
            <v>43462</v>
          </cell>
        </row>
      </sheetData>
      <sheetData sheetId="7695">
        <row r="2">
          <cell r="A2">
            <v>43462</v>
          </cell>
        </row>
      </sheetData>
      <sheetData sheetId="7696">
        <row r="2">
          <cell r="A2">
            <v>43462</v>
          </cell>
        </row>
      </sheetData>
      <sheetData sheetId="7697">
        <row r="2">
          <cell r="A2">
            <v>43462</v>
          </cell>
        </row>
      </sheetData>
      <sheetData sheetId="7698">
        <row r="2">
          <cell r="A2">
            <v>43462</v>
          </cell>
        </row>
      </sheetData>
      <sheetData sheetId="7699">
        <row r="2">
          <cell r="A2">
            <v>43462</v>
          </cell>
        </row>
      </sheetData>
      <sheetData sheetId="7700">
        <row r="2">
          <cell r="A2">
            <v>43462</v>
          </cell>
        </row>
      </sheetData>
      <sheetData sheetId="7701">
        <row r="2">
          <cell r="A2">
            <v>43462</v>
          </cell>
        </row>
      </sheetData>
      <sheetData sheetId="7702">
        <row r="2">
          <cell r="A2">
            <v>43462</v>
          </cell>
        </row>
      </sheetData>
      <sheetData sheetId="7703">
        <row r="2">
          <cell r="A2">
            <v>43462</v>
          </cell>
        </row>
      </sheetData>
      <sheetData sheetId="7704">
        <row r="2">
          <cell r="A2">
            <v>43462</v>
          </cell>
        </row>
      </sheetData>
      <sheetData sheetId="7705">
        <row r="2">
          <cell r="A2">
            <v>43462</v>
          </cell>
        </row>
      </sheetData>
      <sheetData sheetId="7706">
        <row r="2">
          <cell r="A2" t="str">
            <v>Complete</v>
          </cell>
        </row>
      </sheetData>
      <sheetData sheetId="7707">
        <row r="2">
          <cell r="A2" t="str">
            <v>Complete</v>
          </cell>
        </row>
      </sheetData>
      <sheetData sheetId="7708">
        <row r="2">
          <cell r="A2" t="str">
            <v>Complete</v>
          </cell>
        </row>
      </sheetData>
      <sheetData sheetId="7709">
        <row r="2">
          <cell r="A2" t="str">
            <v>Complete</v>
          </cell>
        </row>
      </sheetData>
      <sheetData sheetId="7710">
        <row r="2">
          <cell r="A2" t="str">
            <v>Complete</v>
          </cell>
        </row>
      </sheetData>
      <sheetData sheetId="7711">
        <row r="2">
          <cell r="A2" t="str">
            <v>Complete</v>
          </cell>
        </row>
      </sheetData>
      <sheetData sheetId="7712">
        <row r="2">
          <cell r="A2" t="str">
            <v>Complete</v>
          </cell>
        </row>
      </sheetData>
      <sheetData sheetId="7713">
        <row r="2">
          <cell r="A2" t="str">
            <v>Complete</v>
          </cell>
        </row>
      </sheetData>
      <sheetData sheetId="7714">
        <row r="2">
          <cell r="A2" t="str">
            <v>Complete</v>
          </cell>
        </row>
      </sheetData>
      <sheetData sheetId="7715">
        <row r="2">
          <cell r="A2" t="str">
            <v>Complete</v>
          </cell>
        </row>
      </sheetData>
      <sheetData sheetId="7716">
        <row r="2">
          <cell r="A2" t="str">
            <v>Complete</v>
          </cell>
        </row>
      </sheetData>
      <sheetData sheetId="7717">
        <row r="2">
          <cell r="A2" t="str">
            <v>Complete</v>
          </cell>
        </row>
      </sheetData>
      <sheetData sheetId="7718">
        <row r="2">
          <cell r="A2" t="str">
            <v>Complete</v>
          </cell>
        </row>
      </sheetData>
      <sheetData sheetId="7719">
        <row r="2">
          <cell r="A2" t="str">
            <v>Complete</v>
          </cell>
        </row>
      </sheetData>
      <sheetData sheetId="7720">
        <row r="2">
          <cell r="A2" t="str">
            <v>Complete</v>
          </cell>
        </row>
      </sheetData>
      <sheetData sheetId="7721">
        <row r="2">
          <cell r="A2" t="str">
            <v>Complete</v>
          </cell>
        </row>
      </sheetData>
      <sheetData sheetId="7722">
        <row r="2">
          <cell r="A2" t="str">
            <v>Complete</v>
          </cell>
        </row>
      </sheetData>
      <sheetData sheetId="7723">
        <row r="2">
          <cell r="A2" t="str">
            <v>Complete</v>
          </cell>
        </row>
      </sheetData>
      <sheetData sheetId="7724">
        <row r="2">
          <cell r="A2" t="str">
            <v>Complete</v>
          </cell>
        </row>
      </sheetData>
      <sheetData sheetId="7725">
        <row r="2">
          <cell r="A2" t="str">
            <v>Complete</v>
          </cell>
        </row>
      </sheetData>
      <sheetData sheetId="7726">
        <row r="2">
          <cell r="A2" t="str">
            <v>Complete</v>
          </cell>
        </row>
      </sheetData>
      <sheetData sheetId="7727">
        <row r="2">
          <cell r="A2" t="str">
            <v>Complete</v>
          </cell>
        </row>
      </sheetData>
      <sheetData sheetId="7728">
        <row r="2">
          <cell r="A2" t="str">
            <v>Complete</v>
          </cell>
        </row>
      </sheetData>
      <sheetData sheetId="7729">
        <row r="2">
          <cell r="A2" t="str">
            <v>Complete</v>
          </cell>
        </row>
      </sheetData>
      <sheetData sheetId="7730">
        <row r="2">
          <cell r="A2" t="str">
            <v>Complete</v>
          </cell>
        </row>
      </sheetData>
      <sheetData sheetId="7731">
        <row r="2">
          <cell r="A2" t="str">
            <v>Complete</v>
          </cell>
        </row>
      </sheetData>
      <sheetData sheetId="7732">
        <row r="2">
          <cell r="A2" t="str">
            <v>Complete</v>
          </cell>
        </row>
      </sheetData>
      <sheetData sheetId="7733">
        <row r="2">
          <cell r="A2" t="str">
            <v>Complete</v>
          </cell>
        </row>
      </sheetData>
      <sheetData sheetId="7734">
        <row r="2">
          <cell r="A2" t="str">
            <v>Complete</v>
          </cell>
        </row>
      </sheetData>
      <sheetData sheetId="7735">
        <row r="2">
          <cell r="A2" t="str">
            <v>Complete</v>
          </cell>
        </row>
      </sheetData>
      <sheetData sheetId="7736">
        <row r="2">
          <cell r="A2" t="str">
            <v>Complete</v>
          </cell>
        </row>
      </sheetData>
      <sheetData sheetId="7737">
        <row r="2">
          <cell r="A2" t="str">
            <v>Complete</v>
          </cell>
        </row>
      </sheetData>
      <sheetData sheetId="7738">
        <row r="2">
          <cell r="A2" t="str">
            <v>Complete</v>
          </cell>
        </row>
      </sheetData>
      <sheetData sheetId="7739">
        <row r="2">
          <cell r="A2" t="str">
            <v>Complete</v>
          </cell>
        </row>
      </sheetData>
      <sheetData sheetId="7740">
        <row r="2">
          <cell r="A2" t="str">
            <v>Complete</v>
          </cell>
        </row>
      </sheetData>
      <sheetData sheetId="7741">
        <row r="2">
          <cell r="A2" t="str">
            <v>Complete</v>
          </cell>
        </row>
      </sheetData>
      <sheetData sheetId="7742">
        <row r="2">
          <cell r="A2" t="str">
            <v>Complete</v>
          </cell>
        </row>
      </sheetData>
      <sheetData sheetId="7743">
        <row r="2">
          <cell r="A2" t="str">
            <v>Complete</v>
          </cell>
        </row>
      </sheetData>
      <sheetData sheetId="7744">
        <row r="2">
          <cell r="A2" t="str">
            <v>Complete</v>
          </cell>
        </row>
      </sheetData>
      <sheetData sheetId="7745">
        <row r="2">
          <cell r="A2" t="str">
            <v>Complete</v>
          </cell>
        </row>
      </sheetData>
      <sheetData sheetId="7746">
        <row r="2">
          <cell r="A2" t="str">
            <v>Complete</v>
          </cell>
        </row>
      </sheetData>
      <sheetData sheetId="7747">
        <row r="2">
          <cell r="A2" t="str">
            <v>Complete</v>
          </cell>
        </row>
      </sheetData>
      <sheetData sheetId="7748">
        <row r="2">
          <cell r="A2" t="str">
            <v>Complete</v>
          </cell>
        </row>
      </sheetData>
      <sheetData sheetId="7749">
        <row r="2">
          <cell r="A2" t="str">
            <v>Complete</v>
          </cell>
        </row>
      </sheetData>
      <sheetData sheetId="7750">
        <row r="2">
          <cell r="A2" t="str">
            <v>Complete</v>
          </cell>
        </row>
      </sheetData>
      <sheetData sheetId="7751">
        <row r="2">
          <cell r="A2" t="str">
            <v>Complete</v>
          </cell>
        </row>
      </sheetData>
      <sheetData sheetId="7752">
        <row r="2">
          <cell r="A2" t="str">
            <v>Complete</v>
          </cell>
        </row>
      </sheetData>
      <sheetData sheetId="7753">
        <row r="2">
          <cell r="A2" t="str">
            <v>Complete</v>
          </cell>
        </row>
      </sheetData>
      <sheetData sheetId="7754">
        <row r="2">
          <cell r="A2" t="str">
            <v>Complete</v>
          </cell>
        </row>
      </sheetData>
      <sheetData sheetId="7755">
        <row r="2">
          <cell r="A2" t="str">
            <v>Complete</v>
          </cell>
        </row>
      </sheetData>
      <sheetData sheetId="7756">
        <row r="2">
          <cell r="A2" t="str">
            <v>Complete</v>
          </cell>
        </row>
      </sheetData>
      <sheetData sheetId="7757">
        <row r="2">
          <cell r="A2" t="str">
            <v>Complete</v>
          </cell>
        </row>
      </sheetData>
      <sheetData sheetId="7758">
        <row r="2">
          <cell r="A2" t="str">
            <v>Complete</v>
          </cell>
        </row>
      </sheetData>
      <sheetData sheetId="7759">
        <row r="2">
          <cell r="A2" t="str">
            <v>Complete</v>
          </cell>
        </row>
      </sheetData>
      <sheetData sheetId="7760">
        <row r="2">
          <cell r="A2" t="str">
            <v>Complete</v>
          </cell>
        </row>
      </sheetData>
      <sheetData sheetId="7761">
        <row r="2">
          <cell r="A2" t="str">
            <v>Complete</v>
          </cell>
        </row>
      </sheetData>
      <sheetData sheetId="7762">
        <row r="2">
          <cell r="A2" t="str">
            <v>Complete</v>
          </cell>
        </row>
      </sheetData>
      <sheetData sheetId="7763">
        <row r="2">
          <cell r="A2" t="str">
            <v>Complete</v>
          </cell>
        </row>
      </sheetData>
      <sheetData sheetId="7764">
        <row r="2">
          <cell r="A2" t="str">
            <v>Complete</v>
          </cell>
        </row>
      </sheetData>
      <sheetData sheetId="7765">
        <row r="2">
          <cell r="A2" t="str">
            <v>Complete</v>
          </cell>
        </row>
      </sheetData>
      <sheetData sheetId="7766">
        <row r="2">
          <cell r="A2" t="str">
            <v>Complete</v>
          </cell>
        </row>
      </sheetData>
      <sheetData sheetId="7767">
        <row r="2">
          <cell r="A2" t="str">
            <v>Complete</v>
          </cell>
        </row>
      </sheetData>
      <sheetData sheetId="7768">
        <row r="2">
          <cell r="A2" t="str">
            <v>Complete</v>
          </cell>
        </row>
      </sheetData>
      <sheetData sheetId="7769">
        <row r="2">
          <cell r="A2" t="str">
            <v>Complete</v>
          </cell>
        </row>
      </sheetData>
      <sheetData sheetId="7770">
        <row r="2">
          <cell r="A2" t="str">
            <v>Complete</v>
          </cell>
        </row>
      </sheetData>
      <sheetData sheetId="7771">
        <row r="2">
          <cell r="A2" t="str">
            <v>Complete</v>
          </cell>
        </row>
      </sheetData>
      <sheetData sheetId="7772">
        <row r="2">
          <cell r="A2" t="str">
            <v>Complete</v>
          </cell>
        </row>
      </sheetData>
      <sheetData sheetId="7773">
        <row r="2">
          <cell r="A2" t="str">
            <v>Complete</v>
          </cell>
        </row>
      </sheetData>
      <sheetData sheetId="7774">
        <row r="2">
          <cell r="A2" t="str">
            <v>Complete</v>
          </cell>
        </row>
      </sheetData>
      <sheetData sheetId="7775">
        <row r="2">
          <cell r="A2" t="str">
            <v>Complete</v>
          </cell>
        </row>
      </sheetData>
      <sheetData sheetId="7776">
        <row r="2">
          <cell r="A2" t="str">
            <v>Complete</v>
          </cell>
        </row>
      </sheetData>
      <sheetData sheetId="7777">
        <row r="2">
          <cell r="A2" t="str">
            <v>Complete</v>
          </cell>
        </row>
      </sheetData>
      <sheetData sheetId="7778">
        <row r="2">
          <cell r="A2" t="str">
            <v>Complete</v>
          </cell>
        </row>
      </sheetData>
      <sheetData sheetId="7779">
        <row r="2">
          <cell r="A2" t="str">
            <v>Complete</v>
          </cell>
        </row>
      </sheetData>
      <sheetData sheetId="7780">
        <row r="2">
          <cell r="A2" t="str">
            <v>Complete</v>
          </cell>
        </row>
      </sheetData>
      <sheetData sheetId="7781">
        <row r="2">
          <cell r="A2" t="str">
            <v>Complete</v>
          </cell>
        </row>
      </sheetData>
      <sheetData sheetId="7782">
        <row r="2">
          <cell r="A2" t="str">
            <v>Complete</v>
          </cell>
        </row>
      </sheetData>
      <sheetData sheetId="7783">
        <row r="2">
          <cell r="A2" t="str">
            <v>Complete</v>
          </cell>
        </row>
      </sheetData>
      <sheetData sheetId="7784">
        <row r="2">
          <cell r="A2" t="str">
            <v>Complete</v>
          </cell>
        </row>
      </sheetData>
      <sheetData sheetId="7785">
        <row r="2">
          <cell r="A2" t="str">
            <v>Complete</v>
          </cell>
        </row>
      </sheetData>
      <sheetData sheetId="7786">
        <row r="2">
          <cell r="A2" t="str">
            <v>Complete</v>
          </cell>
        </row>
      </sheetData>
      <sheetData sheetId="7787">
        <row r="2">
          <cell r="A2" t="str">
            <v>Complete</v>
          </cell>
        </row>
      </sheetData>
      <sheetData sheetId="7788">
        <row r="2">
          <cell r="A2" t="str">
            <v>Complete</v>
          </cell>
        </row>
      </sheetData>
      <sheetData sheetId="7789">
        <row r="2">
          <cell r="A2">
            <v>43462</v>
          </cell>
        </row>
      </sheetData>
      <sheetData sheetId="7790">
        <row r="2">
          <cell r="A2">
            <v>43462</v>
          </cell>
        </row>
      </sheetData>
      <sheetData sheetId="7791">
        <row r="2">
          <cell r="A2">
            <v>43462</v>
          </cell>
        </row>
      </sheetData>
      <sheetData sheetId="7792">
        <row r="2">
          <cell r="A2">
            <v>43462</v>
          </cell>
        </row>
      </sheetData>
      <sheetData sheetId="7793">
        <row r="2">
          <cell r="A2">
            <v>43462</v>
          </cell>
        </row>
      </sheetData>
      <sheetData sheetId="7794">
        <row r="2">
          <cell r="A2">
            <v>43462</v>
          </cell>
        </row>
      </sheetData>
      <sheetData sheetId="7795">
        <row r="2">
          <cell r="A2">
            <v>43462</v>
          </cell>
        </row>
      </sheetData>
      <sheetData sheetId="7796">
        <row r="2">
          <cell r="A2">
            <v>43462</v>
          </cell>
        </row>
      </sheetData>
      <sheetData sheetId="7797">
        <row r="2">
          <cell r="A2">
            <v>43462</v>
          </cell>
        </row>
      </sheetData>
      <sheetData sheetId="7798">
        <row r="2">
          <cell r="A2">
            <v>43462</v>
          </cell>
        </row>
      </sheetData>
      <sheetData sheetId="7799">
        <row r="2">
          <cell r="A2">
            <v>43462</v>
          </cell>
        </row>
      </sheetData>
      <sheetData sheetId="7800">
        <row r="2">
          <cell r="A2">
            <v>43462</v>
          </cell>
        </row>
      </sheetData>
      <sheetData sheetId="7801">
        <row r="2">
          <cell r="A2">
            <v>43462</v>
          </cell>
        </row>
      </sheetData>
      <sheetData sheetId="7802">
        <row r="2">
          <cell r="A2">
            <v>43462</v>
          </cell>
        </row>
      </sheetData>
      <sheetData sheetId="7803">
        <row r="2">
          <cell r="A2">
            <v>43462</v>
          </cell>
        </row>
      </sheetData>
      <sheetData sheetId="7804">
        <row r="2">
          <cell r="A2">
            <v>43462</v>
          </cell>
        </row>
      </sheetData>
      <sheetData sheetId="7805">
        <row r="2">
          <cell r="A2">
            <v>43462</v>
          </cell>
        </row>
      </sheetData>
      <sheetData sheetId="7806">
        <row r="2">
          <cell r="A2">
            <v>43462</v>
          </cell>
        </row>
      </sheetData>
      <sheetData sheetId="7807">
        <row r="2">
          <cell r="A2">
            <v>43462</v>
          </cell>
        </row>
      </sheetData>
      <sheetData sheetId="7808">
        <row r="2">
          <cell r="A2">
            <v>43462</v>
          </cell>
        </row>
      </sheetData>
      <sheetData sheetId="7809">
        <row r="2">
          <cell r="A2">
            <v>43462</v>
          </cell>
        </row>
      </sheetData>
      <sheetData sheetId="7810">
        <row r="2">
          <cell r="A2">
            <v>43462</v>
          </cell>
        </row>
      </sheetData>
      <sheetData sheetId="7811">
        <row r="2">
          <cell r="A2">
            <v>43462</v>
          </cell>
        </row>
      </sheetData>
      <sheetData sheetId="7812">
        <row r="2">
          <cell r="A2">
            <v>43462</v>
          </cell>
        </row>
      </sheetData>
      <sheetData sheetId="7813">
        <row r="2">
          <cell r="A2">
            <v>43462</v>
          </cell>
        </row>
      </sheetData>
      <sheetData sheetId="7814">
        <row r="2">
          <cell r="A2">
            <v>43462</v>
          </cell>
        </row>
      </sheetData>
      <sheetData sheetId="7815">
        <row r="2">
          <cell r="A2">
            <v>43462</v>
          </cell>
        </row>
      </sheetData>
      <sheetData sheetId="7816">
        <row r="2">
          <cell r="A2">
            <v>43462</v>
          </cell>
        </row>
      </sheetData>
      <sheetData sheetId="7817">
        <row r="2">
          <cell r="A2">
            <v>43462</v>
          </cell>
        </row>
      </sheetData>
      <sheetData sheetId="7818">
        <row r="2">
          <cell r="A2">
            <v>43462</v>
          </cell>
        </row>
      </sheetData>
      <sheetData sheetId="7819">
        <row r="2">
          <cell r="A2">
            <v>43462</v>
          </cell>
        </row>
      </sheetData>
      <sheetData sheetId="7820">
        <row r="2">
          <cell r="A2">
            <v>43462</v>
          </cell>
        </row>
      </sheetData>
      <sheetData sheetId="7821">
        <row r="2">
          <cell r="A2">
            <v>43462</v>
          </cell>
        </row>
      </sheetData>
      <sheetData sheetId="7822">
        <row r="2">
          <cell r="A2">
            <v>43462</v>
          </cell>
        </row>
      </sheetData>
      <sheetData sheetId="7823">
        <row r="2">
          <cell r="A2">
            <v>43462</v>
          </cell>
        </row>
      </sheetData>
      <sheetData sheetId="7824">
        <row r="2">
          <cell r="A2">
            <v>43462</v>
          </cell>
        </row>
      </sheetData>
      <sheetData sheetId="7825">
        <row r="2">
          <cell r="A2">
            <v>43462</v>
          </cell>
        </row>
      </sheetData>
      <sheetData sheetId="7826">
        <row r="2">
          <cell r="A2">
            <v>43462</v>
          </cell>
        </row>
      </sheetData>
      <sheetData sheetId="7827">
        <row r="2">
          <cell r="A2">
            <v>43462</v>
          </cell>
        </row>
      </sheetData>
      <sheetData sheetId="7828">
        <row r="2">
          <cell r="A2">
            <v>43462</v>
          </cell>
        </row>
      </sheetData>
      <sheetData sheetId="7829">
        <row r="2">
          <cell r="A2" t="str">
            <v>Complete</v>
          </cell>
        </row>
      </sheetData>
      <sheetData sheetId="7830">
        <row r="2">
          <cell r="A2" t="str">
            <v>Complete</v>
          </cell>
        </row>
      </sheetData>
      <sheetData sheetId="7831">
        <row r="2">
          <cell r="A2" t="str">
            <v>Complete</v>
          </cell>
        </row>
      </sheetData>
      <sheetData sheetId="7832">
        <row r="2">
          <cell r="A2" t="str">
            <v>Complete</v>
          </cell>
        </row>
      </sheetData>
      <sheetData sheetId="7833">
        <row r="2">
          <cell r="A2" t="str">
            <v>Complete</v>
          </cell>
        </row>
      </sheetData>
      <sheetData sheetId="7834">
        <row r="2">
          <cell r="A2" t="str">
            <v>Complete</v>
          </cell>
        </row>
      </sheetData>
      <sheetData sheetId="7835">
        <row r="2">
          <cell r="A2" t="str">
            <v>Complete</v>
          </cell>
        </row>
      </sheetData>
      <sheetData sheetId="7836">
        <row r="2">
          <cell r="A2" t="str">
            <v>Complete</v>
          </cell>
        </row>
      </sheetData>
      <sheetData sheetId="7837">
        <row r="2">
          <cell r="A2" t="str">
            <v>Complete</v>
          </cell>
        </row>
      </sheetData>
      <sheetData sheetId="7838">
        <row r="2">
          <cell r="A2" t="str">
            <v>Complete</v>
          </cell>
        </row>
      </sheetData>
      <sheetData sheetId="7839">
        <row r="2">
          <cell r="A2" t="str">
            <v>Complete</v>
          </cell>
        </row>
      </sheetData>
      <sheetData sheetId="7840">
        <row r="2">
          <cell r="A2" t="str">
            <v>Complete</v>
          </cell>
        </row>
      </sheetData>
      <sheetData sheetId="7841">
        <row r="2">
          <cell r="A2" t="str">
            <v>Complete</v>
          </cell>
        </row>
      </sheetData>
      <sheetData sheetId="7842">
        <row r="2">
          <cell r="A2" t="str">
            <v>Complete</v>
          </cell>
        </row>
      </sheetData>
      <sheetData sheetId="7843">
        <row r="2">
          <cell r="A2" t="str">
            <v>Complete</v>
          </cell>
        </row>
      </sheetData>
      <sheetData sheetId="7844">
        <row r="2">
          <cell r="A2" t="str">
            <v>Complete</v>
          </cell>
        </row>
      </sheetData>
      <sheetData sheetId="7845">
        <row r="2">
          <cell r="A2" t="str">
            <v>Complete</v>
          </cell>
        </row>
      </sheetData>
      <sheetData sheetId="7846">
        <row r="2">
          <cell r="A2" t="str">
            <v>Complete</v>
          </cell>
        </row>
      </sheetData>
      <sheetData sheetId="7847">
        <row r="2">
          <cell r="A2" t="str">
            <v>Complete</v>
          </cell>
        </row>
      </sheetData>
      <sheetData sheetId="7848">
        <row r="2">
          <cell r="A2" t="str">
            <v>Complete</v>
          </cell>
        </row>
      </sheetData>
      <sheetData sheetId="7849">
        <row r="2">
          <cell r="A2" t="str">
            <v>Complete</v>
          </cell>
        </row>
      </sheetData>
      <sheetData sheetId="7850">
        <row r="2">
          <cell r="A2">
            <v>43462</v>
          </cell>
        </row>
      </sheetData>
      <sheetData sheetId="7851">
        <row r="2">
          <cell r="A2">
            <v>43462</v>
          </cell>
        </row>
      </sheetData>
      <sheetData sheetId="7852">
        <row r="2">
          <cell r="A2">
            <v>43462</v>
          </cell>
        </row>
      </sheetData>
      <sheetData sheetId="7853">
        <row r="2">
          <cell r="A2">
            <v>43462</v>
          </cell>
        </row>
      </sheetData>
      <sheetData sheetId="7854">
        <row r="2">
          <cell r="A2">
            <v>43462</v>
          </cell>
        </row>
      </sheetData>
      <sheetData sheetId="7855">
        <row r="2">
          <cell r="A2">
            <v>43462</v>
          </cell>
        </row>
      </sheetData>
      <sheetData sheetId="7856">
        <row r="2">
          <cell r="A2">
            <v>43462</v>
          </cell>
        </row>
      </sheetData>
      <sheetData sheetId="7857">
        <row r="2">
          <cell r="A2">
            <v>43462</v>
          </cell>
        </row>
      </sheetData>
      <sheetData sheetId="7858">
        <row r="2">
          <cell r="A2">
            <v>43462</v>
          </cell>
        </row>
      </sheetData>
      <sheetData sheetId="7859">
        <row r="2">
          <cell r="A2">
            <v>43462</v>
          </cell>
        </row>
      </sheetData>
      <sheetData sheetId="7860">
        <row r="2">
          <cell r="A2">
            <v>43462</v>
          </cell>
        </row>
      </sheetData>
      <sheetData sheetId="7861">
        <row r="2">
          <cell r="A2">
            <v>43462</v>
          </cell>
        </row>
      </sheetData>
      <sheetData sheetId="7862">
        <row r="2">
          <cell r="A2">
            <v>43462</v>
          </cell>
        </row>
      </sheetData>
      <sheetData sheetId="7863">
        <row r="2">
          <cell r="A2">
            <v>43462</v>
          </cell>
        </row>
      </sheetData>
      <sheetData sheetId="7864">
        <row r="2">
          <cell r="A2">
            <v>43462</v>
          </cell>
        </row>
      </sheetData>
      <sheetData sheetId="7865">
        <row r="2">
          <cell r="A2">
            <v>43462</v>
          </cell>
        </row>
      </sheetData>
      <sheetData sheetId="7866">
        <row r="2">
          <cell r="A2">
            <v>43462</v>
          </cell>
        </row>
      </sheetData>
      <sheetData sheetId="7867">
        <row r="2">
          <cell r="A2">
            <v>43462</v>
          </cell>
        </row>
      </sheetData>
      <sheetData sheetId="7868">
        <row r="2">
          <cell r="A2">
            <v>43462</v>
          </cell>
        </row>
      </sheetData>
      <sheetData sheetId="7869">
        <row r="2">
          <cell r="A2">
            <v>43462</v>
          </cell>
        </row>
      </sheetData>
      <sheetData sheetId="7870">
        <row r="2">
          <cell r="A2" t="str">
            <v>Complete</v>
          </cell>
        </row>
      </sheetData>
      <sheetData sheetId="7871">
        <row r="2">
          <cell r="A2" t="str">
            <v>Complete</v>
          </cell>
        </row>
      </sheetData>
      <sheetData sheetId="7872">
        <row r="2">
          <cell r="A2" t="str">
            <v>Complete</v>
          </cell>
        </row>
      </sheetData>
      <sheetData sheetId="7873">
        <row r="2">
          <cell r="A2" t="str">
            <v>Complete</v>
          </cell>
        </row>
      </sheetData>
      <sheetData sheetId="7874">
        <row r="2">
          <cell r="A2" t="str">
            <v>Complete</v>
          </cell>
        </row>
      </sheetData>
      <sheetData sheetId="7875">
        <row r="2">
          <cell r="A2" t="str">
            <v>Complete</v>
          </cell>
        </row>
      </sheetData>
      <sheetData sheetId="7876">
        <row r="2">
          <cell r="A2" t="str">
            <v>Complete</v>
          </cell>
        </row>
      </sheetData>
      <sheetData sheetId="7877">
        <row r="2">
          <cell r="A2" t="str">
            <v>Complete</v>
          </cell>
        </row>
      </sheetData>
      <sheetData sheetId="7878">
        <row r="2">
          <cell r="A2" t="str">
            <v>Complete</v>
          </cell>
        </row>
      </sheetData>
      <sheetData sheetId="7879">
        <row r="2">
          <cell r="A2" t="str">
            <v>Complete</v>
          </cell>
        </row>
      </sheetData>
      <sheetData sheetId="7880">
        <row r="2">
          <cell r="A2" t="str">
            <v>Complete</v>
          </cell>
        </row>
      </sheetData>
      <sheetData sheetId="7881">
        <row r="2">
          <cell r="A2" t="str">
            <v>Complete</v>
          </cell>
        </row>
      </sheetData>
      <sheetData sheetId="7882">
        <row r="2">
          <cell r="A2" t="str">
            <v>Complete</v>
          </cell>
        </row>
      </sheetData>
      <sheetData sheetId="7883">
        <row r="2">
          <cell r="A2" t="str">
            <v>Complete</v>
          </cell>
        </row>
      </sheetData>
      <sheetData sheetId="7884">
        <row r="2">
          <cell r="A2" t="str">
            <v>Complete</v>
          </cell>
        </row>
      </sheetData>
      <sheetData sheetId="7885">
        <row r="2">
          <cell r="A2" t="str">
            <v>Complete</v>
          </cell>
        </row>
      </sheetData>
      <sheetData sheetId="7886">
        <row r="2">
          <cell r="A2" t="str">
            <v>Complete</v>
          </cell>
        </row>
      </sheetData>
      <sheetData sheetId="7887">
        <row r="2">
          <cell r="A2" t="str">
            <v>Complete</v>
          </cell>
        </row>
      </sheetData>
      <sheetData sheetId="7888">
        <row r="2">
          <cell r="A2" t="str">
            <v>Complete</v>
          </cell>
        </row>
      </sheetData>
      <sheetData sheetId="7889">
        <row r="2">
          <cell r="A2" t="str">
            <v>Complete</v>
          </cell>
        </row>
      </sheetData>
      <sheetData sheetId="7890">
        <row r="2">
          <cell r="A2" t="str">
            <v>Complete</v>
          </cell>
        </row>
      </sheetData>
      <sheetData sheetId="7891">
        <row r="2">
          <cell r="A2" t="str">
            <v>Complete</v>
          </cell>
        </row>
      </sheetData>
      <sheetData sheetId="7892">
        <row r="2">
          <cell r="A2">
            <v>43462</v>
          </cell>
        </row>
      </sheetData>
      <sheetData sheetId="7893">
        <row r="2">
          <cell r="A2">
            <v>43462</v>
          </cell>
        </row>
      </sheetData>
      <sheetData sheetId="7894">
        <row r="2">
          <cell r="A2">
            <v>43462</v>
          </cell>
        </row>
      </sheetData>
      <sheetData sheetId="7895">
        <row r="2">
          <cell r="A2">
            <v>43462</v>
          </cell>
        </row>
      </sheetData>
      <sheetData sheetId="7896">
        <row r="2">
          <cell r="A2">
            <v>43462</v>
          </cell>
        </row>
      </sheetData>
      <sheetData sheetId="7897">
        <row r="2">
          <cell r="A2">
            <v>43462</v>
          </cell>
        </row>
      </sheetData>
      <sheetData sheetId="7898">
        <row r="2">
          <cell r="A2">
            <v>43462</v>
          </cell>
        </row>
      </sheetData>
      <sheetData sheetId="7899">
        <row r="2">
          <cell r="A2">
            <v>43462</v>
          </cell>
        </row>
      </sheetData>
      <sheetData sheetId="7900">
        <row r="2">
          <cell r="A2">
            <v>43462</v>
          </cell>
        </row>
      </sheetData>
      <sheetData sheetId="7901">
        <row r="2">
          <cell r="A2">
            <v>43462</v>
          </cell>
        </row>
      </sheetData>
      <sheetData sheetId="7902">
        <row r="2">
          <cell r="A2">
            <v>43462</v>
          </cell>
        </row>
      </sheetData>
      <sheetData sheetId="7903">
        <row r="2">
          <cell r="A2">
            <v>43462</v>
          </cell>
        </row>
      </sheetData>
      <sheetData sheetId="7904">
        <row r="2">
          <cell r="A2">
            <v>43462</v>
          </cell>
        </row>
      </sheetData>
      <sheetData sheetId="7905">
        <row r="2">
          <cell r="A2">
            <v>43462</v>
          </cell>
        </row>
      </sheetData>
      <sheetData sheetId="7906">
        <row r="2">
          <cell r="A2">
            <v>43462</v>
          </cell>
        </row>
      </sheetData>
      <sheetData sheetId="7907">
        <row r="2">
          <cell r="A2">
            <v>43462</v>
          </cell>
        </row>
      </sheetData>
      <sheetData sheetId="7908">
        <row r="2">
          <cell r="A2">
            <v>43462</v>
          </cell>
        </row>
      </sheetData>
      <sheetData sheetId="7909">
        <row r="2">
          <cell r="A2">
            <v>43462</v>
          </cell>
        </row>
      </sheetData>
      <sheetData sheetId="7910">
        <row r="2">
          <cell r="A2">
            <v>43462</v>
          </cell>
        </row>
      </sheetData>
      <sheetData sheetId="7911">
        <row r="2">
          <cell r="A2">
            <v>43462</v>
          </cell>
        </row>
      </sheetData>
      <sheetData sheetId="7912">
        <row r="2">
          <cell r="A2" t="str">
            <v>Complete</v>
          </cell>
        </row>
      </sheetData>
      <sheetData sheetId="7913">
        <row r="2">
          <cell r="A2" t="str">
            <v>Complete</v>
          </cell>
        </row>
      </sheetData>
      <sheetData sheetId="7914">
        <row r="2">
          <cell r="A2" t="str">
            <v>Complete</v>
          </cell>
        </row>
      </sheetData>
      <sheetData sheetId="7915">
        <row r="2">
          <cell r="A2" t="str">
            <v>Complete</v>
          </cell>
        </row>
      </sheetData>
      <sheetData sheetId="7916">
        <row r="2">
          <cell r="A2" t="str">
            <v>Complete</v>
          </cell>
        </row>
      </sheetData>
      <sheetData sheetId="7917">
        <row r="2">
          <cell r="A2" t="str">
            <v>Complete</v>
          </cell>
        </row>
      </sheetData>
      <sheetData sheetId="7918">
        <row r="2">
          <cell r="A2" t="str">
            <v>Complete</v>
          </cell>
        </row>
      </sheetData>
      <sheetData sheetId="7919">
        <row r="2">
          <cell r="A2" t="str">
            <v>Complete</v>
          </cell>
        </row>
      </sheetData>
      <sheetData sheetId="7920">
        <row r="2">
          <cell r="A2" t="str">
            <v>Complete</v>
          </cell>
        </row>
      </sheetData>
      <sheetData sheetId="7921">
        <row r="2">
          <cell r="A2" t="str">
            <v>Complete</v>
          </cell>
        </row>
      </sheetData>
      <sheetData sheetId="7922">
        <row r="2">
          <cell r="A2" t="str">
            <v>Complete</v>
          </cell>
        </row>
      </sheetData>
      <sheetData sheetId="7923">
        <row r="2">
          <cell r="A2" t="str">
            <v>Complete</v>
          </cell>
        </row>
      </sheetData>
      <sheetData sheetId="7924">
        <row r="2">
          <cell r="A2" t="str">
            <v>Complete</v>
          </cell>
        </row>
      </sheetData>
      <sheetData sheetId="7925">
        <row r="2">
          <cell r="A2" t="str">
            <v>Complete</v>
          </cell>
        </row>
      </sheetData>
      <sheetData sheetId="7926">
        <row r="2">
          <cell r="A2" t="str">
            <v>Complete</v>
          </cell>
        </row>
      </sheetData>
      <sheetData sheetId="7927">
        <row r="2">
          <cell r="A2" t="str">
            <v>Complete</v>
          </cell>
        </row>
      </sheetData>
      <sheetData sheetId="7928">
        <row r="2">
          <cell r="A2" t="str">
            <v>Complete</v>
          </cell>
        </row>
      </sheetData>
      <sheetData sheetId="7929">
        <row r="2">
          <cell r="A2" t="str">
            <v>Complete</v>
          </cell>
        </row>
      </sheetData>
      <sheetData sheetId="7930">
        <row r="2">
          <cell r="A2" t="str">
            <v>Complete</v>
          </cell>
        </row>
      </sheetData>
      <sheetData sheetId="7931">
        <row r="2">
          <cell r="A2" t="str">
            <v>Complete</v>
          </cell>
        </row>
      </sheetData>
      <sheetData sheetId="7932">
        <row r="2">
          <cell r="A2">
            <v>43462</v>
          </cell>
        </row>
      </sheetData>
      <sheetData sheetId="7933">
        <row r="2">
          <cell r="A2">
            <v>43462</v>
          </cell>
        </row>
      </sheetData>
      <sheetData sheetId="7934">
        <row r="2">
          <cell r="A2">
            <v>43462</v>
          </cell>
        </row>
      </sheetData>
      <sheetData sheetId="7935">
        <row r="2">
          <cell r="A2">
            <v>43462</v>
          </cell>
        </row>
      </sheetData>
      <sheetData sheetId="7936">
        <row r="2">
          <cell r="A2">
            <v>43462</v>
          </cell>
        </row>
      </sheetData>
      <sheetData sheetId="7937">
        <row r="2">
          <cell r="A2">
            <v>43462</v>
          </cell>
        </row>
      </sheetData>
      <sheetData sheetId="7938">
        <row r="2">
          <cell r="A2">
            <v>43462</v>
          </cell>
        </row>
      </sheetData>
      <sheetData sheetId="7939">
        <row r="2">
          <cell r="A2">
            <v>43462</v>
          </cell>
        </row>
      </sheetData>
      <sheetData sheetId="7940">
        <row r="2">
          <cell r="A2">
            <v>43462</v>
          </cell>
        </row>
      </sheetData>
      <sheetData sheetId="7941">
        <row r="2">
          <cell r="A2">
            <v>43462</v>
          </cell>
        </row>
      </sheetData>
      <sheetData sheetId="7942">
        <row r="2">
          <cell r="A2">
            <v>43462</v>
          </cell>
        </row>
      </sheetData>
      <sheetData sheetId="7943">
        <row r="2">
          <cell r="A2">
            <v>43462</v>
          </cell>
        </row>
      </sheetData>
      <sheetData sheetId="7944">
        <row r="2">
          <cell r="A2">
            <v>43462</v>
          </cell>
        </row>
      </sheetData>
      <sheetData sheetId="7945">
        <row r="2">
          <cell r="A2">
            <v>43462</v>
          </cell>
        </row>
      </sheetData>
      <sheetData sheetId="7946">
        <row r="2">
          <cell r="A2">
            <v>43462</v>
          </cell>
        </row>
      </sheetData>
      <sheetData sheetId="7947">
        <row r="2">
          <cell r="A2">
            <v>43462</v>
          </cell>
        </row>
      </sheetData>
      <sheetData sheetId="7948">
        <row r="2">
          <cell r="A2">
            <v>43462</v>
          </cell>
        </row>
      </sheetData>
      <sheetData sheetId="7949">
        <row r="2">
          <cell r="A2">
            <v>43462</v>
          </cell>
        </row>
      </sheetData>
      <sheetData sheetId="7950">
        <row r="2">
          <cell r="A2">
            <v>43462</v>
          </cell>
        </row>
      </sheetData>
      <sheetData sheetId="7951">
        <row r="2">
          <cell r="A2">
            <v>43462</v>
          </cell>
        </row>
      </sheetData>
      <sheetData sheetId="7952">
        <row r="2">
          <cell r="A2" t="str">
            <v>Complete</v>
          </cell>
        </row>
      </sheetData>
      <sheetData sheetId="7953">
        <row r="2">
          <cell r="A2" t="str">
            <v>Complete</v>
          </cell>
        </row>
      </sheetData>
      <sheetData sheetId="7954">
        <row r="2">
          <cell r="A2" t="str">
            <v>Complete</v>
          </cell>
        </row>
      </sheetData>
      <sheetData sheetId="7955">
        <row r="2">
          <cell r="A2" t="str">
            <v>Complete</v>
          </cell>
        </row>
      </sheetData>
      <sheetData sheetId="7956">
        <row r="2">
          <cell r="A2" t="str">
            <v>Complete</v>
          </cell>
        </row>
      </sheetData>
      <sheetData sheetId="7957">
        <row r="2">
          <cell r="A2" t="str">
            <v>Complete</v>
          </cell>
        </row>
      </sheetData>
      <sheetData sheetId="7958">
        <row r="2">
          <cell r="A2" t="str">
            <v>Complete</v>
          </cell>
        </row>
      </sheetData>
      <sheetData sheetId="7959">
        <row r="2">
          <cell r="A2" t="str">
            <v>Complete</v>
          </cell>
        </row>
      </sheetData>
      <sheetData sheetId="7960">
        <row r="2">
          <cell r="A2" t="str">
            <v>Complete</v>
          </cell>
        </row>
      </sheetData>
      <sheetData sheetId="7961">
        <row r="2">
          <cell r="A2" t="str">
            <v>Complete</v>
          </cell>
        </row>
      </sheetData>
      <sheetData sheetId="7962">
        <row r="2">
          <cell r="A2" t="str">
            <v>Complete</v>
          </cell>
        </row>
      </sheetData>
      <sheetData sheetId="7963">
        <row r="2">
          <cell r="A2" t="str">
            <v>Complete</v>
          </cell>
        </row>
      </sheetData>
      <sheetData sheetId="7964">
        <row r="2">
          <cell r="A2" t="str">
            <v>Complete</v>
          </cell>
        </row>
      </sheetData>
      <sheetData sheetId="7965">
        <row r="2">
          <cell r="A2" t="str">
            <v>Complete</v>
          </cell>
        </row>
      </sheetData>
      <sheetData sheetId="7966">
        <row r="2">
          <cell r="A2" t="str">
            <v>Complete</v>
          </cell>
        </row>
      </sheetData>
      <sheetData sheetId="7967">
        <row r="2">
          <cell r="A2" t="str">
            <v>Complete</v>
          </cell>
        </row>
      </sheetData>
      <sheetData sheetId="7968">
        <row r="2">
          <cell r="A2" t="str">
            <v>Complete</v>
          </cell>
        </row>
      </sheetData>
      <sheetData sheetId="7969">
        <row r="2">
          <cell r="A2" t="str">
            <v>Complete</v>
          </cell>
        </row>
      </sheetData>
      <sheetData sheetId="7970">
        <row r="2">
          <cell r="A2" t="str">
            <v>Complete</v>
          </cell>
        </row>
      </sheetData>
      <sheetData sheetId="7971">
        <row r="2">
          <cell r="A2" t="str">
            <v>Complete</v>
          </cell>
        </row>
      </sheetData>
      <sheetData sheetId="7972">
        <row r="2">
          <cell r="A2" t="str">
            <v>Complete</v>
          </cell>
        </row>
      </sheetData>
      <sheetData sheetId="7973">
        <row r="2">
          <cell r="A2">
            <v>43462</v>
          </cell>
        </row>
      </sheetData>
      <sheetData sheetId="7974">
        <row r="2">
          <cell r="A2">
            <v>43462</v>
          </cell>
        </row>
      </sheetData>
      <sheetData sheetId="7975">
        <row r="2">
          <cell r="A2">
            <v>43462</v>
          </cell>
        </row>
      </sheetData>
      <sheetData sheetId="7976">
        <row r="2">
          <cell r="A2">
            <v>43462</v>
          </cell>
        </row>
      </sheetData>
      <sheetData sheetId="7977">
        <row r="2">
          <cell r="A2">
            <v>43462</v>
          </cell>
        </row>
      </sheetData>
      <sheetData sheetId="7978">
        <row r="2">
          <cell r="A2">
            <v>43462</v>
          </cell>
        </row>
      </sheetData>
      <sheetData sheetId="7979">
        <row r="2">
          <cell r="A2">
            <v>43462</v>
          </cell>
        </row>
      </sheetData>
      <sheetData sheetId="7980">
        <row r="2">
          <cell r="A2">
            <v>43462</v>
          </cell>
        </row>
      </sheetData>
      <sheetData sheetId="7981">
        <row r="2">
          <cell r="A2">
            <v>43462</v>
          </cell>
        </row>
      </sheetData>
      <sheetData sheetId="7982">
        <row r="2">
          <cell r="A2">
            <v>43462</v>
          </cell>
        </row>
      </sheetData>
      <sheetData sheetId="7983">
        <row r="2">
          <cell r="A2">
            <v>43462</v>
          </cell>
        </row>
      </sheetData>
      <sheetData sheetId="7984">
        <row r="2">
          <cell r="A2">
            <v>43462</v>
          </cell>
        </row>
      </sheetData>
      <sheetData sheetId="7985">
        <row r="2">
          <cell r="A2">
            <v>43462</v>
          </cell>
        </row>
      </sheetData>
      <sheetData sheetId="7986">
        <row r="2">
          <cell r="A2">
            <v>43462</v>
          </cell>
        </row>
      </sheetData>
      <sheetData sheetId="7987">
        <row r="2">
          <cell r="A2">
            <v>43462</v>
          </cell>
        </row>
      </sheetData>
      <sheetData sheetId="7988">
        <row r="2">
          <cell r="A2">
            <v>43462</v>
          </cell>
        </row>
      </sheetData>
      <sheetData sheetId="7989">
        <row r="2">
          <cell r="A2">
            <v>43462</v>
          </cell>
        </row>
      </sheetData>
      <sheetData sheetId="7990">
        <row r="2">
          <cell r="A2">
            <v>43462</v>
          </cell>
        </row>
      </sheetData>
      <sheetData sheetId="7991">
        <row r="2">
          <cell r="A2">
            <v>43462</v>
          </cell>
        </row>
      </sheetData>
      <sheetData sheetId="7992">
        <row r="2">
          <cell r="A2">
            <v>43462</v>
          </cell>
        </row>
      </sheetData>
      <sheetData sheetId="7993">
        <row r="2">
          <cell r="A2" t="str">
            <v>Complete</v>
          </cell>
        </row>
      </sheetData>
      <sheetData sheetId="7994">
        <row r="2">
          <cell r="A2" t="str">
            <v>Complete</v>
          </cell>
        </row>
      </sheetData>
      <sheetData sheetId="7995">
        <row r="2">
          <cell r="A2" t="str">
            <v>Complete</v>
          </cell>
        </row>
      </sheetData>
      <sheetData sheetId="7996">
        <row r="2">
          <cell r="A2" t="str">
            <v>Complete</v>
          </cell>
        </row>
      </sheetData>
      <sheetData sheetId="7997">
        <row r="2">
          <cell r="A2" t="str">
            <v>Complete</v>
          </cell>
        </row>
      </sheetData>
      <sheetData sheetId="7998">
        <row r="2">
          <cell r="A2" t="str">
            <v>Complete</v>
          </cell>
        </row>
      </sheetData>
      <sheetData sheetId="7999">
        <row r="2">
          <cell r="A2" t="str">
            <v>Complete</v>
          </cell>
        </row>
      </sheetData>
      <sheetData sheetId="8000">
        <row r="2">
          <cell r="A2" t="str">
            <v>Complete</v>
          </cell>
        </row>
      </sheetData>
      <sheetData sheetId="8001">
        <row r="2">
          <cell r="A2" t="str">
            <v>Complete</v>
          </cell>
        </row>
      </sheetData>
      <sheetData sheetId="8002">
        <row r="2">
          <cell r="A2" t="str">
            <v>Complete</v>
          </cell>
        </row>
      </sheetData>
      <sheetData sheetId="8003">
        <row r="2">
          <cell r="A2" t="str">
            <v>Complete</v>
          </cell>
        </row>
      </sheetData>
      <sheetData sheetId="8004">
        <row r="2">
          <cell r="A2" t="str">
            <v>Complete</v>
          </cell>
        </row>
      </sheetData>
      <sheetData sheetId="8005">
        <row r="2">
          <cell r="A2" t="str">
            <v>Complete</v>
          </cell>
        </row>
      </sheetData>
      <sheetData sheetId="8006">
        <row r="2">
          <cell r="A2" t="str">
            <v>Complete</v>
          </cell>
        </row>
      </sheetData>
      <sheetData sheetId="8007">
        <row r="2">
          <cell r="A2" t="str">
            <v>Complete</v>
          </cell>
        </row>
      </sheetData>
      <sheetData sheetId="8008">
        <row r="2">
          <cell r="A2" t="str">
            <v>Complete</v>
          </cell>
        </row>
      </sheetData>
      <sheetData sheetId="8009">
        <row r="2">
          <cell r="A2" t="str">
            <v>Complete</v>
          </cell>
        </row>
      </sheetData>
      <sheetData sheetId="8010">
        <row r="2">
          <cell r="A2" t="str">
            <v>Complete</v>
          </cell>
        </row>
      </sheetData>
      <sheetData sheetId="8011">
        <row r="2">
          <cell r="A2" t="str">
            <v>Complete</v>
          </cell>
        </row>
      </sheetData>
      <sheetData sheetId="8012">
        <row r="2">
          <cell r="A2" t="str">
            <v>Complete</v>
          </cell>
        </row>
      </sheetData>
      <sheetData sheetId="8013">
        <row r="2">
          <cell r="A2" t="str">
            <v>Complete</v>
          </cell>
        </row>
      </sheetData>
      <sheetData sheetId="8014">
        <row r="2">
          <cell r="A2">
            <v>43462</v>
          </cell>
        </row>
      </sheetData>
      <sheetData sheetId="8015">
        <row r="2">
          <cell r="A2">
            <v>43462</v>
          </cell>
        </row>
      </sheetData>
      <sheetData sheetId="8016">
        <row r="2">
          <cell r="A2">
            <v>43462</v>
          </cell>
        </row>
      </sheetData>
      <sheetData sheetId="8017">
        <row r="2">
          <cell r="A2">
            <v>43462</v>
          </cell>
        </row>
      </sheetData>
      <sheetData sheetId="8018">
        <row r="2">
          <cell r="A2">
            <v>43462</v>
          </cell>
        </row>
      </sheetData>
      <sheetData sheetId="8019">
        <row r="2">
          <cell r="A2">
            <v>43462</v>
          </cell>
        </row>
      </sheetData>
      <sheetData sheetId="8020">
        <row r="2">
          <cell r="A2">
            <v>43462</v>
          </cell>
        </row>
      </sheetData>
      <sheetData sheetId="8021">
        <row r="2">
          <cell r="A2">
            <v>43462</v>
          </cell>
        </row>
      </sheetData>
      <sheetData sheetId="8022">
        <row r="2">
          <cell r="A2">
            <v>43462</v>
          </cell>
        </row>
      </sheetData>
      <sheetData sheetId="8023">
        <row r="2">
          <cell r="A2">
            <v>43462</v>
          </cell>
        </row>
      </sheetData>
      <sheetData sheetId="8024">
        <row r="2">
          <cell r="A2">
            <v>43462</v>
          </cell>
        </row>
      </sheetData>
      <sheetData sheetId="8025">
        <row r="2">
          <cell r="A2">
            <v>43462</v>
          </cell>
        </row>
      </sheetData>
      <sheetData sheetId="8026">
        <row r="2">
          <cell r="A2">
            <v>43462</v>
          </cell>
        </row>
      </sheetData>
      <sheetData sheetId="8027">
        <row r="2">
          <cell r="A2">
            <v>43462</v>
          </cell>
        </row>
      </sheetData>
      <sheetData sheetId="8028">
        <row r="2">
          <cell r="A2">
            <v>43462</v>
          </cell>
        </row>
      </sheetData>
      <sheetData sheetId="8029">
        <row r="2">
          <cell r="A2">
            <v>43462</v>
          </cell>
        </row>
      </sheetData>
      <sheetData sheetId="8030">
        <row r="2">
          <cell r="A2">
            <v>43462</v>
          </cell>
        </row>
      </sheetData>
      <sheetData sheetId="8031">
        <row r="2">
          <cell r="A2">
            <v>43462</v>
          </cell>
        </row>
      </sheetData>
      <sheetData sheetId="8032">
        <row r="2">
          <cell r="A2">
            <v>43462</v>
          </cell>
        </row>
      </sheetData>
      <sheetData sheetId="8033">
        <row r="2">
          <cell r="A2">
            <v>43462</v>
          </cell>
        </row>
      </sheetData>
      <sheetData sheetId="8034">
        <row r="2">
          <cell r="A2" t="str">
            <v>Complete</v>
          </cell>
        </row>
      </sheetData>
      <sheetData sheetId="8035">
        <row r="2">
          <cell r="A2" t="str">
            <v>Complete</v>
          </cell>
        </row>
      </sheetData>
      <sheetData sheetId="8036">
        <row r="2">
          <cell r="A2" t="str">
            <v>Complete</v>
          </cell>
        </row>
      </sheetData>
      <sheetData sheetId="8037">
        <row r="2">
          <cell r="A2" t="str">
            <v>Complete</v>
          </cell>
        </row>
      </sheetData>
      <sheetData sheetId="8038">
        <row r="2">
          <cell r="A2" t="str">
            <v>Complete</v>
          </cell>
        </row>
      </sheetData>
      <sheetData sheetId="8039">
        <row r="2">
          <cell r="A2" t="str">
            <v>Complete</v>
          </cell>
        </row>
      </sheetData>
      <sheetData sheetId="8040">
        <row r="2">
          <cell r="A2" t="str">
            <v>Complete</v>
          </cell>
        </row>
      </sheetData>
      <sheetData sheetId="8041">
        <row r="2">
          <cell r="A2" t="str">
            <v>Complete</v>
          </cell>
        </row>
      </sheetData>
      <sheetData sheetId="8042">
        <row r="2">
          <cell r="A2" t="str">
            <v>Complete</v>
          </cell>
        </row>
      </sheetData>
      <sheetData sheetId="8043">
        <row r="2">
          <cell r="A2" t="str">
            <v>Complete</v>
          </cell>
        </row>
      </sheetData>
      <sheetData sheetId="8044">
        <row r="2">
          <cell r="A2" t="str">
            <v>Complete</v>
          </cell>
        </row>
      </sheetData>
      <sheetData sheetId="8045">
        <row r="2">
          <cell r="A2" t="str">
            <v>Complete</v>
          </cell>
        </row>
      </sheetData>
      <sheetData sheetId="8046">
        <row r="2">
          <cell r="A2" t="str">
            <v>Complete</v>
          </cell>
        </row>
      </sheetData>
      <sheetData sheetId="8047">
        <row r="2">
          <cell r="A2" t="str">
            <v>Complete</v>
          </cell>
        </row>
      </sheetData>
      <sheetData sheetId="8048">
        <row r="2">
          <cell r="A2" t="str">
            <v>Complete</v>
          </cell>
        </row>
      </sheetData>
      <sheetData sheetId="8049">
        <row r="2">
          <cell r="A2" t="str">
            <v>Complete</v>
          </cell>
        </row>
      </sheetData>
      <sheetData sheetId="8050">
        <row r="2">
          <cell r="A2" t="str">
            <v>Complete</v>
          </cell>
        </row>
      </sheetData>
      <sheetData sheetId="8051">
        <row r="2">
          <cell r="A2" t="str">
            <v>Complete</v>
          </cell>
        </row>
      </sheetData>
      <sheetData sheetId="8052">
        <row r="2">
          <cell r="A2" t="str">
            <v>Complete</v>
          </cell>
        </row>
      </sheetData>
      <sheetData sheetId="8053">
        <row r="2">
          <cell r="A2" t="str">
            <v>Complete</v>
          </cell>
        </row>
      </sheetData>
      <sheetData sheetId="8054">
        <row r="2">
          <cell r="A2" t="str">
            <v>Complete</v>
          </cell>
        </row>
      </sheetData>
      <sheetData sheetId="8055">
        <row r="2">
          <cell r="A2">
            <v>43462</v>
          </cell>
        </row>
      </sheetData>
      <sheetData sheetId="8056">
        <row r="2">
          <cell r="A2">
            <v>43462</v>
          </cell>
        </row>
      </sheetData>
      <sheetData sheetId="8057">
        <row r="2">
          <cell r="A2">
            <v>43462</v>
          </cell>
        </row>
      </sheetData>
      <sheetData sheetId="8058">
        <row r="2">
          <cell r="A2">
            <v>43462</v>
          </cell>
        </row>
      </sheetData>
      <sheetData sheetId="8059">
        <row r="2">
          <cell r="A2">
            <v>43462</v>
          </cell>
        </row>
      </sheetData>
      <sheetData sheetId="8060">
        <row r="2">
          <cell r="A2">
            <v>43462</v>
          </cell>
        </row>
      </sheetData>
      <sheetData sheetId="8061">
        <row r="2">
          <cell r="A2">
            <v>43462</v>
          </cell>
        </row>
      </sheetData>
      <sheetData sheetId="8062">
        <row r="2">
          <cell r="A2">
            <v>43462</v>
          </cell>
        </row>
      </sheetData>
      <sheetData sheetId="8063">
        <row r="2">
          <cell r="A2">
            <v>43462</v>
          </cell>
        </row>
      </sheetData>
      <sheetData sheetId="8064">
        <row r="2">
          <cell r="A2">
            <v>43462</v>
          </cell>
        </row>
      </sheetData>
      <sheetData sheetId="8065">
        <row r="2">
          <cell r="A2">
            <v>43462</v>
          </cell>
        </row>
      </sheetData>
      <sheetData sheetId="8066">
        <row r="2">
          <cell r="A2">
            <v>43462</v>
          </cell>
        </row>
      </sheetData>
      <sheetData sheetId="8067">
        <row r="2">
          <cell r="A2">
            <v>43462</v>
          </cell>
        </row>
      </sheetData>
      <sheetData sheetId="8068">
        <row r="2">
          <cell r="A2">
            <v>43462</v>
          </cell>
        </row>
      </sheetData>
      <sheetData sheetId="8069">
        <row r="2">
          <cell r="A2">
            <v>43462</v>
          </cell>
        </row>
      </sheetData>
      <sheetData sheetId="8070">
        <row r="2">
          <cell r="A2">
            <v>43462</v>
          </cell>
        </row>
      </sheetData>
      <sheetData sheetId="8071">
        <row r="2">
          <cell r="A2">
            <v>43462</v>
          </cell>
        </row>
      </sheetData>
      <sheetData sheetId="8072">
        <row r="2">
          <cell r="A2">
            <v>43462</v>
          </cell>
        </row>
      </sheetData>
      <sheetData sheetId="8073">
        <row r="2">
          <cell r="A2">
            <v>43462</v>
          </cell>
        </row>
      </sheetData>
      <sheetData sheetId="8074">
        <row r="2">
          <cell r="A2">
            <v>43462</v>
          </cell>
        </row>
      </sheetData>
      <sheetData sheetId="8075">
        <row r="2">
          <cell r="A2" t="str">
            <v>Complete</v>
          </cell>
        </row>
      </sheetData>
      <sheetData sheetId="8076">
        <row r="2">
          <cell r="A2" t="str">
            <v>Complete</v>
          </cell>
        </row>
      </sheetData>
      <sheetData sheetId="8077">
        <row r="2">
          <cell r="A2" t="str">
            <v>Complete</v>
          </cell>
        </row>
      </sheetData>
      <sheetData sheetId="8078">
        <row r="2">
          <cell r="A2" t="str">
            <v>Complete</v>
          </cell>
        </row>
      </sheetData>
      <sheetData sheetId="8079">
        <row r="2">
          <cell r="A2" t="str">
            <v>Complete</v>
          </cell>
        </row>
      </sheetData>
      <sheetData sheetId="8080">
        <row r="2">
          <cell r="A2" t="str">
            <v>Complete</v>
          </cell>
        </row>
      </sheetData>
      <sheetData sheetId="8081">
        <row r="2">
          <cell r="A2" t="str">
            <v>Complete</v>
          </cell>
        </row>
      </sheetData>
      <sheetData sheetId="8082">
        <row r="2">
          <cell r="A2" t="str">
            <v>Complete</v>
          </cell>
        </row>
      </sheetData>
      <sheetData sheetId="8083">
        <row r="2">
          <cell r="A2" t="str">
            <v>Complete</v>
          </cell>
        </row>
      </sheetData>
      <sheetData sheetId="8084">
        <row r="2">
          <cell r="A2" t="str">
            <v>Complete</v>
          </cell>
        </row>
      </sheetData>
      <sheetData sheetId="8085">
        <row r="2">
          <cell r="A2" t="str">
            <v>Complete</v>
          </cell>
        </row>
      </sheetData>
      <sheetData sheetId="8086">
        <row r="2">
          <cell r="A2" t="str">
            <v>Complete</v>
          </cell>
        </row>
      </sheetData>
      <sheetData sheetId="8087">
        <row r="2">
          <cell r="A2" t="str">
            <v>Complete</v>
          </cell>
        </row>
      </sheetData>
      <sheetData sheetId="8088">
        <row r="2">
          <cell r="A2" t="str">
            <v>Complete</v>
          </cell>
        </row>
      </sheetData>
      <sheetData sheetId="8089">
        <row r="2">
          <cell r="A2" t="str">
            <v>Complete</v>
          </cell>
        </row>
      </sheetData>
      <sheetData sheetId="8090">
        <row r="2">
          <cell r="A2" t="str">
            <v>Complete</v>
          </cell>
        </row>
      </sheetData>
      <sheetData sheetId="8091">
        <row r="2">
          <cell r="A2" t="str">
            <v>Complete</v>
          </cell>
        </row>
      </sheetData>
      <sheetData sheetId="8092">
        <row r="2">
          <cell r="A2" t="str">
            <v>Complete</v>
          </cell>
        </row>
      </sheetData>
      <sheetData sheetId="8093">
        <row r="2">
          <cell r="A2" t="str">
            <v>Complete</v>
          </cell>
        </row>
      </sheetData>
      <sheetData sheetId="8094">
        <row r="2">
          <cell r="A2" t="str">
            <v>Complete</v>
          </cell>
        </row>
      </sheetData>
      <sheetData sheetId="8095">
        <row r="2">
          <cell r="A2" t="str">
            <v>Complete</v>
          </cell>
        </row>
      </sheetData>
      <sheetData sheetId="8096">
        <row r="2">
          <cell r="A2">
            <v>43462</v>
          </cell>
        </row>
      </sheetData>
      <sheetData sheetId="8097">
        <row r="2">
          <cell r="A2">
            <v>43462</v>
          </cell>
        </row>
      </sheetData>
      <sheetData sheetId="8098">
        <row r="2">
          <cell r="A2">
            <v>43462</v>
          </cell>
        </row>
      </sheetData>
      <sheetData sheetId="8099">
        <row r="2">
          <cell r="A2">
            <v>43462</v>
          </cell>
        </row>
      </sheetData>
      <sheetData sheetId="8100">
        <row r="2">
          <cell r="A2">
            <v>43462</v>
          </cell>
        </row>
      </sheetData>
      <sheetData sheetId="8101">
        <row r="2">
          <cell r="A2">
            <v>43462</v>
          </cell>
        </row>
      </sheetData>
      <sheetData sheetId="8102">
        <row r="2">
          <cell r="A2">
            <v>43462</v>
          </cell>
        </row>
      </sheetData>
      <sheetData sheetId="8103">
        <row r="2">
          <cell r="A2">
            <v>43462</v>
          </cell>
        </row>
      </sheetData>
      <sheetData sheetId="8104">
        <row r="2">
          <cell r="A2">
            <v>43462</v>
          </cell>
        </row>
      </sheetData>
      <sheetData sheetId="8105">
        <row r="2">
          <cell r="A2">
            <v>43462</v>
          </cell>
        </row>
      </sheetData>
      <sheetData sheetId="8106">
        <row r="2">
          <cell r="A2">
            <v>43462</v>
          </cell>
        </row>
      </sheetData>
      <sheetData sheetId="8107">
        <row r="2">
          <cell r="A2">
            <v>43462</v>
          </cell>
        </row>
      </sheetData>
      <sheetData sheetId="8108">
        <row r="2">
          <cell r="A2">
            <v>43462</v>
          </cell>
        </row>
      </sheetData>
      <sheetData sheetId="8109">
        <row r="2">
          <cell r="A2">
            <v>43462</v>
          </cell>
        </row>
      </sheetData>
      <sheetData sheetId="8110">
        <row r="2">
          <cell r="A2">
            <v>43462</v>
          </cell>
        </row>
      </sheetData>
      <sheetData sheetId="8111">
        <row r="2">
          <cell r="A2">
            <v>43462</v>
          </cell>
        </row>
      </sheetData>
      <sheetData sheetId="8112">
        <row r="2">
          <cell r="A2">
            <v>43462</v>
          </cell>
        </row>
      </sheetData>
      <sheetData sheetId="8113">
        <row r="2">
          <cell r="A2">
            <v>43462</v>
          </cell>
        </row>
      </sheetData>
      <sheetData sheetId="8114">
        <row r="2">
          <cell r="A2">
            <v>43462</v>
          </cell>
        </row>
      </sheetData>
      <sheetData sheetId="8115">
        <row r="2">
          <cell r="A2">
            <v>43462</v>
          </cell>
        </row>
      </sheetData>
      <sheetData sheetId="8116">
        <row r="2">
          <cell r="A2" t="str">
            <v>Complete</v>
          </cell>
        </row>
      </sheetData>
      <sheetData sheetId="8117">
        <row r="2">
          <cell r="A2" t="str">
            <v>Complete</v>
          </cell>
        </row>
      </sheetData>
      <sheetData sheetId="8118">
        <row r="2">
          <cell r="A2" t="str">
            <v>Complete</v>
          </cell>
        </row>
      </sheetData>
      <sheetData sheetId="8119">
        <row r="2">
          <cell r="A2" t="str">
            <v>Complete</v>
          </cell>
        </row>
      </sheetData>
      <sheetData sheetId="8120">
        <row r="2">
          <cell r="A2" t="str">
            <v>Complete</v>
          </cell>
        </row>
      </sheetData>
      <sheetData sheetId="8121">
        <row r="2">
          <cell r="A2" t="str">
            <v>Complete</v>
          </cell>
        </row>
      </sheetData>
      <sheetData sheetId="8122">
        <row r="2">
          <cell r="A2" t="str">
            <v>Complete</v>
          </cell>
        </row>
      </sheetData>
      <sheetData sheetId="8123">
        <row r="2">
          <cell r="A2" t="str">
            <v>Complete</v>
          </cell>
        </row>
      </sheetData>
      <sheetData sheetId="8124">
        <row r="2">
          <cell r="A2" t="str">
            <v>Complete</v>
          </cell>
        </row>
      </sheetData>
      <sheetData sheetId="8125">
        <row r="2">
          <cell r="A2" t="str">
            <v>Complete</v>
          </cell>
        </row>
      </sheetData>
      <sheetData sheetId="8126">
        <row r="2">
          <cell r="A2" t="str">
            <v>Complete</v>
          </cell>
        </row>
      </sheetData>
      <sheetData sheetId="8127">
        <row r="2">
          <cell r="A2" t="str">
            <v>Complete</v>
          </cell>
        </row>
      </sheetData>
      <sheetData sheetId="8128">
        <row r="2">
          <cell r="A2" t="str">
            <v>Complete</v>
          </cell>
        </row>
      </sheetData>
      <sheetData sheetId="8129">
        <row r="2">
          <cell r="A2" t="str">
            <v>Complete</v>
          </cell>
        </row>
      </sheetData>
      <sheetData sheetId="8130">
        <row r="2">
          <cell r="A2" t="str">
            <v>Complete</v>
          </cell>
        </row>
      </sheetData>
      <sheetData sheetId="8131">
        <row r="2">
          <cell r="A2" t="str">
            <v>Complete</v>
          </cell>
        </row>
      </sheetData>
      <sheetData sheetId="8132">
        <row r="2">
          <cell r="A2" t="str">
            <v>Complete</v>
          </cell>
        </row>
      </sheetData>
      <sheetData sheetId="8133">
        <row r="2">
          <cell r="A2" t="str">
            <v>Complete</v>
          </cell>
        </row>
      </sheetData>
      <sheetData sheetId="8134">
        <row r="2">
          <cell r="A2" t="str">
            <v>Complete</v>
          </cell>
        </row>
      </sheetData>
      <sheetData sheetId="8135">
        <row r="2">
          <cell r="A2" t="str">
            <v>Complete</v>
          </cell>
        </row>
      </sheetData>
      <sheetData sheetId="8136">
        <row r="2">
          <cell r="A2" t="str">
            <v>Complete</v>
          </cell>
        </row>
      </sheetData>
      <sheetData sheetId="8137">
        <row r="2">
          <cell r="A2" t="str">
            <v>Complete</v>
          </cell>
        </row>
      </sheetData>
      <sheetData sheetId="8138">
        <row r="2">
          <cell r="A2" t="str">
            <v>Complete</v>
          </cell>
        </row>
      </sheetData>
      <sheetData sheetId="8139">
        <row r="2">
          <cell r="A2" t="str">
            <v>Complete</v>
          </cell>
        </row>
      </sheetData>
      <sheetData sheetId="8140">
        <row r="2">
          <cell r="A2" t="str">
            <v>Complete</v>
          </cell>
        </row>
      </sheetData>
      <sheetData sheetId="8141">
        <row r="2">
          <cell r="A2" t="str">
            <v>Complete</v>
          </cell>
        </row>
      </sheetData>
      <sheetData sheetId="8142">
        <row r="2">
          <cell r="A2" t="str">
            <v>Complete</v>
          </cell>
        </row>
      </sheetData>
      <sheetData sheetId="8143">
        <row r="2">
          <cell r="A2" t="str">
            <v>Complete</v>
          </cell>
        </row>
      </sheetData>
      <sheetData sheetId="8144">
        <row r="2">
          <cell r="A2" t="str">
            <v>Complete</v>
          </cell>
        </row>
      </sheetData>
      <sheetData sheetId="8145">
        <row r="2">
          <cell r="A2" t="str">
            <v>Complete</v>
          </cell>
        </row>
      </sheetData>
      <sheetData sheetId="8146">
        <row r="2">
          <cell r="A2" t="str">
            <v>Complete</v>
          </cell>
        </row>
      </sheetData>
      <sheetData sheetId="8147">
        <row r="2">
          <cell r="A2" t="str">
            <v>Complete</v>
          </cell>
        </row>
      </sheetData>
      <sheetData sheetId="8148">
        <row r="2">
          <cell r="A2" t="str">
            <v>Complete</v>
          </cell>
        </row>
      </sheetData>
      <sheetData sheetId="8149">
        <row r="2">
          <cell r="A2" t="str">
            <v>Complete</v>
          </cell>
        </row>
      </sheetData>
      <sheetData sheetId="8150">
        <row r="2">
          <cell r="A2" t="str">
            <v>Complete</v>
          </cell>
        </row>
      </sheetData>
      <sheetData sheetId="8151">
        <row r="2">
          <cell r="A2" t="str">
            <v>Complete</v>
          </cell>
        </row>
      </sheetData>
      <sheetData sheetId="8152">
        <row r="2">
          <cell r="A2" t="str">
            <v>Complete</v>
          </cell>
        </row>
      </sheetData>
      <sheetData sheetId="8153">
        <row r="2">
          <cell r="A2" t="str">
            <v>Complete</v>
          </cell>
        </row>
      </sheetData>
      <sheetData sheetId="8154">
        <row r="2">
          <cell r="A2" t="str">
            <v>Complete</v>
          </cell>
        </row>
      </sheetData>
      <sheetData sheetId="8155">
        <row r="2">
          <cell r="A2" t="str">
            <v>Complete</v>
          </cell>
        </row>
      </sheetData>
      <sheetData sheetId="8156">
        <row r="2">
          <cell r="A2" t="str">
            <v>Complete</v>
          </cell>
        </row>
      </sheetData>
      <sheetData sheetId="8157">
        <row r="2">
          <cell r="A2" t="str">
            <v>Complete</v>
          </cell>
        </row>
      </sheetData>
      <sheetData sheetId="8158">
        <row r="2">
          <cell r="A2" t="str">
            <v>Complete</v>
          </cell>
        </row>
      </sheetData>
      <sheetData sheetId="8159">
        <row r="2">
          <cell r="A2" t="str">
            <v>Complete</v>
          </cell>
        </row>
      </sheetData>
      <sheetData sheetId="8160">
        <row r="2">
          <cell r="A2" t="str">
            <v>Complete</v>
          </cell>
        </row>
      </sheetData>
      <sheetData sheetId="8161">
        <row r="2">
          <cell r="A2" t="str">
            <v>Complete</v>
          </cell>
        </row>
      </sheetData>
      <sheetData sheetId="8162">
        <row r="2">
          <cell r="A2" t="str">
            <v>Complete</v>
          </cell>
        </row>
      </sheetData>
      <sheetData sheetId="8163">
        <row r="2">
          <cell r="A2" t="str">
            <v>Complete</v>
          </cell>
        </row>
      </sheetData>
      <sheetData sheetId="8164">
        <row r="2">
          <cell r="A2" t="str">
            <v>Complete</v>
          </cell>
        </row>
      </sheetData>
      <sheetData sheetId="8165">
        <row r="2">
          <cell r="A2" t="str">
            <v>Complete</v>
          </cell>
        </row>
      </sheetData>
      <sheetData sheetId="8166">
        <row r="2">
          <cell r="A2" t="str">
            <v>Complete</v>
          </cell>
        </row>
      </sheetData>
      <sheetData sheetId="8167">
        <row r="2">
          <cell r="A2" t="str">
            <v>Complete</v>
          </cell>
        </row>
      </sheetData>
      <sheetData sheetId="8168">
        <row r="2">
          <cell r="A2" t="str">
            <v>Complete</v>
          </cell>
        </row>
      </sheetData>
      <sheetData sheetId="8169">
        <row r="2">
          <cell r="A2" t="str">
            <v>Complete</v>
          </cell>
        </row>
      </sheetData>
      <sheetData sheetId="8170">
        <row r="2">
          <cell r="A2" t="str">
            <v>Complete</v>
          </cell>
        </row>
      </sheetData>
      <sheetData sheetId="8171">
        <row r="2">
          <cell r="A2" t="str">
            <v>Complete</v>
          </cell>
        </row>
      </sheetData>
      <sheetData sheetId="8172">
        <row r="2">
          <cell r="A2" t="str">
            <v>Complete</v>
          </cell>
        </row>
      </sheetData>
      <sheetData sheetId="8173">
        <row r="2">
          <cell r="A2" t="str">
            <v>Complete</v>
          </cell>
        </row>
      </sheetData>
      <sheetData sheetId="8174">
        <row r="2">
          <cell r="A2" t="str">
            <v>Complete</v>
          </cell>
        </row>
      </sheetData>
      <sheetData sheetId="8175">
        <row r="2">
          <cell r="A2" t="str">
            <v>Complete</v>
          </cell>
        </row>
      </sheetData>
      <sheetData sheetId="8176">
        <row r="2">
          <cell r="A2" t="str">
            <v>Complete</v>
          </cell>
        </row>
      </sheetData>
      <sheetData sheetId="8177">
        <row r="2">
          <cell r="A2" t="str">
            <v>Complete</v>
          </cell>
        </row>
      </sheetData>
      <sheetData sheetId="8178">
        <row r="2">
          <cell r="A2" t="str">
            <v>Complete</v>
          </cell>
        </row>
      </sheetData>
      <sheetData sheetId="8179">
        <row r="2">
          <cell r="A2" t="str">
            <v>Complete</v>
          </cell>
        </row>
      </sheetData>
      <sheetData sheetId="8180">
        <row r="2">
          <cell r="A2" t="str">
            <v>Complete</v>
          </cell>
        </row>
      </sheetData>
      <sheetData sheetId="8181">
        <row r="2">
          <cell r="A2" t="str">
            <v>Complete</v>
          </cell>
        </row>
      </sheetData>
      <sheetData sheetId="8182">
        <row r="2">
          <cell r="A2" t="str">
            <v>Complete</v>
          </cell>
        </row>
      </sheetData>
      <sheetData sheetId="8183">
        <row r="2">
          <cell r="A2" t="str">
            <v>Complete</v>
          </cell>
        </row>
      </sheetData>
      <sheetData sheetId="8184">
        <row r="2">
          <cell r="A2" t="str">
            <v>Complete</v>
          </cell>
        </row>
      </sheetData>
      <sheetData sheetId="8185">
        <row r="2">
          <cell r="A2" t="str">
            <v>Complete</v>
          </cell>
        </row>
      </sheetData>
      <sheetData sheetId="8186">
        <row r="2">
          <cell r="A2" t="str">
            <v>Complete</v>
          </cell>
        </row>
      </sheetData>
      <sheetData sheetId="8187">
        <row r="2">
          <cell r="A2" t="str">
            <v>Complete</v>
          </cell>
        </row>
      </sheetData>
      <sheetData sheetId="8188">
        <row r="2">
          <cell r="A2" t="str">
            <v>Complete</v>
          </cell>
        </row>
      </sheetData>
      <sheetData sheetId="8189">
        <row r="2">
          <cell r="A2" t="str">
            <v>Complete</v>
          </cell>
        </row>
      </sheetData>
      <sheetData sheetId="8190">
        <row r="2">
          <cell r="A2" t="str">
            <v>Complete</v>
          </cell>
        </row>
      </sheetData>
      <sheetData sheetId="8191">
        <row r="2">
          <cell r="A2" t="str">
            <v>Complete</v>
          </cell>
        </row>
      </sheetData>
      <sheetData sheetId="8192">
        <row r="2">
          <cell r="A2" t="str">
            <v>Complete</v>
          </cell>
        </row>
      </sheetData>
      <sheetData sheetId="8193">
        <row r="2">
          <cell r="A2" t="str">
            <v>Complete</v>
          </cell>
        </row>
      </sheetData>
      <sheetData sheetId="8194">
        <row r="2">
          <cell r="A2" t="str">
            <v>Complete</v>
          </cell>
        </row>
      </sheetData>
      <sheetData sheetId="8195">
        <row r="2">
          <cell r="A2" t="str">
            <v>Complete</v>
          </cell>
        </row>
      </sheetData>
      <sheetData sheetId="8196">
        <row r="2">
          <cell r="A2" t="str">
            <v>Complete</v>
          </cell>
        </row>
      </sheetData>
      <sheetData sheetId="8197">
        <row r="2">
          <cell r="A2" t="str">
            <v>Complete</v>
          </cell>
        </row>
      </sheetData>
      <sheetData sheetId="8198">
        <row r="2">
          <cell r="A2" t="str">
            <v>Complete</v>
          </cell>
        </row>
      </sheetData>
      <sheetData sheetId="8199">
        <row r="2">
          <cell r="A2">
            <v>43462</v>
          </cell>
        </row>
      </sheetData>
      <sheetData sheetId="8200">
        <row r="2">
          <cell r="A2">
            <v>43462</v>
          </cell>
        </row>
      </sheetData>
      <sheetData sheetId="8201">
        <row r="2">
          <cell r="A2">
            <v>43462</v>
          </cell>
        </row>
      </sheetData>
      <sheetData sheetId="8202">
        <row r="2">
          <cell r="A2">
            <v>43462</v>
          </cell>
        </row>
      </sheetData>
      <sheetData sheetId="8203">
        <row r="2">
          <cell r="A2">
            <v>43462</v>
          </cell>
        </row>
      </sheetData>
      <sheetData sheetId="8204">
        <row r="2">
          <cell r="A2">
            <v>43462</v>
          </cell>
        </row>
      </sheetData>
      <sheetData sheetId="8205">
        <row r="2">
          <cell r="A2">
            <v>43462</v>
          </cell>
        </row>
      </sheetData>
      <sheetData sheetId="8206">
        <row r="2">
          <cell r="A2">
            <v>43462</v>
          </cell>
        </row>
      </sheetData>
      <sheetData sheetId="8207">
        <row r="2">
          <cell r="A2">
            <v>43462</v>
          </cell>
        </row>
      </sheetData>
      <sheetData sheetId="8208">
        <row r="2">
          <cell r="A2">
            <v>43462</v>
          </cell>
        </row>
      </sheetData>
      <sheetData sheetId="8209">
        <row r="2">
          <cell r="A2">
            <v>43462</v>
          </cell>
        </row>
      </sheetData>
      <sheetData sheetId="8210">
        <row r="2">
          <cell r="A2">
            <v>43462</v>
          </cell>
        </row>
      </sheetData>
      <sheetData sheetId="8211">
        <row r="2">
          <cell r="A2">
            <v>43462</v>
          </cell>
        </row>
      </sheetData>
      <sheetData sheetId="8212">
        <row r="2">
          <cell r="A2">
            <v>43462</v>
          </cell>
        </row>
      </sheetData>
      <sheetData sheetId="8213">
        <row r="2">
          <cell r="A2">
            <v>43462</v>
          </cell>
        </row>
      </sheetData>
      <sheetData sheetId="8214">
        <row r="2">
          <cell r="A2">
            <v>43462</v>
          </cell>
        </row>
      </sheetData>
      <sheetData sheetId="8215">
        <row r="2">
          <cell r="A2">
            <v>43462</v>
          </cell>
        </row>
      </sheetData>
      <sheetData sheetId="8216">
        <row r="2">
          <cell r="A2">
            <v>43462</v>
          </cell>
        </row>
      </sheetData>
      <sheetData sheetId="8217">
        <row r="2">
          <cell r="A2">
            <v>43462</v>
          </cell>
        </row>
      </sheetData>
      <sheetData sheetId="8218">
        <row r="2">
          <cell r="A2">
            <v>43462</v>
          </cell>
        </row>
      </sheetData>
      <sheetData sheetId="8219">
        <row r="2">
          <cell r="A2">
            <v>43462</v>
          </cell>
        </row>
      </sheetData>
      <sheetData sheetId="8220">
        <row r="2">
          <cell r="A2">
            <v>43462</v>
          </cell>
        </row>
      </sheetData>
      <sheetData sheetId="8221">
        <row r="2">
          <cell r="A2">
            <v>43462</v>
          </cell>
        </row>
      </sheetData>
      <sheetData sheetId="8222">
        <row r="2">
          <cell r="A2">
            <v>43462</v>
          </cell>
        </row>
      </sheetData>
      <sheetData sheetId="8223">
        <row r="2">
          <cell r="A2">
            <v>43462</v>
          </cell>
        </row>
      </sheetData>
      <sheetData sheetId="8224">
        <row r="2">
          <cell r="A2">
            <v>43462</v>
          </cell>
        </row>
      </sheetData>
      <sheetData sheetId="8225">
        <row r="2">
          <cell r="A2">
            <v>43462</v>
          </cell>
        </row>
      </sheetData>
      <sheetData sheetId="8226">
        <row r="2">
          <cell r="A2">
            <v>43462</v>
          </cell>
        </row>
      </sheetData>
      <sheetData sheetId="8227">
        <row r="2">
          <cell r="A2">
            <v>43462</v>
          </cell>
        </row>
      </sheetData>
      <sheetData sheetId="8228">
        <row r="2">
          <cell r="A2">
            <v>43462</v>
          </cell>
        </row>
      </sheetData>
      <sheetData sheetId="8229">
        <row r="2">
          <cell r="A2">
            <v>43462</v>
          </cell>
        </row>
      </sheetData>
      <sheetData sheetId="8230">
        <row r="2">
          <cell r="A2">
            <v>43462</v>
          </cell>
        </row>
      </sheetData>
      <sheetData sheetId="8231">
        <row r="2">
          <cell r="A2">
            <v>43462</v>
          </cell>
        </row>
      </sheetData>
      <sheetData sheetId="8232">
        <row r="2">
          <cell r="A2">
            <v>43462</v>
          </cell>
        </row>
      </sheetData>
      <sheetData sheetId="8233">
        <row r="2">
          <cell r="A2">
            <v>43462</v>
          </cell>
        </row>
      </sheetData>
      <sheetData sheetId="8234">
        <row r="2">
          <cell r="A2">
            <v>43462</v>
          </cell>
        </row>
      </sheetData>
      <sheetData sheetId="8235">
        <row r="2">
          <cell r="A2">
            <v>43462</v>
          </cell>
        </row>
      </sheetData>
      <sheetData sheetId="8236">
        <row r="2">
          <cell r="A2">
            <v>43462</v>
          </cell>
        </row>
      </sheetData>
      <sheetData sheetId="8237">
        <row r="2">
          <cell r="A2">
            <v>43462</v>
          </cell>
        </row>
      </sheetData>
      <sheetData sheetId="8238">
        <row r="2">
          <cell r="A2">
            <v>43462</v>
          </cell>
        </row>
      </sheetData>
      <sheetData sheetId="8239">
        <row r="2">
          <cell r="A2" t="str">
            <v>Complete</v>
          </cell>
        </row>
      </sheetData>
      <sheetData sheetId="8240">
        <row r="2">
          <cell r="A2" t="str">
            <v>Complete</v>
          </cell>
        </row>
      </sheetData>
      <sheetData sheetId="8241">
        <row r="2">
          <cell r="A2" t="str">
            <v>Complete</v>
          </cell>
        </row>
      </sheetData>
      <sheetData sheetId="8242">
        <row r="2">
          <cell r="A2" t="str">
            <v>Complete</v>
          </cell>
        </row>
      </sheetData>
      <sheetData sheetId="8243">
        <row r="2">
          <cell r="A2" t="str">
            <v>Complete</v>
          </cell>
        </row>
      </sheetData>
      <sheetData sheetId="8244">
        <row r="2">
          <cell r="A2" t="str">
            <v>Complete</v>
          </cell>
        </row>
      </sheetData>
      <sheetData sheetId="8245">
        <row r="2">
          <cell r="A2" t="str">
            <v>Complete</v>
          </cell>
        </row>
      </sheetData>
      <sheetData sheetId="8246">
        <row r="2">
          <cell r="A2" t="str">
            <v>Complete</v>
          </cell>
        </row>
      </sheetData>
      <sheetData sheetId="8247">
        <row r="2">
          <cell r="A2" t="str">
            <v>Complete</v>
          </cell>
        </row>
      </sheetData>
      <sheetData sheetId="8248">
        <row r="2">
          <cell r="A2" t="str">
            <v>Complete</v>
          </cell>
        </row>
      </sheetData>
      <sheetData sheetId="8249">
        <row r="2">
          <cell r="A2" t="str">
            <v>Complete</v>
          </cell>
        </row>
      </sheetData>
      <sheetData sheetId="8250">
        <row r="2">
          <cell r="A2" t="str">
            <v>Complete</v>
          </cell>
        </row>
      </sheetData>
      <sheetData sheetId="8251">
        <row r="2">
          <cell r="A2" t="str">
            <v>Complete</v>
          </cell>
        </row>
      </sheetData>
      <sheetData sheetId="8252">
        <row r="2">
          <cell r="A2" t="str">
            <v>Complete</v>
          </cell>
        </row>
      </sheetData>
      <sheetData sheetId="8253">
        <row r="2">
          <cell r="A2" t="str">
            <v>Complete</v>
          </cell>
        </row>
      </sheetData>
      <sheetData sheetId="8254">
        <row r="2">
          <cell r="A2" t="str">
            <v>Complete</v>
          </cell>
        </row>
      </sheetData>
      <sheetData sheetId="8255">
        <row r="2">
          <cell r="A2" t="str">
            <v>Complete</v>
          </cell>
        </row>
      </sheetData>
      <sheetData sheetId="8256">
        <row r="2">
          <cell r="A2" t="str">
            <v>Complete</v>
          </cell>
        </row>
      </sheetData>
      <sheetData sheetId="8257">
        <row r="2">
          <cell r="A2" t="str">
            <v>Complete</v>
          </cell>
        </row>
      </sheetData>
      <sheetData sheetId="8258">
        <row r="2">
          <cell r="A2" t="str">
            <v>Complete</v>
          </cell>
        </row>
      </sheetData>
      <sheetData sheetId="8259">
        <row r="2">
          <cell r="A2" t="str">
            <v>Complete</v>
          </cell>
        </row>
      </sheetData>
      <sheetData sheetId="8260">
        <row r="2">
          <cell r="A2" t="str">
            <v>Complete</v>
          </cell>
        </row>
      </sheetData>
      <sheetData sheetId="8261">
        <row r="2">
          <cell r="A2" t="str">
            <v>Complete</v>
          </cell>
        </row>
      </sheetData>
      <sheetData sheetId="8262">
        <row r="2">
          <cell r="A2" t="str">
            <v>Complete</v>
          </cell>
        </row>
      </sheetData>
      <sheetData sheetId="8263">
        <row r="2">
          <cell r="A2" t="str">
            <v>Complete</v>
          </cell>
        </row>
      </sheetData>
      <sheetData sheetId="8264">
        <row r="2">
          <cell r="A2" t="str">
            <v>Complete</v>
          </cell>
        </row>
      </sheetData>
      <sheetData sheetId="8265">
        <row r="2">
          <cell r="A2" t="str">
            <v>Complete</v>
          </cell>
        </row>
      </sheetData>
      <sheetData sheetId="8266">
        <row r="2">
          <cell r="A2" t="str">
            <v>Complete</v>
          </cell>
        </row>
      </sheetData>
      <sheetData sheetId="8267">
        <row r="2">
          <cell r="A2" t="str">
            <v>Complete</v>
          </cell>
        </row>
      </sheetData>
      <sheetData sheetId="8268">
        <row r="2">
          <cell r="A2" t="str">
            <v>Complete</v>
          </cell>
        </row>
      </sheetData>
      <sheetData sheetId="8269">
        <row r="2">
          <cell r="A2" t="str">
            <v>Complete</v>
          </cell>
        </row>
      </sheetData>
      <sheetData sheetId="8270">
        <row r="2">
          <cell r="A2" t="str">
            <v>Complete</v>
          </cell>
        </row>
      </sheetData>
      <sheetData sheetId="8271">
        <row r="2">
          <cell r="A2" t="str">
            <v>Complete</v>
          </cell>
        </row>
      </sheetData>
      <sheetData sheetId="8272">
        <row r="2">
          <cell r="A2" t="str">
            <v>Complete</v>
          </cell>
        </row>
      </sheetData>
      <sheetData sheetId="8273">
        <row r="2">
          <cell r="A2" t="str">
            <v>Complete</v>
          </cell>
        </row>
      </sheetData>
      <sheetData sheetId="8274">
        <row r="2">
          <cell r="A2" t="str">
            <v>Complete</v>
          </cell>
        </row>
      </sheetData>
      <sheetData sheetId="8275">
        <row r="2">
          <cell r="A2" t="str">
            <v>Complete</v>
          </cell>
        </row>
      </sheetData>
      <sheetData sheetId="8276">
        <row r="2">
          <cell r="A2" t="str">
            <v>Complete</v>
          </cell>
        </row>
      </sheetData>
      <sheetData sheetId="8277">
        <row r="2">
          <cell r="A2">
            <v>43462</v>
          </cell>
        </row>
      </sheetData>
      <sheetData sheetId="8278">
        <row r="2">
          <cell r="A2">
            <v>43462</v>
          </cell>
        </row>
      </sheetData>
      <sheetData sheetId="8279">
        <row r="2">
          <cell r="A2">
            <v>43462</v>
          </cell>
        </row>
      </sheetData>
      <sheetData sheetId="8280">
        <row r="2">
          <cell r="A2">
            <v>43462</v>
          </cell>
        </row>
      </sheetData>
      <sheetData sheetId="8281">
        <row r="2">
          <cell r="A2">
            <v>43462</v>
          </cell>
        </row>
      </sheetData>
      <sheetData sheetId="8282">
        <row r="2">
          <cell r="A2">
            <v>43462</v>
          </cell>
        </row>
      </sheetData>
      <sheetData sheetId="8283">
        <row r="2">
          <cell r="A2">
            <v>43462</v>
          </cell>
        </row>
      </sheetData>
      <sheetData sheetId="8284">
        <row r="2">
          <cell r="A2">
            <v>43462</v>
          </cell>
        </row>
      </sheetData>
      <sheetData sheetId="8285">
        <row r="2">
          <cell r="A2">
            <v>43462</v>
          </cell>
        </row>
      </sheetData>
      <sheetData sheetId="8286">
        <row r="2">
          <cell r="A2">
            <v>43462</v>
          </cell>
        </row>
      </sheetData>
      <sheetData sheetId="8287">
        <row r="2">
          <cell r="A2">
            <v>43462</v>
          </cell>
        </row>
      </sheetData>
      <sheetData sheetId="8288">
        <row r="2">
          <cell r="A2">
            <v>43462</v>
          </cell>
        </row>
      </sheetData>
      <sheetData sheetId="8289">
        <row r="2">
          <cell r="A2">
            <v>43462</v>
          </cell>
        </row>
      </sheetData>
      <sheetData sheetId="8290">
        <row r="2">
          <cell r="A2">
            <v>43462</v>
          </cell>
        </row>
      </sheetData>
      <sheetData sheetId="8291">
        <row r="2">
          <cell r="A2">
            <v>43462</v>
          </cell>
        </row>
      </sheetData>
      <sheetData sheetId="8292">
        <row r="2">
          <cell r="A2">
            <v>43462</v>
          </cell>
        </row>
      </sheetData>
      <sheetData sheetId="8293">
        <row r="2">
          <cell r="A2">
            <v>43462</v>
          </cell>
        </row>
      </sheetData>
      <sheetData sheetId="8294">
        <row r="2">
          <cell r="A2">
            <v>43462</v>
          </cell>
        </row>
      </sheetData>
      <sheetData sheetId="8295">
        <row r="2">
          <cell r="A2">
            <v>43462</v>
          </cell>
        </row>
      </sheetData>
      <sheetData sheetId="8296">
        <row r="2">
          <cell r="A2">
            <v>43462</v>
          </cell>
        </row>
      </sheetData>
      <sheetData sheetId="8297">
        <row r="2">
          <cell r="A2">
            <v>43462</v>
          </cell>
        </row>
      </sheetData>
      <sheetData sheetId="8298">
        <row r="2">
          <cell r="A2">
            <v>43462</v>
          </cell>
        </row>
      </sheetData>
      <sheetData sheetId="8299">
        <row r="2">
          <cell r="A2">
            <v>43462</v>
          </cell>
        </row>
      </sheetData>
      <sheetData sheetId="8300">
        <row r="2">
          <cell r="A2">
            <v>43462</v>
          </cell>
        </row>
      </sheetData>
      <sheetData sheetId="8301">
        <row r="2">
          <cell r="A2">
            <v>43462</v>
          </cell>
        </row>
      </sheetData>
      <sheetData sheetId="8302">
        <row r="2">
          <cell r="A2">
            <v>43462</v>
          </cell>
        </row>
      </sheetData>
      <sheetData sheetId="8303">
        <row r="2">
          <cell r="A2">
            <v>43462</v>
          </cell>
        </row>
      </sheetData>
      <sheetData sheetId="8304">
        <row r="2">
          <cell r="A2">
            <v>43462</v>
          </cell>
        </row>
      </sheetData>
      <sheetData sheetId="8305">
        <row r="2">
          <cell r="A2">
            <v>43462</v>
          </cell>
        </row>
      </sheetData>
      <sheetData sheetId="8306">
        <row r="2">
          <cell r="A2">
            <v>43462</v>
          </cell>
        </row>
      </sheetData>
      <sheetData sheetId="8307">
        <row r="2">
          <cell r="A2">
            <v>43462</v>
          </cell>
        </row>
      </sheetData>
      <sheetData sheetId="8308">
        <row r="2">
          <cell r="A2">
            <v>43462</v>
          </cell>
        </row>
      </sheetData>
      <sheetData sheetId="8309">
        <row r="2">
          <cell r="A2">
            <v>43462</v>
          </cell>
        </row>
      </sheetData>
      <sheetData sheetId="8310">
        <row r="2">
          <cell r="A2">
            <v>43462</v>
          </cell>
        </row>
      </sheetData>
      <sheetData sheetId="8311">
        <row r="2">
          <cell r="A2">
            <v>43462</v>
          </cell>
        </row>
      </sheetData>
      <sheetData sheetId="8312">
        <row r="2">
          <cell r="A2">
            <v>43462</v>
          </cell>
        </row>
      </sheetData>
      <sheetData sheetId="8313">
        <row r="2">
          <cell r="A2">
            <v>43462</v>
          </cell>
        </row>
      </sheetData>
      <sheetData sheetId="8314">
        <row r="2">
          <cell r="A2">
            <v>43462</v>
          </cell>
        </row>
      </sheetData>
      <sheetData sheetId="8315">
        <row r="2">
          <cell r="A2">
            <v>43462</v>
          </cell>
        </row>
      </sheetData>
      <sheetData sheetId="8316">
        <row r="2">
          <cell r="A2">
            <v>43462</v>
          </cell>
        </row>
      </sheetData>
      <sheetData sheetId="8317">
        <row r="2">
          <cell r="A2">
            <v>43462</v>
          </cell>
        </row>
      </sheetData>
      <sheetData sheetId="8318">
        <row r="2">
          <cell r="A2">
            <v>43462</v>
          </cell>
        </row>
      </sheetData>
      <sheetData sheetId="8319">
        <row r="2">
          <cell r="A2">
            <v>43462</v>
          </cell>
        </row>
      </sheetData>
      <sheetData sheetId="8320">
        <row r="2">
          <cell r="A2">
            <v>43462</v>
          </cell>
        </row>
      </sheetData>
      <sheetData sheetId="8321">
        <row r="2">
          <cell r="A2" t="str">
            <v>Complete</v>
          </cell>
        </row>
      </sheetData>
      <sheetData sheetId="8322">
        <row r="2">
          <cell r="A2" t="str">
            <v>Complete</v>
          </cell>
        </row>
      </sheetData>
      <sheetData sheetId="8323">
        <row r="2">
          <cell r="A2" t="str">
            <v>Complete</v>
          </cell>
        </row>
      </sheetData>
      <sheetData sheetId="8324">
        <row r="2">
          <cell r="A2" t="str">
            <v>Complete</v>
          </cell>
        </row>
      </sheetData>
      <sheetData sheetId="8325">
        <row r="2">
          <cell r="A2" t="str">
            <v>Complete</v>
          </cell>
        </row>
      </sheetData>
      <sheetData sheetId="8326">
        <row r="2">
          <cell r="A2" t="str">
            <v>Complete</v>
          </cell>
        </row>
      </sheetData>
      <sheetData sheetId="8327">
        <row r="2">
          <cell r="A2" t="str">
            <v>Complete</v>
          </cell>
        </row>
      </sheetData>
      <sheetData sheetId="8328">
        <row r="2">
          <cell r="A2" t="str">
            <v>Complete</v>
          </cell>
        </row>
      </sheetData>
      <sheetData sheetId="8329">
        <row r="2">
          <cell r="A2" t="str">
            <v>Complete</v>
          </cell>
        </row>
      </sheetData>
      <sheetData sheetId="8330">
        <row r="2">
          <cell r="A2" t="str">
            <v>Complete</v>
          </cell>
        </row>
      </sheetData>
      <sheetData sheetId="8331">
        <row r="2">
          <cell r="A2" t="str">
            <v>Complete</v>
          </cell>
        </row>
      </sheetData>
      <sheetData sheetId="8332">
        <row r="2">
          <cell r="A2" t="str">
            <v>Complete</v>
          </cell>
        </row>
      </sheetData>
      <sheetData sheetId="8333">
        <row r="2">
          <cell r="A2" t="str">
            <v>Complete</v>
          </cell>
        </row>
      </sheetData>
      <sheetData sheetId="8334">
        <row r="2">
          <cell r="A2" t="str">
            <v>Complete</v>
          </cell>
        </row>
      </sheetData>
      <sheetData sheetId="8335">
        <row r="2">
          <cell r="A2" t="str">
            <v>Complete</v>
          </cell>
        </row>
      </sheetData>
      <sheetData sheetId="8336">
        <row r="2">
          <cell r="A2" t="str">
            <v>Complete</v>
          </cell>
        </row>
      </sheetData>
      <sheetData sheetId="8337">
        <row r="2">
          <cell r="A2" t="str">
            <v>Complete</v>
          </cell>
        </row>
      </sheetData>
      <sheetData sheetId="8338">
        <row r="2">
          <cell r="A2" t="str">
            <v>Complete</v>
          </cell>
        </row>
      </sheetData>
      <sheetData sheetId="8339">
        <row r="2">
          <cell r="A2" t="str">
            <v>Complete</v>
          </cell>
        </row>
      </sheetData>
      <sheetData sheetId="8340">
        <row r="2">
          <cell r="A2" t="str">
            <v>Complete</v>
          </cell>
        </row>
      </sheetData>
      <sheetData sheetId="8341">
        <row r="2">
          <cell r="A2" t="str">
            <v>Complete</v>
          </cell>
        </row>
      </sheetData>
      <sheetData sheetId="8342">
        <row r="2">
          <cell r="A2">
            <v>43462</v>
          </cell>
        </row>
      </sheetData>
      <sheetData sheetId="8343">
        <row r="2">
          <cell r="A2">
            <v>43462</v>
          </cell>
        </row>
      </sheetData>
      <sheetData sheetId="8344">
        <row r="2">
          <cell r="A2">
            <v>43462</v>
          </cell>
        </row>
      </sheetData>
      <sheetData sheetId="8345">
        <row r="2">
          <cell r="A2">
            <v>43462</v>
          </cell>
        </row>
      </sheetData>
      <sheetData sheetId="8346">
        <row r="2">
          <cell r="A2">
            <v>43462</v>
          </cell>
        </row>
      </sheetData>
      <sheetData sheetId="8347">
        <row r="2">
          <cell r="A2">
            <v>43462</v>
          </cell>
        </row>
      </sheetData>
      <sheetData sheetId="8348">
        <row r="2">
          <cell r="A2">
            <v>43462</v>
          </cell>
        </row>
      </sheetData>
      <sheetData sheetId="8349">
        <row r="2">
          <cell r="A2">
            <v>43462</v>
          </cell>
        </row>
      </sheetData>
      <sheetData sheetId="8350">
        <row r="2">
          <cell r="A2">
            <v>43462</v>
          </cell>
        </row>
      </sheetData>
      <sheetData sheetId="8351">
        <row r="2">
          <cell r="A2">
            <v>43462</v>
          </cell>
        </row>
      </sheetData>
      <sheetData sheetId="8352">
        <row r="2">
          <cell r="A2">
            <v>43462</v>
          </cell>
        </row>
      </sheetData>
      <sheetData sheetId="8353">
        <row r="2">
          <cell r="A2">
            <v>43462</v>
          </cell>
        </row>
      </sheetData>
      <sheetData sheetId="8354">
        <row r="2">
          <cell r="A2">
            <v>43462</v>
          </cell>
        </row>
      </sheetData>
      <sheetData sheetId="8355">
        <row r="2">
          <cell r="A2">
            <v>43462</v>
          </cell>
        </row>
      </sheetData>
      <sheetData sheetId="8356">
        <row r="2">
          <cell r="A2">
            <v>43462</v>
          </cell>
        </row>
      </sheetData>
      <sheetData sheetId="8357">
        <row r="2">
          <cell r="A2">
            <v>43462</v>
          </cell>
        </row>
      </sheetData>
      <sheetData sheetId="8358">
        <row r="2">
          <cell r="A2">
            <v>43462</v>
          </cell>
        </row>
      </sheetData>
      <sheetData sheetId="8359">
        <row r="2">
          <cell r="A2">
            <v>43462</v>
          </cell>
        </row>
      </sheetData>
      <sheetData sheetId="8360">
        <row r="2">
          <cell r="A2">
            <v>43462</v>
          </cell>
        </row>
      </sheetData>
      <sheetData sheetId="8361">
        <row r="2">
          <cell r="A2">
            <v>43462</v>
          </cell>
        </row>
      </sheetData>
      <sheetData sheetId="8362">
        <row r="2">
          <cell r="A2" t="str">
            <v>Complete</v>
          </cell>
        </row>
      </sheetData>
      <sheetData sheetId="8363">
        <row r="2">
          <cell r="A2" t="str">
            <v>Complete</v>
          </cell>
        </row>
      </sheetData>
      <sheetData sheetId="8364">
        <row r="2">
          <cell r="A2" t="str">
            <v>Complete</v>
          </cell>
        </row>
      </sheetData>
      <sheetData sheetId="8365">
        <row r="2">
          <cell r="A2" t="str">
            <v>Complete</v>
          </cell>
        </row>
      </sheetData>
      <sheetData sheetId="8366">
        <row r="2">
          <cell r="A2" t="str">
            <v>Complete</v>
          </cell>
        </row>
      </sheetData>
      <sheetData sheetId="8367">
        <row r="2">
          <cell r="A2" t="str">
            <v>Complete</v>
          </cell>
        </row>
      </sheetData>
      <sheetData sheetId="8368">
        <row r="2">
          <cell r="A2" t="str">
            <v>Complete</v>
          </cell>
        </row>
      </sheetData>
      <sheetData sheetId="8369">
        <row r="2">
          <cell r="A2" t="str">
            <v>Complete</v>
          </cell>
        </row>
      </sheetData>
      <sheetData sheetId="8370">
        <row r="2">
          <cell r="A2" t="str">
            <v>Complete</v>
          </cell>
        </row>
      </sheetData>
      <sheetData sheetId="8371">
        <row r="2">
          <cell r="A2" t="str">
            <v>Complete</v>
          </cell>
        </row>
      </sheetData>
      <sheetData sheetId="8372">
        <row r="2">
          <cell r="A2" t="str">
            <v>Complete</v>
          </cell>
        </row>
      </sheetData>
      <sheetData sheetId="8373">
        <row r="2">
          <cell r="A2" t="str">
            <v>Complete</v>
          </cell>
        </row>
      </sheetData>
      <sheetData sheetId="8374">
        <row r="2">
          <cell r="A2" t="str">
            <v>Complete</v>
          </cell>
        </row>
      </sheetData>
      <sheetData sheetId="8375">
        <row r="2">
          <cell r="A2" t="str">
            <v>Complete</v>
          </cell>
        </row>
      </sheetData>
      <sheetData sheetId="8376">
        <row r="2">
          <cell r="A2" t="str">
            <v>Complete</v>
          </cell>
        </row>
      </sheetData>
      <sheetData sheetId="8377">
        <row r="2">
          <cell r="A2" t="str">
            <v>Complete</v>
          </cell>
        </row>
      </sheetData>
      <sheetData sheetId="8378">
        <row r="2">
          <cell r="A2" t="str">
            <v>Complete</v>
          </cell>
        </row>
      </sheetData>
      <sheetData sheetId="8379">
        <row r="2">
          <cell r="A2" t="str">
            <v>Complete</v>
          </cell>
        </row>
      </sheetData>
      <sheetData sheetId="8380">
        <row r="2">
          <cell r="A2" t="str">
            <v>Complete</v>
          </cell>
        </row>
      </sheetData>
      <sheetData sheetId="8381">
        <row r="2">
          <cell r="A2" t="str">
            <v>Complete</v>
          </cell>
        </row>
      </sheetData>
      <sheetData sheetId="8382">
        <row r="2">
          <cell r="A2" t="str">
            <v>Complete</v>
          </cell>
        </row>
      </sheetData>
      <sheetData sheetId="8383">
        <row r="2">
          <cell r="A2">
            <v>43462</v>
          </cell>
        </row>
      </sheetData>
      <sheetData sheetId="8384">
        <row r="2">
          <cell r="A2">
            <v>43462</v>
          </cell>
        </row>
      </sheetData>
      <sheetData sheetId="8385">
        <row r="2">
          <cell r="A2">
            <v>43462</v>
          </cell>
        </row>
      </sheetData>
      <sheetData sheetId="8386">
        <row r="2">
          <cell r="A2">
            <v>43462</v>
          </cell>
        </row>
      </sheetData>
      <sheetData sheetId="8387">
        <row r="2">
          <cell r="A2">
            <v>43462</v>
          </cell>
        </row>
      </sheetData>
      <sheetData sheetId="8388">
        <row r="2">
          <cell r="A2">
            <v>43462</v>
          </cell>
        </row>
      </sheetData>
      <sheetData sheetId="8389">
        <row r="2">
          <cell r="A2">
            <v>43462</v>
          </cell>
        </row>
      </sheetData>
      <sheetData sheetId="8390">
        <row r="2">
          <cell r="A2">
            <v>43462</v>
          </cell>
        </row>
      </sheetData>
      <sheetData sheetId="8391">
        <row r="2">
          <cell r="A2">
            <v>43462</v>
          </cell>
        </row>
      </sheetData>
      <sheetData sheetId="8392">
        <row r="2">
          <cell r="A2">
            <v>43462</v>
          </cell>
        </row>
      </sheetData>
      <sheetData sheetId="8393">
        <row r="2">
          <cell r="A2">
            <v>43462</v>
          </cell>
        </row>
      </sheetData>
      <sheetData sheetId="8394">
        <row r="2">
          <cell r="A2">
            <v>43462</v>
          </cell>
        </row>
      </sheetData>
      <sheetData sheetId="8395">
        <row r="2">
          <cell r="A2">
            <v>43462</v>
          </cell>
        </row>
      </sheetData>
      <sheetData sheetId="8396">
        <row r="2">
          <cell r="A2">
            <v>43462</v>
          </cell>
        </row>
      </sheetData>
      <sheetData sheetId="8397">
        <row r="2">
          <cell r="A2">
            <v>43462</v>
          </cell>
        </row>
      </sheetData>
      <sheetData sheetId="8398">
        <row r="2">
          <cell r="A2">
            <v>43462</v>
          </cell>
        </row>
      </sheetData>
      <sheetData sheetId="8399">
        <row r="2">
          <cell r="A2">
            <v>43462</v>
          </cell>
        </row>
      </sheetData>
      <sheetData sheetId="8400">
        <row r="2">
          <cell r="A2">
            <v>43462</v>
          </cell>
        </row>
      </sheetData>
      <sheetData sheetId="8401">
        <row r="2">
          <cell r="A2">
            <v>43462</v>
          </cell>
        </row>
      </sheetData>
      <sheetData sheetId="8402">
        <row r="2">
          <cell r="A2">
            <v>43462</v>
          </cell>
        </row>
      </sheetData>
      <sheetData sheetId="8403">
        <row r="2">
          <cell r="A2" t="str">
            <v>Complete</v>
          </cell>
        </row>
      </sheetData>
      <sheetData sheetId="8404">
        <row r="2">
          <cell r="A2" t="str">
            <v>Complete</v>
          </cell>
        </row>
      </sheetData>
      <sheetData sheetId="8405">
        <row r="2">
          <cell r="A2" t="str">
            <v>Complete</v>
          </cell>
        </row>
      </sheetData>
      <sheetData sheetId="8406">
        <row r="2">
          <cell r="A2" t="str">
            <v>Complete</v>
          </cell>
        </row>
      </sheetData>
      <sheetData sheetId="8407">
        <row r="2">
          <cell r="A2" t="str">
            <v>Complete</v>
          </cell>
        </row>
      </sheetData>
      <sheetData sheetId="8408">
        <row r="2">
          <cell r="A2" t="str">
            <v>Complete</v>
          </cell>
        </row>
      </sheetData>
      <sheetData sheetId="8409">
        <row r="2">
          <cell r="A2" t="str">
            <v>Complete</v>
          </cell>
        </row>
      </sheetData>
      <sheetData sheetId="8410">
        <row r="2">
          <cell r="A2" t="str">
            <v>Complete</v>
          </cell>
        </row>
      </sheetData>
      <sheetData sheetId="8411">
        <row r="2">
          <cell r="A2" t="str">
            <v>Complete</v>
          </cell>
        </row>
      </sheetData>
      <sheetData sheetId="8412">
        <row r="2">
          <cell r="A2" t="str">
            <v>Complete</v>
          </cell>
        </row>
      </sheetData>
      <sheetData sheetId="8413">
        <row r="2">
          <cell r="A2" t="str">
            <v>Complete</v>
          </cell>
        </row>
      </sheetData>
      <sheetData sheetId="8414">
        <row r="2">
          <cell r="A2" t="str">
            <v>Complete</v>
          </cell>
        </row>
      </sheetData>
      <sheetData sheetId="8415">
        <row r="2">
          <cell r="A2" t="str">
            <v>Complete</v>
          </cell>
        </row>
      </sheetData>
      <sheetData sheetId="8416">
        <row r="2">
          <cell r="A2" t="str">
            <v>Complete</v>
          </cell>
        </row>
      </sheetData>
      <sheetData sheetId="8417">
        <row r="2">
          <cell r="A2" t="str">
            <v>Complete</v>
          </cell>
        </row>
      </sheetData>
      <sheetData sheetId="8418">
        <row r="2">
          <cell r="A2" t="str">
            <v>Complete</v>
          </cell>
        </row>
      </sheetData>
      <sheetData sheetId="8419">
        <row r="2">
          <cell r="A2" t="str">
            <v>Complete</v>
          </cell>
        </row>
      </sheetData>
      <sheetData sheetId="8420">
        <row r="2">
          <cell r="A2" t="str">
            <v>Complete</v>
          </cell>
        </row>
      </sheetData>
      <sheetData sheetId="8421">
        <row r="2">
          <cell r="A2" t="str">
            <v>Complete</v>
          </cell>
        </row>
      </sheetData>
      <sheetData sheetId="8422">
        <row r="2">
          <cell r="A2" t="str">
            <v>Complete</v>
          </cell>
        </row>
      </sheetData>
      <sheetData sheetId="8423">
        <row r="2">
          <cell r="A2" t="str">
            <v>Complete</v>
          </cell>
        </row>
      </sheetData>
      <sheetData sheetId="8424">
        <row r="2">
          <cell r="A2">
            <v>43462</v>
          </cell>
        </row>
      </sheetData>
      <sheetData sheetId="8425">
        <row r="2">
          <cell r="A2">
            <v>43462</v>
          </cell>
        </row>
      </sheetData>
      <sheetData sheetId="8426">
        <row r="2">
          <cell r="A2">
            <v>43462</v>
          </cell>
        </row>
      </sheetData>
      <sheetData sheetId="8427">
        <row r="2">
          <cell r="A2">
            <v>43462</v>
          </cell>
        </row>
      </sheetData>
      <sheetData sheetId="8428">
        <row r="2">
          <cell r="A2">
            <v>43462</v>
          </cell>
        </row>
      </sheetData>
      <sheetData sheetId="8429">
        <row r="2">
          <cell r="A2">
            <v>43462</v>
          </cell>
        </row>
      </sheetData>
      <sheetData sheetId="8430">
        <row r="2">
          <cell r="A2">
            <v>43462</v>
          </cell>
        </row>
      </sheetData>
      <sheetData sheetId="8431">
        <row r="2">
          <cell r="A2">
            <v>43462</v>
          </cell>
        </row>
      </sheetData>
      <sheetData sheetId="8432">
        <row r="2">
          <cell r="A2">
            <v>43462</v>
          </cell>
        </row>
      </sheetData>
      <sheetData sheetId="8433">
        <row r="2">
          <cell r="A2">
            <v>43462</v>
          </cell>
        </row>
      </sheetData>
      <sheetData sheetId="8434">
        <row r="2">
          <cell r="A2">
            <v>43462</v>
          </cell>
        </row>
      </sheetData>
      <sheetData sheetId="8435">
        <row r="2">
          <cell r="A2">
            <v>43462</v>
          </cell>
        </row>
      </sheetData>
      <sheetData sheetId="8436">
        <row r="2">
          <cell r="A2">
            <v>43462</v>
          </cell>
        </row>
      </sheetData>
      <sheetData sheetId="8437">
        <row r="2">
          <cell r="A2">
            <v>43462</v>
          </cell>
        </row>
      </sheetData>
      <sheetData sheetId="8438">
        <row r="2">
          <cell r="A2">
            <v>43462</v>
          </cell>
        </row>
      </sheetData>
      <sheetData sheetId="8439">
        <row r="2">
          <cell r="A2">
            <v>43462</v>
          </cell>
        </row>
      </sheetData>
      <sheetData sheetId="8440">
        <row r="2">
          <cell r="A2">
            <v>43462</v>
          </cell>
        </row>
      </sheetData>
      <sheetData sheetId="8441">
        <row r="2">
          <cell r="A2">
            <v>43462</v>
          </cell>
        </row>
      </sheetData>
      <sheetData sheetId="8442">
        <row r="2">
          <cell r="A2">
            <v>43462</v>
          </cell>
        </row>
      </sheetData>
      <sheetData sheetId="8443">
        <row r="2">
          <cell r="A2">
            <v>43462</v>
          </cell>
        </row>
      </sheetData>
      <sheetData sheetId="8444">
        <row r="2">
          <cell r="A2" t="str">
            <v>Complete</v>
          </cell>
        </row>
      </sheetData>
      <sheetData sheetId="8445">
        <row r="2">
          <cell r="A2" t="str">
            <v>Complete</v>
          </cell>
        </row>
      </sheetData>
      <sheetData sheetId="8446">
        <row r="2">
          <cell r="A2" t="str">
            <v>Complete</v>
          </cell>
        </row>
      </sheetData>
      <sheetData sheetId="8447">
        <row r="2">
          <cell r="A2" t="str">
            <v>Complete</v>
          </cell>
        </row>
      </sheetData>
      <sheetData sheetId="8448">
        <row r="2">
          <cell r="A2" t="str">
            <v>Complete</v>
          </cell>
        </row>
      </sheetData>
      <sheetData sheetId="8449">
        <row r="2">
          <cell r="A2" t="str">
            <v>Complete</v>
          </cell>
        </row>
      </sheetData>
      <sheetData sheetId="8450">
        <row r="2">
          <cell r="A2" t="str">
            <v>Complete</v>
          </cell>
        </row>
      </sheetData>
      <sheetData sheetId="8451">
        <row r="2">
          <cell r="A2" t="str">
            <v>Complete</v>
          </cell>
        </row>
      </sheetData>
      <sheetData sheetId="8452">
        <row r="2">
          <cell r="A2" t="str">
            <v>Complete</v>
          </cell>
        </row>
      </sheetData>
      <sheetData sheetId="8453">
        <row r="2">
          <cell r="A2" t="str">
            <v>Complete</v>
          </cell>
        </row>
      </sheetData>
      <sheetData sheetId="8454">
        <row r="2">
          <cell r="A2" t="str">
            <v>Complete</v>
          </cell>
        </row>
      </sheetData>
      <sheetData sheetId="8455">
        <row r="2">
          <cell r="A2" t="str">
            <v>Complete</v>
          </cell>
        </row>
      </sheetData>
      <sheetData sheetId="8456">
        <row r="2">
          <cell r="A2" t="str">
            <v>Complete</v>
          </cell>
        </row>
      </sheetData>
      <sheetData sheetId="8457">
        <row r="2">
          <cell r="A2" t="str">
            <v>Complete</v>
          </cell>
        </row>
      </sheetData>
      <sheetData sheetId="8458">
        <row r="2">
          <cell r="A2" t="str">
            <v>Complete</v>
          </cell>
        </row>
      </sheetData>
      <sheetData sheetId="8459">
        <row r="2">
          <cell r="A2" t="str">
            <v>Complete</v>
          </cell>
        </row>
      </sheetData>
      <sheetData sheetId="8460">
        <row r="2">
          <cell r="A2" t="str">
            <v>Complete</v>
          </cell>
        </row>
      </sheetData>
      <sheetData sheetId="8461">
        <row r="2">
          <cell r="A2" t="str">
            <v>Complete</v>
          </cell>
        </row>
      </sheetData>
      <sheetData sheetId="8462">
        <row r="2">
          <cell r="A2" t="str">
            <v>Complete</v>
          </cell>
        </row>
      </sheetData>
      <sheetData sheetId="8463">
        <row r="2">
          <cell r="A2" t="str">
            <v>Complete</v>
          </cell>
        </row>
      </sheetData>
      <sheetData sheetId="8464">
        <row r="2">
          <cell r="A2" t="str">
            <v>Complete</v>
          </cell>
        </row>
      </sheetData>
      <sheetData sheetId="8465">
        <row r="2">
          <cell r="A2">
            <v>43462</v>
          </cell>
        </row>
      </sheetData>
      <sheetData sheetId="8466">
        <row r="2">
          <cell r="A2">
            <v>43462</v>
          </cell>
        </row>
      </sheetData>
      <sheetData sheetId="8467">
        <row r="2">
          <cell r="A2">
            <v>43462</v>
          </cell>
        </row>
      </sheetData>
      <sheetData sheetId="8468">
        <row r="2">
          <cell r="A2">
            <v>43462</v>
          </cell>
        </row>
      </sheetData>
      <sheetData sheetId="8469">
        <row r="2">
          <cell r="A2">
            <v>43462</v>
          </cell>
        </row>
      </sheetData>
      <sheetData sheetId="8470">
        <row r="2">
          <cell r="A2">
            <v>43462</v>
          </cell>
        </row>
      </sheetData>
      <sheetData sheetId="8471">
        <row r="2">
          <cell r="A2">
            <v>43462</v>
          </cell>
        </row>
      </sheetData>
      <sheetData sheetId="8472">
        <row r="2">
          <cell r="A2">
            <v>43462</v>
          </cell>
        </row>
      </sheetData>
      <sheetData sheetId="8473">
        <row r="2">
          <cell r="A2">
            <v>43462</v>
          </cell>
        </row>
      </sheetData>
      <sheetData sheetId="8474">
        <row r="2">
          <cell r="A2">
            <v>43462</v>
          </cell>
        </row>
      </sheetData>
      <sheetData sheetId="8475">
        <row r="2">
          <cell r="A2">
            <v>43462</v>
          </cell>
        </row>
      </sheetData>
      <sheetData sheetId="8476">
        <row r="2">
          <cell r="A2">
            <v>43462</v>
          </cell>
        </row>
      </sheetData>
      <sheetData sheetId="8477">
        <row r="2">
          <cell r="A2">
            <v>43462</v>
          </cell>
        </row>
      </sheetData>
      <sheetData sheetId="8478">
        <row r="2">
          <cell r="A2">
            <v>43462</v>
          </cell>
        </row>
      </sheetData>
      <sheetData sheetId="8479">
        <row r="2">
          <cell r="A2">
            <v>43462</v>
          </cell>
        </row>
      </sheetData>
      <sheetData sheetId="8480">
        <row r="2">
          <cell r="A2">
            <v>43462</v>
          </cell>
        </row>
      </sheetData>
      <sheetData sheetId="8481">
        <row r="2">
          <cell r="A2">
            <v>43462</v>
          </cell>
        </row>
      </sheetData>
      <sheetData sheetId="8482">
        <row r="2">
          <cell r="A2">
            <v>43462</v>
          </cell>
        </row>
      </sheetData>
      <sheetData sheetId="8483">
        <row r="2">
          <cell r="A2">
            <v>43462</v>
          </cell>
        </row>
      </sheetData>
      <sheetData sheetId="8484">
        <row r="2">
          <cell r="A2">
            <v>43462</v>
          </cell>
        </row>
      </sheetData>
      <sheetData sheetId="8485">
        <row r="2">
          <cell r="A2" t="str">
            <v>Complete</v>
          </cell>
        </row>
      </sheetData>
      <sheetData sheetId="8486">
        <row r="2">
          <cell r="A2" t="str">
            <v>Complete</v>
          </cell>
        </row>
      </sheetData>
      <sheetData sheetId="8487">
        <row r="2">
          <cell r="A2" t="str">
            <v>Complete</v>
          </cell>
        </row>
      </sheetData>
      <sheetData sheetId="8488">
        <row r="2">
          <cell r="A2" t="str">
            <v>Complete</v>
          </cell>
        </row>
      </sheetData>
      <sheetData sheetId="8489">
        <row r="2">
          <cell r="A2" t="str">
            <v>Complete</v>
          </cell>
        </row>
      </sheetData>
      <sheetData sheetId="8490">
        <row r="2">
          <cell r="A2" t="str">
            <v>Complete</v>
          </cell>
        </row>
      </sheetData>
      <sheetData sheetId="8491">
        <row r="2">
          <cell r="A2" t="str">
            <v>Complete</v>
          </cell>
        </row>
      </sheetData>
      <sheetData sheetId="8492">
        <row r="2">
          <cell r="A2" t="str">
            <v>Complete</v>
          </cell>
        </row>
      </sheetData>
      <sheetData sheetId="8493">
        <row r="2">
          <cell r="A2" t="str">
            <v>Complete</v>
          </cell>
        </row>
      </sheetData>
      <sheetData sheetId="8494">
        <row r="2">
          <cell r="A2" t="str">
            <v>Complete</v>
          </cell>
        </row>
      </sheetData>
      <sheetData sheetId="8495">
        <row r="2">
          <cell r="A2" t="str">
            <v>Complete</v>
          </cell>
        </row>
      </sheetData>
      <sheetData sheetId="8496">
        <row r="2">
          <cell r="A2" t="str">
            <v>Complete</v>
          </cell>
        </row>
      </sheetData>
      <sheetData sheetId="8497">
        <row r="2">
          <cell r="A2" t="str">
            <v>Complete</v>
          </cell>
        </row>
      </sheetData>
      <sheetData sheetId="8498">
        <row r="2">
          <cell r="A2" t="str">
            <v>Complete</v>
          </cell>
        </row>
      </sheetData>
      <sheetData sheetId="8499">
        <row r="2">
          <cell r="A2" t="str">
            <v>Complete</v>
          </cell>
        </row>
      </sheetData>
      <sheetData sheetId="8500">
        <row r="2">
          <cell r="A2" t="str">
            <v>Complete</v>
          </cell>
        </row>
      </sheetData>
      <sheetData sheetId="8501">
        <row r="2">
          <cell r="A2" t="str">
            <v>Complete</v>
          </cell>
        </row>
      </sheetData>
      <sheetData sheetId="8502">
        <row r="2">
          <cell r="A2" t="str">
            <v>Complete</v>
          </cell>
        </row>
      </sheetData>
      <sheetData sheetId="8503">
        <row r="2">
          <cell r="A2" t="str">
            <v>Complete</v>
          </cell>
        </row>
      </sheetData>
      <sheetData sheetId="8504">
        <row r="2">
          <cell r="A2" t="str">
            <v>Complete</v>
          </cell>
        </row>
      </sheetData>
      <sheetData sheetId="8505">
        <row r="2">
          <cell r="A2" t="str">
            <v>Complete</v>
          </cell>
        </row>
      </sheetData>
      <sheetData sheetId="8506">
        <row r="2">
          <cell r="A2" t="str">
            <v>Complete</v>
          </cell>
        </row>
      </sheetData>
      <sheetData sheetId="8507">
        <row r="2">
          <cell r="A2" t="str">
            <v>Complete</v>
          </cell>
        </row>
      </sheetData>
      <sheetData sheetId="8508">
        <row r="2">
          <cell r="A2" t="str">
            <v>Complete</v>
          </cell>
        </row>
      </sheetData>
      <sheetData sheetId="8509">
        <row r="2">
          <cell r="A2" t="str">
            <v>Complete</v>
          </cell>
        </row>
      </sheetData>
      <sheetData sheetId="8510">
        <row r="2">
          <cell r="A2" t="str">
            <v>Complete</v>
          </cell>
        </row>
      </sheetData>
      <sheetData sheetId="8511">
        <row r="2">
          <cell r="A2" t="str">
            <v>Complete</v>
          </cell>
        </row>
      </sheetData>
      <sheetData sheetId="8512">
        <row r="2">
          <cell r="A2" t="str">
            <v>Complete</v>
          </cell>
        </row>
      </sheetData>
      <sheetData sheetId="8513">
        <row r="2">
          <cell r="A2" t="str">
            <v>Complete</v>
          </cell>
        </row>
      </sheetData>
      <sheetData sheetId="8514">
        <row r="2">
          <cell r="A2" t="str">
            <v>Complete</v>
          </cell>
        </row>
      </sheetData>
      <sheetData sheetId="8515">
        <row r="2">
          <cell r="A2" t="str">
            <v>Complete</v>
          </cell>
        </row>
      </sheetData>
      <sheetData sheetId="8516">
        <row r="2">
          <cell r="A2" t="str">
            <v>Complete</v>
          </cell>
        </row>
      </sheetData>
      <sheetData sheetId="8517">
        <row r="2">
          <cell r="A2" t="str">
            <v>Complete</v>
          </cell>
        </row>
      </sheetData>
      <sheetData sheetId="8518">
        <row r="2">
          <cell r="A2" t="str">
            <v>Complete</v>
          </cell>
        </row>
      </sheetData>
      <sheetData sheetId="8519">
        <row r="2">
          <cell r="A2" t="str">
            <v>Complete</v>
          </cell>
        </row>
      </sheetData>
      <sheetData sheetId="8520">
        <row r="2">
          <cell r="A2" t="str">
            <v>Complete</v>
          </cell>
        </row>
      </sheetData>
      <sheetData sheetId="8521">
        <row r="2">
          <cell r="A2" t="str">
            <v>Complete</v>
          </cell>
        </row>
      </sheetData>
      <sheetData sheetId="8522">
        <row r="2">
          <cell r="A2" t="str">
            <v>Complete</v>
          </cell>
        </row>
      </sheetData>
      <sheetData sheetId="8523">
        <row r="2">
          <cell r="A2" t="str">
            <v>Complete</v>
          </cell>
        </row>
      </sheetData>
      <sheetData sheetId="8524">
        <row r="2">
          <cell r="A2">
            <v>43462</v>
          </cell>
        </row>
      </sheetData>
      <sheetData sheetId="8525">
        <row r="2">
          <cell r="A2">
            <v>43462</v>
          </cell>
        </row>
      </sheetData>
      <sheetData sheetId="8526">
        <row r="2">
          <cell r="A2">
            <v>43462</v>
          </cell>
        </row>
      </sheetData>
      <sheetData sheetId="8527">
        <row r="2">
          <cell r="A2">
            <v>43462</v>
          </cell>
        </row>
      </sheetData>
      <sheetData sheetId="8528">
        <row r="2">
          <cell r="A2">
            <v>43462</v>
          </cell>
        </row>
      </sheetData>
      <sheetData sheetId="8529">
        <row r="2">
          <cell r="A2">
            <v>43462</v>
          </cell>
        </row>
      </sheetData>
      <sheetData sheetId="8530">
        <row r="2">
          <cell r="A2">
            <v>43462</v>
          </cell>
        </row>
      </sheetData>
      <sheetData sheetId="8531">
        <row r="2">
          <cell r="A2">
            <v>43462</v>
          </cell>
        </row>
      </sheetData>
      <sheetData sheetId="8532">
        <row r="2">
          <cell r="A2">
            <v>43462</v>
          </cell>
        </row>
      </sheetData>
      <sheetData sheetId="8533">
        <row r="2">
          <cell r="A2">
            <v>43462</v>
          </cell>
        </row>
      </sheetData>
      <sheetData sheetId="8534">
        <row r="2">
          <cell r="A2">
            <v>43462</v>
          </cell>
        </row>
      </sheetData>
      <sheetData sheetId="8535">
        <row r="2">
          <cell r="A2">
            <v>43462</v>
          </cell>
        </row>
      </sheetData>
      <sheetData sheetId="8536">
        <row r="2">
          <cell r="A2">
            <v>43462</v>
          </cell>
        </row>
      </sheetData>
      <sheetData sheetId="8537">
        <row r="2">
          <cell r="A2">
            <v>43462</v>
          </cell>
        </row>
      </sheetData>
      <sheetData sheetId="8538">
        <row r="2">
          <cell r="A2">
            <v>43462</v>
          </cell>
        </row>
      </sheetData>
      <sheetData sheetId="8539">
        <row r="2">
          <cell r="A2">
            <v>43462</v>
          </cell>
        </row>
      </sheetData>
      <sheetData sheetId="8540">
        <row r="2">
          <cell r="A2">
            <v>43462</v>
          </cell>
        </row>
      </sheetData>
      <sheetData sheetId="8541">
        <row r="2">
          <cell r="A2">
            <v>43462</v>
          </cell>
        </row>
      </sheetData>
      <sheetData sheetId="8542">
        <row r="2">
          <cell r="A2">
            <v>43462</v>
          </cell>
        </row>
      </sheetData>
      <sheetData sheetId="8543">
        <row r="2">
          <cell r="A2">
            <v>43462</v>
          </cell>
        </row>
      </sheetData>
      <sheetData sheetId="8544">
        <row r="2">
          <cell r="A2">
            <v>43462</v>
          </cell>
        </row>
      </sheetData>
      <sheetData sheetId="8545">
        <row r="2">
          <cell r="A2">
            <v>43462</v>
          </cell>
        </row>
      </sheetData>
      <sheetData sheetId="8546">
        <row r="2">
          <cell r="A2">
            <v>43462</v>
          </cell>
        </row>
      </sheetData>
      <sheetData sheetId="8547">
        <row r="2">
          <cell r="A2">
            <v>43462</v>
          </cell>
        </row>
      </sheetData>
      <sheetData sheetId="8548">
        <row r="2">
          <cell r="A2">
            <v>43462</v>
          </cell>
        </row>
      </sheetData>
      <sheetData sheetId="8549">
        <row r="2">
          <cell r="A2">
            <v>43462</v>
          </cell>
        </row>
      </sheetData>
      <sheetData sheetId="8550">
        <row r="2">
          <cell r="A2">
            <v>43462</v>
          </cell>
        </row>
      </sheetData>
      <sheetData sheetId="8551">
        <row r="2">
          <cell r="A2">
            <v>43462</v>
          </cell>
        </row>
      </sheetData>
      <sheetData sheetId="8552">
        <row r="2">
          <cell r="A2">
            <v>43462</v>
          </cell>
        </row>
      </sheetData>
      <sheetData sheetId="8553">
        <row r="2">
          <cell r="A2">
            <v>43462</v>
          </cell>
        </row>
      </sheetData>
      <sheetData sheetId="8554">
        <row r="2">
          <cell r="A2">
            <v>43462</v>
          </cell>
        </row>
      </sheetData>
      <sheetData sheetId="8555">
        <row r="2">
          <cell r="A2">
            <v>43462</v>
          </cell>
        </row>
      </sheetData>
      <sheetData sheetId="8556">
        <row r="2">
          <cell r="A2">
            <v>43462</v>
          </cell>
        </row>
      </sheetData>
      <sheetData sheetId="8557">
        <row r="2">
          <cell r="A2">
            <v>43462</v>
          </cell>
        </row>
      </sheetData>
      <sheetData sheetId="8558">
        <row r="2">
          <cell r="A2">
            <v>43462</v>
          </cell>
        </row>
      </sheetData>
      <sheetData sheetId="8559">
        <row r="2">
          <cell r="A2">
            <v>43462</v>
          </cell>
        </row>
      </sheetData>
      <sheetData sheetId="8560">
        <row r="2">
          <cell r="A2">
            <v>43462</v>
          </cell>
        </row>
      </sheetData>
      <sheetData sheetId="8561">
        <row r="2">
          <cell r="A2">
            <v>43462</v>
          </cell>
        </row>
      </sheetData>
      <sheetData sheetId="8562">
        <row r="2">
          <cell r="A2">
            <v>43462</v>
          </cell>
        </row>
      </sheetData>
      <sheetData sheetId="8563">
        <row r="2">
          <cell r="A2">
            <v>43462</v>
          </cell>
        </row>
      </sheetData>
      <sheetData sheetId="8564">
        <row r="2">
          <cell r="A2">
            <v>43462</v>
          </cell>
        </row>
      </sheetData>
      <sheetData sheetId="8565">
        <row r="2">
          <cell r="A2">
            <v>43462</v>
          </cell>
        </row>
      </sheetData>
      <sheetData sheetId="8566">
        <row r="2">
          <cell r="A2">
            <v>43462</v>
          </cell>
        </row>
      </sheetData>
      <sheetData sheetId="8567">
        <row r="2">
          <cell r="A2" t="str">
            <v>Complete</v>
          </cell>
        </row>
      </sheetData>
      <sheetData sheetId="8568">
        <row r="2">
          <cell r="A2" t="str">
            <v>Complete</v>
          </cell>
        </row>
      </sheetData>
      <sheetData sheetId="8569">
        <row r="2">
          <cell r="A2" t="str">
            <v>Complete</v>
          </cell>
        </row>
      </sheetData>
      <sheetData sheetId="8570">
        <row r="2">
          <cell r="A2" t="str">
            <v>Complete</v>
          </cell>
        </row>
      </sheetData>
      <sheetData sheetId="8571">
        <row r="2">
          <cell r="A2" t="str">
            <v>Complete</v>
          </cell>
        </row>
      </sheetData>
      <sheetData sheetId="8572">
        <row r="2">
          <cell r="A2" t="str">
            <v>Complete</v>
          </cell>
        </row>
      </sheetData>
      <sheetData sheetId="8573">
        <row r="2">
          <cell r="A2" t="str">
            <v>Complete</v>
          </cell>
        </row>
      </sheetData>
      <sheetData sheetId="8574">
        <row r="2">
          <cell r="A2" t="str">
            <v>Complete</v>
          </cell>
        </row>
      </sheetData>
      <sheetData sheetId="8575">
        <row r="2">
          <cell r="A2" t="str">
            <v>Complete</v>
          </cell>
        </row>
      </sheetData>
      <sheetData sheetId="8576">
        <row r="2">
          <cell r="A2" t="str">
            <v>Complete</v>
          </cell>
        </row>
      </sheetData>
      <sheetData sheetId="8577">
        <row r="2">
          <cell r="A2" t="str">
            <v>Complete</v>
          </cell>
        </row>
      </sheetData>
      <sheetData sheetId="8578">
        <row r="2">
          <cell r="A2" t="str">
            <v>Complete</v>
          </cell>
        </row>
      </sheetData>
      <sheetData sheetId="8579">
        <row r="2">
          <cell r="A2" t="str">
            <v>Complete</v>
          </cell>
        </row>
      </sheetData>
      <sheetData sheetId="8580">
        <row r="2">
          <cell r="A2" t="str">
            <v>Complete</v>
          </cell>
        </row>
      </sheetData>
      <sheetData sheetId="8581">
        <row r="2">
          <cell r="A2" t="str">
            <v>Complete</v>
          </cell>
        </row>
      </sheetData>
      <sheetData sheetId="8582">
        <row r="2">
          <cell r="A2" t="str">
            <v>Complete</v>
          </cell>
        </row>
      </sheetData>
      <sheetData sheetId="8583">
        <row r="2">
          <cell r="A2" t="str">
            <v>Complete</v>
          </cell>
        </row>
      </sheetData>
      <sheetData sheetId="8584">
        <row r="2">
          <cell r="A2" t="str">
            <v>Complete</v>
          </cell>
        </row>
      </sheetData>
      <sheetData sheetId="8585">
        <row r="2">
          <cell r="A2" t="str">
            <v>Complete</v>
          </cell>
        </row>
      </sheetData>
      <sheetData sheetId="8586">
        <row r="2">
          <cell r="A2" t="str">
            <v>Complete</v>
          </cell>
        </row>
      </sheetData>
      <sheetData sheetId="8587">
        <row r="2">
          <cell r="A2" t="str">
            <v>Complete</v>
          </cell>
        </row>
      </sheetData>
      <sheetData sheetId="8588">
        <row r="2">
          <cell r="A2" t="str">
            <v>Complete</v>
          </cell>
        </row>
      </sheetData>
      <sheetData sheetId="8589">
        <row r="2">
          <cell r="A2" t="str">
            <v>Complete</v>
          </cell>
        </row>
      </sheetData>
      <sheetData sheetId="8590">
        <row r="2">
          <cell r="A2" t="str">
            <v>Complete</v>
          </cell>
        </row>
      </sheetData>
      <sheetData sheetId="8591">
        <row r="2">
          <cell r="A2" t="str">
            <v>Complete</v>
          </cell>
        </row>
      </sheetData>
      <sheetData sheetId="8592">
        <row r="2">
          <cell r="A2" t="str">
            <v>Complete</v>
          </cell>
        </row>
      </sheetData>
      <sheetData sheetId="8593">
        <row r="2">
          <cell r="A2" t="str">
            <v>Complete</v>
          </cell>
        </row>
      </sheetData>
      <sheetData sheetId="8594">
        <row r="2">
          <cell r="A2" t="str">
            <v>Complete</v>
          </cell>
        </row>
      </sheetData>
      <sheetData sheetId="8595">
        <row r="2">
          <cell r="A2" t="str">
            <v>Complete</v>
          </cell>
        </row>
      </sheetData>
      <sheetData sheetId="8596">
        <row r="2">
          <cell r="A2" t="str">
            <v>Complete</v>
          </cell>
        </row>
      </sheetData>
      <sheetData sheetId="8597">
        <row r="2">
          <cell r="A2" t="str">
            <v>Complete</v>
          </cell>
        </row>
      </sheetData>
      <sheetData sheetId="8598">
        <row r="2">
          <cell r="A2" t="str">
            <v>Complete</v>
          </cell>
        </row>
      </sheetData>
      <sheetData sheetId="8599">
        <row r="2">
          <cell r="A2" t="str">
            <v>Complete</v>
          </cell>
        </row>
      </sheetData>
      <sheetData sheetId="8600">
        <row r="2">
          <cell r="A2" t="str">
            <v>Complete</v>
          </cell>
        </row>
      </sheetData>
      <sheetData sheetId="8601">
        <row r="2">
          <cell r="A2" t="str">
            <v>Complete</v>
          </cell>
        </row>
      </sheetData>
      <sheetData sheetId="8602">
        <row r="2">
          <cell r="A2" t="str">
            <v>Complete</v>
          </cell>
        </row>
      </sheetData>
      <sheetData sheetId="8603">
        <row r="2">
          <cell r="A2" t="str">
            <v>Complete</v>
          </cell>
        </row>
      </sheetData>
      <sheetData sheetId="8604">
        <row r="2">
          <cell r="A2" t="str">
            <v>Complete</v>
          </cell>
        </row>
      </sheetData>
      <sheetData sheetId="8605">
        <row r="2">
          <cell r="A2">
            <v>43462</v>
          </cell>
        </row>
      </sheetData>
      <sheetData sheetId="8606">
        <row r="2">
          <cell r="A2">
            <v>43462</v>
          </cell>
        </row>
      </sheetData>
      <sheetData sheetId="8607">
        <row r="2">
          <cell r="A2">
            <v>43462</v>
          </cell>
        </row>
      </sheetData>
      <sheetData sheetId="8608">
        <row r="2">
          <cell r="A2">
            <v>43462</v>
          </cell>
        </row>
      </sheetData>
      <sheetData sheetId="8609">
        <row r="2">
          <cell r="A2">
            <v>43462</v>
          </cell>
        </row>
      </sheetData>
      <sheetData sheetId="8610">
        <row r="2">
          <cell r="A2">
            <v>43462</v>
          </cell>
        </row>
      </sheetData>
      <sheetData sheetId="8611">
        <row r="2">
          <cell r="A2">
            <v>43462</v>
          </cell>
        </row>
      </sheetData>
      <sheetData sheetId="8612">
        <row r="2">
          <cell r="A2">
            <v>43462</v>
          </cell>
        </row>
      </sheetData>
      <sheetData sheetId="8613">
        <row r="2">
          <cell r="A2">
            <v>43462</v>
          </cell>
        </row>
      </sheetData>
      <sheetData sheetId="8614">
        <row r="2">
          <cell r="A2">
            <v>43462</v>
          </cell>
        </row>
      </sheetData>
      <sheetData sheetId="8615">
        <row r="2">
          <cell r="A2">
            <v>43462</v>
          </cell>
        </row>
      </sheetData>
      <sheetData sheetId="8616">
        <row r="2">
          <cell r="A2">
            <v>43462</v>
          </cell>
        </row>
      </sheetData>
      <sheetData sheetId="8617">
        <row r="2">
          <cell r="A2">
            <v>43462</v>
          </cell>
        </row>
      </sheetData>
      <sheetData sheetId="8618">
        <row r="2">
          <cell r="A2">
            <v>43462</v>
          </cell>
        </row>
      </sheetData>
      <sheetData sheetId="8619">
        <row r="2">
          <cell r="A2">
            <v>43462</v>
          </cell>
        </row>
      </sheetData>
      <sheetData sheetId="8620">
        <row r="2">
          <cell r="A2">
            <v>43462</v>
          </cell>
        </row>
      </sheetData>
      <sheetData sheetId="8621">
        <row r="2">
          <cell r="A2">
            <v>43462</v>
          </cell>
        </row>
      </sheetData>
      <sheetData sheetId="8622">
        <row r="2">
          <cell r="A2">
            <v>43462</v>
          </cell>
        </row>
      </sheetData>
      <sheetData sheetId="8623">
        <row r="2">
          <cell r="A2">
            <v>43462</v>
          </cell>
        </row>
      </sheetData>
      <sheetData sheetId="8624">
        <row r="2">
          <cell r="A2">
            <v>43462</v>
          </cell>
        </row>
      </sheetData>
      <sheetData sheetId="8625">
        <row r="2">
          <cell r="A2">
            <v>43462</v>
          </cell>
        </row>
      </sheetData>
      <sheetData sheetId="8626">
        <row r="2">
          <cell r="A2">
            <v>43462</v>
          </cell>
        </row>
      </sheetData>
      <sheetData sheetId="8627">
        <row r="2">
          <cell r="A2">
            <v>43462</v>
          </cell>
        </row>
      </sheetData>
      <sheetData sheetId="8628">
        <row r="2">
          <cell r="A2">
            <v>43462</v>
          </cell>
        </row>
      </sheetData>
      <sheetData sheetId="8629">
        <row r="2">
          <cell r="A2">
            <v>43462</v>
          </cell>
        </row>
      </sheetData>
      <sheetData sheetId="8630">
        <row r="2">
          <cell r="A2">
            <v>43462</v>
          </cell>
        </row>
      </sheetData>
      <sheetData sheetId="8631">
        <row r="2">
          <cell r="A2">
            <v>43462</v>
          </cell>
        </row>
      </sheetData>
      <sheetData sheetId="8632">
        <row r="2">
          <cell r="A2">
            <v>43462</v>
          </cell>
        </row>
      </sheetData>
      <sheetData sheetId="8633">
        <row r="2">
          <cell r="A2">
            <v>43462</v>
          </cell>
        </row>
      </sheetData>
      <sheetData sheetId="8634">
        <row r="2">
          <cell r="A2">
            <v>43462</v>
          </cell>
        </row>
      </sheetData>
      <sheetData sheetId="8635">
        <row r="2">
          <cell r="A2">
            <v>43462</v>
          </cell>
        </row>
      </sheetData>
      <sheetData sheetId="8636">
        <row r="2">
          <cell r="A2">
            <v>43462</v>
          </cell>
        </row>
      </sheetData>
      <sheetData sheetId="8637">
        <row r="2">
          <cell r="A2">
            <v>43462</v>
          </cell>
        </row>
      </sheetData>
      <sheetData sheetId="8638">
        <row r="2">
          <cell r="A2">
            <v>43462</v>
          </cell>
        </row>
      </sheetData>
      <sheetData sheetId="8639">
        <row r="2">
          <cell r="A2">
            <v>43462</v>
          </cell>
        </row>
      </sheetData>
      <sheetData sheetId="8640">
        <row r="2">
          <cell r="A2">
            <v>43462</v>
          </cell>
        </row>
      </sheetData>
      <sheetData sheetId="8641">
        <row r="2">
          <cell r="A2">
            <v>43462</v>
          </cell>
        </row>
      </sheetData>
      <sheetData sheetId="8642">
        <row r="2">
          <cell r="A2">
            <v>43462</v>
          </cell>
        </row>
      </sheetData>
      <sheetData sheetId="8643">
        <row r="2">
          <cell r="A2">
            <v>43462</v>
          </cell>
        </row>
      </sheetData>
      <sheetData sheetId="8644">
        <row r="2">
          <cell r="A2">
            <v>43462</v>
          </cell>
        </row>
      </sheetData>
      <sheetData sheetId="8645">
        <row r="2">
          <cell r="A2">
            <v>43462</v>
          </cell>
        </row>
      </sheetData>
      <sheetData sheetId="8646">
        <row r="2">
          <cell r="A2">
            <v>43462</v>
          </cell>
        </row>
      </sheetData>
      <sheetData sheetId="8647">
        <row r="2">
          <cell r="A2">
            <v>43462</v>
          </cell>
        </row>
      </sheetData>
      <sheetData sheetId="8648">
        <row r="2">
          <cell r="A2">
            <v>43462</v>
          </cell>
        </row>
      </sheetData>
      <sheetData sheetId="8649">
        <row r="2">
          <cell r="A2" t="str">
            <v>Complete</v>
          </cell>
        </row>
      </sheetData>
      <sheetData sheetId="8650">
        <row r="2">
          <cell r="A2" t="str">
            <v>Complete</v>
          </cell>
        </row>
      </sheetData>
      <sheetData sheetId="8651">
        <row r="2">
          <cell r="A2" t="str">
            <v>Complete</v>
          </cell>
        </row>
      </sheetData>
      <sheetData sheetId="8652">
        <row r="2">
          <cell r="A2" t="str">
            <v>Complete</v>
          </cell>
        </row>
      </sheetData>
      <sheetData sheetId="8653">
        <row r="2">
          <cell r="A2" t="str">
            <v>Complete</v>
          </cell>
        </row>
      </sheetData>
      <sheetData sheetId="8654">
        <row r="2">
          <cell r="A2" t="str">
            <v>Complete</v>
          </cell>
        </row>
      </sheetData>
      <sheetData sheetId="8655">
        <row r="2">
          <cell r="A2" t="str">
            <v>Complete</v>
          </cell>
        </row>
      </sheetData>
      <sheetData sheetId="8656">
        <row r="2">
          <cell r="A2" t="str">
            <v>Complete</v>
          </cell>
        </row>
      </sheetData>
      <sheetData sheetId="8657">
        <row r="2">
          <cell r="A2" t="str">
            <v>Complete</v>
          </cell>
        </row>
      </sheetData>
      <sheetData sheetId="8658">
        <row r="2">
          <cell r="A2" t="str">
            <v>Complete</v>
          </cell>
        </row>
      </sheetData>
      <sheetData sheetId="8659">
        <row r="2">
          <cell r="A2" t="str">
            <v>Complete</v>
          </cell>
        </row>
      </sheetData>
      <sheetData sheetId="8660">
        <row r="2">
          <cell r="A2" t="str">
            <v>Complete</v>
          </cell>
        </row>
      </sheetData>
      <sheetData sheetId="8661">
        <row r="2">
          <cell r="A2" t="str">
            <v>Complete</v>
          </cell>
        </row>
      </sheetData>
      <sheetData sheetId="8662">
        <row r="2">
          <cell r="A2" t="str">
            <v>Complete</v>
          </cell>
        </row>
      </sheetData>
      <sheetData sheetId="8663">
        <row r="2">
          <cell r="A2" t="str">
            <v>Complete</v>
          </cell>
        </row>
      </sheetData>
      <sheetData sheetId="8664">
        <row r="2">
          <cell r="A2" t="str">
            <v>Complete</v>
          </cell>
        </row>
      </sheetData>
      <sheetData sheetId="8665">
        <row r="2">
          <cell r="A2" t="str">
            <v>Complete</v>
          </cell>
        </row>
      </sheetData>
      <sheetData sheetId="8666">
        <row r="2">
          <cell r="A2" t="str">
            <v>Complete</v>
          </cell>
        </row>
      </sheetData>
      <sheetData sheetId="8667">
        <row r="2">
          <cell r="A2" t="str">
            <v>Complete</v>
          </cell>
        </row>
      </sheetData>
      <sheetData sheetId="8668">
        <row r="2">
          <cell r="A2" t="str">
            <v>Complete</v>
          </cell>
        </row>
      </sheetData>
      <sheetData sheetId="8669">
        <row r="2">
          <cell r="A2">
            <v>43462</v>
          </cell>
        </row>
      </sheetData>
      <sheetData sheetId="8670">
        <row r="2">
          <cell r="A2">
            <v>43462</v>
          </cell>
        </row>
      </sheetData>
      <sheetData sheetId="8671">
        <row r="2">
          <cell r="A2">
            <v>43462</v>
          </cell>
        </row>
      </sheetData>
      <sheetData sheetId="8672">
        <row r="2">
          <cell r="A2">
            <v>43462</v>
          </cell>
        </row>
      </sheetData>
      <sheetData sheetId="8673">
        <row r="2">
          <cell r="A2">
            <v>43462</v>
          </cell>
        </row>
      </sheetData>
      <sheetData sheetId="8674">
        <row r="2">
          <cell r="A2">
            <v>43462</v>
          </cell>
        </row>
      </sheetData>
      <sheetData sheetId="8675">
        <row r="2">
          <cell r="A2">
            <v>43462</v>
          </cell>
        </row>
      </sheetData>
      <sheetData sheetId="8676">
        <row r="2">
          <cell r="A2">
            <v>43462</v>
          </cell>
        </row>
      </sheetData>
      <sheetData sheetId="8677">
        <row r="2">
          <cell r="A2">
            <v>43462</v>
          </cell>
        </row>
      </sheetData>
      <sheetData sheetId="8678">
        <row r="2">
          <cell r="A2">
            <v>43462</v>
          </cell>
        </row>
      </sheetData>
      <sheetData sheetId="8679">
        <row r="2">
          <cell r="A2">
            <v>43462</v>
          </cell>
        </row>
      </sheetData>
      <sheetData sheetId="8680">
        <row r="2">
          <cell r="A2">
            <v>43462</v>
          </cell>
        </row>
      </sheetData>
      <sheetData sheetId="8681">
        <row r="2">
          <cell r="A2">
            <v>43462</v>
          </cell>
        </row>
      </sheetData>
      <sheetData sheetId="8682">
        <row r="2">
          <cell r="A2">
            <v>43462</v>
          </cell>
        </row>
      </sheetData>
      <sheetData sheetId="8683">
        <row r="2">
          <cell r="A2">
            <v>43462</v>
          </cell>
        </row>
      </sheetData>
      <sheetData sheetId="8684">
        <row r="2">
          <cell r="A2">
            <v>43462</v>
          </cell>
        </row>
      </sheetData>
      <sheetData sheetId="8685">
        <row r="2">
          <cell r="A2">
            <v>43462</v>
          </cell>
        </row>
      </sheetData>
      <sheetData sheetId="8686">
        <row r="2">
          <cell r="A2">
            <v>43462</v>
          </cell>
        </row>
      </sheetData>
      <sheetData sheetId="8687">
        <row r="2">
          <cell r="A2">
            <v>43462</v>
          </cell>
        </row>
      </sheetData>
      <sheetData sheetId="8688">
        <row r="2">
          <cell r="A2">
            <v>43462</v>
          </cell>
        </row>
      </sheetData>
      <sheetData sheetId="8689">
        <row r="2">
          <cell r="A2">
            <v>43462</v>
          </cell>
        </row>
      </sheetData>
      <sheetData sheetId="8690">
        <row r="2">
          <cell r="A2" t="str">
            <v>Complete</v>
          </cell>
        </row>
      </sheetData>
      <sheetData sheetId="8691">
        <row r="2">
          <cell r="A2" t="str">
            <v>Complete</v>
          </cell>
        </row>
      </sheetData>
      <sheetData sheetId="8692">
        <row r="2">
          <cell r="A2" t="str">
            <v>Complete</v>
          </cell>
        </row>
      </sheetData>
      <sheetData sheetId="8693">
        <row r="2">
          <cell r="A2" t="str">
            <v>Complete</v>
          </cell>
        </row>
      </sheetData>
      <sheetData sheetId="8694">
        <row r="2">
          <cell r="A2" t="str">
            <v>Complete</v>
          </cell>
        </row>
      </sheetData>
      <sheetData sheetId="8695">
        <row r="2">
          <cell r="A2" t="str">
            <v>Complete</v>
          </cell>
        </row>
      </sheetData>
      <sheetData sheetId="8696">
        <row r="2">
          <cell r="A2" t="str">
            <v>Complete</v>
          </cell>
        </row>
      </sheetData>
      <sheetData sheetId="8697">
        <row r="2">
          <cell r="A2" t="str">
            <v>Complete</v>
          </cell>
        </row>
      </sheetData>
      <sheetData sheetId="8698">
        <row r="2">
          <cell r="A2" t="str">
            <v>Complete</v>
          </cell>
        </row>
      </sheetData>
      <sheetData sheetId="8699">
        <row r="2">
          <cell r="A2" t="str">
            <v>Complete</v>
          </cell>
        </row>
      </sheetData>
      <sheetData sheetId="8700">
        <row r="2">
          <cell r="A2" t="str">
            <v>Complete</v>
          </cell>
        </row>
      </sheetData>
      <sheetData sheetId="8701">
        <row r="2">
          <cell r="A2" t="str">
            <v>Complete</v>
          </cell>
        </row>
      </sheetData>
      <sheetData sheetId="8702">
        <row r="2">
          <cell r="A2" t="str">
            <v>Complete</v>
          </cell>
        </row>
      </sheetData>
      <sheetData sheetId="8703">
        <row r="2">
          <cell r="A2" t="str">
            <v>Complete</v>
          </cell>
        </row>
      </sheetData>
      <sheetData sheetId="8704">
        <row r="2">
          <cell r="A2" t="str">
            <v>Complete</v>
          </cell>
        </row>
      </sheetData>
      <sheetData sheetId="8705">
        <row r="2">
          <cell r="A2" t="str">
            <v>Complete</v>
          </cell>
        </row>
      </sheetData>
      <sheetData sheetId="8706">
        <row r="2">
          <cell r="A2" t="str">
            <v>Complete</v>
          </cell>
        </row>
      </sheetData>
      <sheetData sheetId="8707">
        <row r="2">
          <cell r="A2" t="str">
            <v>Complete</v>
          </cell>
        </row>
      </sheetData>
      <sheetData sheetId="8708">
        <row r="2">
          <cell r="A2" t="str">
            <v>Complete</v>
          </cell>
        </row>
      </sheetData>
      <sheetData sheetId="8709">
        <row r="2">
          <cell r="A2" t="str">
            <v>Complete</v>
          </cell>
        </row>
      </sheetData>
      <sheetData sheetId="8710">
        <row r="2">
          <cell r="A2">
            <v>43462</v>
          </cell>
        </row>
      </sheetData>
      <sheetData sheetId="8711">
        <row r="2">
          <cell r="A2">
            <v>43462</v>
          </cell>
        </row>
      </sheetData>
      <sheetData sheetId="8712">
        <row r="2">
          <cell r="A2">
            <v>43462</v>
          </cell>
        </row>
      </sheetData>
      <sheetData sheetId="8713">
        <row r="2">
          <cell r="A2">
            <v>43462</v>
          </cell>
        </row>
      </sheetData>
      <sheetData sheetId="8714">
        <row r="2">
          <cell r="A2">
            <v>43462</v>
          </cell>
        </row>
      </sheetData>
      <sheetData sheetId="8715">
        <row r="2">
          <cell r="A2">
            <v>43462</v>
          </cell>
        </row>
      </sheetData>
      <sheetData sheetId="8716">
        <row r="2">
          <cell r="A2">
            <v>43462</v>
          </cell>
        </row>
      </sheetData>
      <sheetData sheetId="8717">
        <row r="2">
          <cell r="A2">
            <v>43462</v>
          </cell>
        </row>
      </sheetData>
      <sheetData sheetId="8718">
        <row r="2">
          <cell r="A2">
            <v>43462</v>
          </cell>
        </row>
      </sheetData>
      <sheetData sheetId="8719">
        <row r="2">
          <cell r="A2">
            <v>43462</v>
          </cell>
        </row>
      </sheetData>
      <sheetData sheetId="8720">
        <row r="2">
          <cell r="A2">
            <v>43462</v>
          </cell>
        </row>
      </sheetData>
      <sheetData sheetId="8721">
        <row r="2">
          <cell r="A2">
            <v>43462</v>
          </cell>
        </row>
      </sheetData>
      <sheetData sheetId="8722">
        <row r="2">
          <cell r="A2">
            <v>43462</v>
          </cell>
        </row>
      </sheetData>
      <sheetData sheetId="8723">
        <row r="2">
          <cell r="A2">
            <v>43462</v>
          </cell>
        </row>
      </sheetData>
      <sheetData sheetId="8724">
        <row r="2">
          <cell r="A2">
            <v>43462</v>
          </cell>
        </row>
      </sheetData>
      <sheetData sheetId="8725">
        <row r="2">
          <cell r="A2">
            <v>43462</v>
          </cell>
        </row>
      </sheetData>
      <sheetData sheetId="8726">
        <row r="2">
          <cell r="A2">
            <v>43462</v>
          </cell>
        </row>
      </sheetData>
      <sheetData sheetId="8727">
        <row r="2">
          <cell r="A2">
            <v>43462</v>
          </cell>
        </row>
      </sheetData>
      <sheetData sheetId="8728">
        <row r="2">
          <cell r="A2">
            <v>43462</v>
          </cell>
        </row>
      </sheetData>
      <sheetData sheetId="8729">
        <row r="2">
          <cell r="A2">
            <v>43462</v>
          </cell>
        </row>
      </sheetData>
      <sheetData sheetId="8730">
        <row r="2">
          <cell r="A2">
            <v>43462</v>
          </cell>
        </row>
      </sheetData>
      <sheetData sheetId="8731">
        <row r="2">
          <cell r="A2">
            <v>43462</v>
          </cell>
        </row>
      </sheetData>
      <sheetData sheetId="8732">
        <row r="2">
          <cell r="A2" t="str">
            <v>Complete</v>
          </cell>
        </row>
      </sheetData>
      <sheetData sheetId="8733">
        <row r="2">
          <cell r="A2" t="str">
            <v>Complete</v>
          </cell>
        </row>
      </sheetData>
      <sheetData sheetId="8734">
        <row r="2">
          <cell r="A2" t="str">
            <v>Complete</v>
          </cell>
        </row>
      </sheetData>
      <sheetData sheetId="8735">
        <row r="2">
          <cell r="A2" t="str">
            <v>Complete</v>
          </cell>
        </row>
      </sheetData>
      <sheetData sheetId="8736">
        <row r="2">
          <cell r="A2" t="str">
            <v>Complete</v>
          </cell>
        </row>
      </sheetData>
      <sheetData sheetId="8737">
        <row r="2">
          <cell r="A2" t="str">
            <v>Complete</v>
          </cell>
        </row>
      </sheetData>
      <sheetData sheetId="8738">
        <row r="2">
          <cell r="A2" t="str">
            <v>Complete</v>
          </cell>
        </row>
      </sheetData>
      <sheetData sheetId="8739">
        <row r="2">
          <cell r="A2" t="str">
            <v>Complete</v>
          </cell>
        </row>
      </sheetData>
      <sheetData sheetId="8740">
        <row r="2">
          <cell r="A2" t="str">
            <v>Complete</v>
          </cell>
        </row>
      </sheetData>
      <sheetData sheetId="8741">
        <row r="2">
          <cell r="A2" t="str">
            <v>Complete</v>
          </cell>
        </row>
      </sheetData>
      <sheetData sheetId="8742">
        <row r="2">
          <cell r="A2" t="str">
            <v>Complete</v>
          </cell>
        </row>
      </sheetData>
      <sheetData sheetId="8743">
        <row r="2">
          <cell r="A2" t="str">
            <v>Complete</v>
          </cell>
        </row>
      </sheetData>
      <sheetData sheetId="8744">
        <row r="2">
          <cell r="A2" t="str">
            <v>Complete</v>
          </cell>
        </row>
      </sheetData>
      <sheetData sheetId="8745">
        <row r="2">
          <cell r="A2" t="str">
            <v>Complete</v>
          </cell>
        </row>
      </sheetData>
      <sheetData sheetId="8746">
        <row r="2">
          <cell r="A2" t="str">
            <v>Complete</v>
          </cell>
        </row>
      </sheetData>
      <sheetData sheetId="8747">
        <row r="2">
          <cell r="A2" t="str">
            <v>Complete</v>
          </cell>
        </row>
      </sheetData>
      <sheetData sheetId="8748">
        <row r="2">
          <cell r="A2" t="str">
            <v>Complete</v>
          </cell>
        </row>
      </sheetData>
      <sheetData sheetId="8749">
        <row r="2">
          <cell r="A2" t="str">
            <v>Complete</v>
          </cell>
        </row>
      </sheetData>
      <sheetData sheetId="8750">
        <row r="2">
          <cell r="A2" t="str">
            <v>Complete</v>
          </cell>
        </row>
      </sheetData>
      <sheetData sheetId="8751">
        <row r="2">
          <cell r="A2" t="str">
            <v>Complete</v>
          </cell>
        </row>
      </sheetData>
      <sheetData sheetId="8752">
        <row r="2">
          <cell r="A2" t="str">
            <v>Complete</v>
          </cell>
        </row>
      </sheetData>
      <sheetData sheetId="8753">
        <row r="2">
          <cell r="A2">
            <v>43462</v>
          </cell>
        </row>
      </sheetData>
      <sheetData sheetId="8754">
        <row r="2">
          <cell r="A2">
            <v>43462</v>
          </cell>
        </row>
      </sheetData>
      <sheetData sheetId="8755">
        <row r="2">
          <cell r="A2">
            <v>43462</v>
          </cell>
        </row>
      </sheetData>
      <sheetData sheetId="8756">
        <row r="2">
          <cell r="A2">
            <v>43462</v>
          </cell>
        </row>
      </sheetData>
      <sheetData sheetId="8757">
        <row r="2">
          <cell r="A2">
            <v>43462</v>
          </cell>
        </row>
      </sheetData>
      <sheetData sheetId="8758">
        <row r="2">
          <cell r="A2">
            <v>43462</v>
          </cell>
        </row>
      </sheetData>
      <sheetData sheetId="8759">
        <row r="2">
          <cell r="A2">
            <v>43462</v>
          </cell>
        </row>
      </sheetData>
      <sheetData sheetId="8760">
        <row r="2">
          <cell r="A2">
            <v>43462</v>
          </cell>
        </row>
      </sheetData>
      <sheetData sheetId="8761">
        <row r="2">
          <cell r="A2">
            <v>43462</v>
          </cell>
        </row>
      </sheetData>
      <sheetData sheetId="8762">
        <row r="2">
          <cell r="A2">
            <v>43462</v>
          </cell>
        </row>
      </sheetData>
      <sheetData sheetId="8763">
        <row r="2">
          <cell r="A2">
            <v>43462</v>
          </cell>
        </row>
      </sheetData>
      <sheetData sheetId="8764">
        <row r="2">
          <cell r="A2">
            <v>43462</v>
          </cell>
        </row>
      </sheetData>
      <sheetData sheetId="8765">
        <row r="2">
          <cell r="A2">
            <v>43462</v>
          </cell>
        </row>
      </sheetData>
      <sheetData sheetId="8766">
        <row r="2">
          <cell r="A2">
            <v>43462</v>
          </cell>
        </row>
      </sheetData>
      <sheetData sheetId="8767">
        <row r="2">
          <cell r="A2">
            <v>43462</v>
          </cell>
        </row>
      </sheetData>
      <sheetData sheetId="8768">
        <row r="2">
          <cell r="A2">
            <v>43462</v>
          </cell>
        </row>
      </sheetData>
      <sheetData sheetId="8769">
        <row r="2">
          <cell r="A2">
            <v>43462</v>
          </cell>
        </row>
      </sheetData>
      <sheetData sheetId="8770">
        <row r="2">
          <cell r="A2">
            <v>43462</v>
          </cell>
        </row>
      </sheetData>
      <sheetData sheetId="8771">
        <row r="2">
          <cell r="A2">
            <v>43462</v>
          </cell>
        </row>
      </sheetData>
      <sheetData sheetId="8772">
        <row r="2">
          <cell r="A2" t="str">
            <v>Complete</v>
          </cell>
        </row>
      </sheetData>
      <sheetData sheetId="8773">
        <row r="2">
          <cell r="A2" t="str">
            <v>Complete</v>
          </cell>
        </row>
      </sheetData>
      <sheetData sheetId="8774">
        <row r="2">
          <cell r="A2" t="str">
            <v>Complete</v>
          </cell>
        </row>
      </sheetData>
      <sheetData sheetId="8775">
        <row r="2">
          <cell r="A2" t="str">
            <v>Complete</v>
          </cell>
        </row>
      </sheetData>
      <sheetData sheetId="8776">
        <row r="2">
          <cell r="A2" t="str">
            <v>Complete</v>
          </cell>
        </row>
      </sheetData>
      <sheetData sheetId="8777">
        <row r="2">
          <cell r="A2" t="str">
            <v>Complete</v>
          </cell>
        </row>
      </sheetData>
      <sheetData sheetId="8778">
        <row r="2">
          <cell r="A2" t="str">
            <v>Complete</v>
          </cell>
        </row>
      </sheetData>
      <sheetData sheetId="8779">
        <row r="2">
          <cell r="A2" t="str">
            <v>Complete</v>
          </cell>
        </row>
      </sheetData>
      <sheetData sheetId="8780">
        <row r="2">
          <cell r="A2" t="str">
            <v>Complete</v>
          </cell>
        </row>
      </sheetData>
      <sheetData sheetId="8781">
        <row r="2">
          <cell r="A2" t="str">
            <v>Complete</v>
          </cell>
        </row>
      </sheetData>
      <sheetData sheetId="8782">
        <row r="2">
          <cell r="A2" t="str">
            <v>Complete</v>
          </cell>
        </row>
      </sheetData>
      <sheetData sheetId="8783">
        <row r="2">
          <cell r="A2" t="str">
            <v>Complete</v>
          </cell>
        </row>
      </sheetData>
      <sheetData sheetId="8784">
        <row r="2">
          <cell r="A2" t="str">
            <v>Complete</v>
          </cell>
        </row>
      </sheetData>
      <sheetData sheetId="8785">
        <row r="2">
          <cell r="A2" t="str">
            <v>Complete</v>
          </cell>
        </row>
      </sheetData>
      <sheetData sheetId="8786">
        <row r="2">
          <cell r="A2" t="str">
            <v>Complete</v>
          </cell>
        </row>
      </sheetData>
      <sheetData sheetId="8787">
        <row r="2">
          <cell r="A2" t="str">
            <v>Complete</v>
          </cell>
        </row>
      </sheetData>
      <sheetData sheetId="8788">
        <row r="2">
          <cell r="A2" t="str">
            <v>Complete</v>
          </cell>
        </row>
      </sheetData>
      <sheetData sheetId="8789">
        <row r="2">
          <cell r="A2" t="str">
            <v>Complete</v>
          </cell>
        </row>
      </sheetData>
      <sheetData sheetId="8790">
        <row r="2">
          <cell r="A2" t="str">
            <v>Complete</v>
          </cell>
        </row>
      </sheetData>
      <sheetData sheetId="8791">
        <row r="2">
          <cell r="A2" t="str">
            <v>Complete</v>
          </cell>
        </row>
      </sheetData>
      <sheetData sheetId="8792">
        <row r="2">
          <cell r="A2">
            <v>43462</v>
          </cell>
        </row>
      </sheetData>
      <sheetData sheetId="8793">
        <row r="2">
          <cell r="A2">
            <v>43462</v>
          </cell>
        </row>
      </sheetData>
      <sheetData sheetId="8794">
        <row r="2">
          <cell r="A2">
            <v>43462</v>
          </cell>
        </row>
      </sheetData>
      <sheetData sheetId="8795">
        <row r="2">
          <cell r="A2">
            <v>43462</v>
          </cell>
        </row>
      </sheetData>
      <sheetData sheetId="8796">
        <row r="2">
          <cell r="A2">
            <v>43462</v>
          </cell>
        </row>
      </sheetData>
      <sheetData sheetId="8797">
        <row r="2">
          <cell r="A2">
            <v>43462</v>
          </cell>
        </row>
      </sheetData>
      <sheetData sheetId="8798">
        <row r="2">
          <cell r="A2">
            <v>43462</v>
          </cell>
        </row>
      </sheetData>
      <sheetData sheetId="8799">
        <row r="2">
          <cell r="A2">
            <v>43462</v>
          </cell>
        </row>
      </sheetData>
      <sheetData sheetId="8800">
        <row r="2">
          <cell r="A2">
            <v>43462</v>
          </cell>
        </row>
      </sheetData>
      <sheetData sheetId="8801">
        <row r="2">
          <cell r="A2">
            <v>43462</v>
          </cell>
        </row>
      </sheetData>
      <sheetData sheetId="8802">
        <row r="2">
          <cell r="A2">
            <v>43462</v>
          </cell>
        </row>
      </sheetData>
      <sheetData sheetId="8803">
        <row r="2">
          <cell r="A2">
            <v>43462</v>
          </cell>
        </row>
      </sheetData>
      <sheetData sheetId="8804">
        <row r="2">
          <cell r="A2">
            <v>43462</v>
          </cell>
        </row>
      </sheetData>
      <sheetData sheetId="8805">
        <row r="2">
          <cell r="A2">
            <v>43462</v>
          </cell>
        </row>
      </sheetData>
      <sheetData sheetId="8806">
        <row r="2">
          <cell r="A2">
            <v>43462</v>
          </cell>
        </row>
      </sheetData>
      <sheetData sheetId="8807">
        <row r="2">
          <cell r="A2">
            <v>43462</v>
          </cell>
        </row>
      </sheetData>
      <sheetData sheetId="8808">
        <row r="2">
          <cell r="A2">
            <v>43462</v>
          </cell>
        </row>
      </sheetData>
      <sheetData sheetId="8809">
        <row r="2">
          <cell r="A2">
            <v>43462</v>
          </cell>
        </row>
      </sheetData>
      <sheetData sheetId="8810">
        <row r="2">
          <cell r="A2">
            <v>43462</v>
          </cell>
        </row>
      </sheetData>
      <sheetData sheetId="8811">
        <row r="2">
          <cell r="A2">
            <v>43462</v>
          </cell>
        </row>
      </sheetData>
      <sheetData sheetId="8812">
        <row r="2">
          <cell r="A2">
            <v>43462</v>
          </cell>
        </row>
      </sheetData>
      <sheetData sheetId="8813">
        <row r="2">
          <cell r="A2" t="str">
            <v>Complete</v>
          </cell>
        </row>
      </sheetData>
      <sheetData sheetId="8814">
        <row r="2">
          <cell r="A2" t="str">
            <v>Complete</v>
          </cell>
        </row>
      </sheetData>
      <sheetData sheetId="8815">
        <row r="2">
          <cell r="A2" t="str">
            <v>Complete</v>
          </cell>
        </row>
      </sheetData>
      <sheetData sheetId="8816">
        <row r="2">
          <cell r="A2" t="str">
            <v>Complete</v>
          </cell>
        </row>
      </sheetData>
      <sheetData sheetId="8817">
        <row r="2">
          <cell r="A2" t="str">
            <v>Complete</v>
          </cell>
        </row>
      </sheetData>
      <sheetData sheetId="8818">
        <row r="2">
          <cell r="A2" t="str">
            <v>Complete</v>
          </cell>
        </row>
      </sheetData>
      <sheetData sheetId="8819">
        <row r="2">
          <cell r="A2" t="str">
            <v>Complete</v>
          </cell>
        </row>
      </sheetData>
      <sheetData sheetId="8820">
        <row r="2">
          <cell r="A2" t="str">
            <v>Complete</v>
          </cell>
        </row>
      </sheetData>
      <sheetData sheetId="8821">
        <row r="2">
          <cell r="A2" t="str">
            <v>Complete</v>
          </cell>
        </row>
      </sheetData>
      <sheetData sheetId="8822">
        <row r="2">
          <cell r="A2" t="str">
            <v>Complete</v>
          </cell>
        </row>
      </sheetData>
      <sheetData sheetId="8823">
        <row r="2">
          <cell r="A2" t="str">
            <v>Complete</v>
          </cell>
        </row>
      </sheetData>
      <sheetData sheetId="8824">
        <row r="2">
          <cell r="A2" t="str">
            <v>Complete</v>
          </cell>
        </row>
      </sheetData>
      <sheetData sheetId="8825">
        <row r="2">
          <cell r="A2" t="str">
            <v>Complete</v>
          </cell>
        </row>
      </sheetData>
      <sheetData sheetId="8826">
        <row r="2">
          <cell r="A2" t="str">
            <v>Complete</v>
          </cell>
        </row>
      </sheetData>
      <sheetData sheetId="8827">
        <row r="2">
          <cell r="A2" t="str">
            <v>Complete</v>
          </cell>
        </row>
      </sheetData>
      <sheetData sheetId="8828">
        <row r="2">
          <cell r="A2" t="str">
            <v>Complete</v>
          </cell>
        </row>
      </sheetData>
      <sheetData sheetId="8829">
        <row r="2">
          <cell r="A2" t="str">
            <v>Complete</v>
          </cell>
        </row>
      </sheetData>
      <sheetData sheetId="8830">
        <row r="2">
          <cell r="A2" t="str">
            <v>Complete</v>
          </cell>
        </row>
      </sheetData>
      <sheetData sheetId="8831">
        <row r="2">
          <cell r="A2" t="str">
            <v>Complete</v>
          </cell>
        </row>
      </sheetData>
      <sheetData sheetId="8832">
        <row r="2">
          <cell r="A2" t="str">
            <v>Complete</v>
          </cell>
        </row>
      </sheetData>
      <sheetData sheetId="8833">
        <row r="2">
          <cell r="A2">
            <v>43462</v>
          </cell>
        </row>
      </sheetData>
      <sheetData sheetId="8834">
        <row r="2">
          <cell r="A2">
            <v>43462</v>
          </cell>
        </row>
      </sheetData>
      <sheetData sheetId="8835">
        <row r="2">
          <cell r="A2">
            <v>43462</v>
          </cell>
        </row>
      </sheetData>
      <sheetData sheetId="8836">
        <row r="2">
          <cell r="A2">
            <v>43462</v>
          </cell>
        </row>
      </sheetData>
      <sheetData sheetId="8837">
        <row r="2">
          <cell r="A2">
            <v>43462</v>
          </cell>
        </row>
      </sheetData>
      <sheetData sheetId="8838">
        <row r="2">
          <cell r="A2">
            <v>43462</v>
          </cell>
        </row>
      </sheetData>
      <sheetData sheetId="8839">
        <row r="2">
          <cell r="A2">
            <v>43462</v>
          </cell>
        </row>
      </sheetData>
      <sheetData sheetId="8840">
        <row r="2">
          <cell r="A2">
            <v>43462</v>
          </cell>
        </row>
      </sheetData>
      <sheetData sheetId="8841">
        <row r="2">
          <cell r="A2">
            <v>43462</v>
          </cell>
        </row>
      </sheetData>
      <sheetData sheetId="8842">
        <row r="2">
          <cell r="A2">
            <v>43462</v>
          </cell>
        </row>
      </sheetData>
      <sheetData sheetId="8843">
        <row r="2">
          <cell r="A2">
            <v>43462</v>
          </cell>
        </row>
      </sheetData>
      <sheetData sheetId="8844">
        <row r="2">
          <cell r="A2">
            <v>43462</v>
          </cell>
        </row>
      </sheetData>
      <sheetData sheetId="8845">
        <row r="2">
          <cell r="A2">
            <v>43462</v>
          </cell>
        </row>
      </sheetData>
      <sheetData sheetId="8846">
        <row r="2">
          <cell r="A2">
            <v>43462</v>
          </cell>
        </row>
      </sheetData>
      <sheetData sheetId="8847">
        <row r="2">
          <cell r="A2">
            <v>43462</v>
          </cell>
        </row>
      </sheetData>
      <sheetData sheetId="8848">
        <row r="2">
          <cell r="A2">
            <v>43462</v>
          </cell>
        </row>
      </sheetData>
      <sheetData sheetId="8849">
        <row r="2">
          <cell r="A2">
            <v>43462</v>
          </cell>
        </row>
      </sheetData>
      <sheetData sheetId="8850">
        <row r="2">
          <cell r="A2">
            <v>43462</v>
          </cell>
        </row>
      </sheetData>
      <sheetData sheetId="8851">
        <row r="2">
          <cell r="A2">
            <v>43462</v>
          </cell>
        </row>
      </sheetData>
      <sheetData sheetId="8852">
        <row r="2">
          <cell r="A2">
            <v>43462</v>
          </cell>
        </row>
      </sheetData>
      <sheetData sheetId="8853">
        <row r="2">
          <cell r="A2">
            <v>43462</v>
          </cell>
        </row>
      </sheetData>
      <sheetData sheetId="8854">
        <row r="2">
          <cell r="A2" t="str">
            <v>Complete</v>
          </cell>
        </row>
      </sheetData>
      <sheetData sheetId="8855">
        <row r="2">
          <cell r="A2" t="str">
            <v>Complete</v>
          </cell>
        </row>
      </sheetData>
      <sheetData sheetId="8856">
        <row r="2">
          <cell r="A2" t="str">
            <v>Complete</v>
          </cell>
        </row>
      </sheetData>
      <sheetData sheetId="8857">
        <row r="2">
          <cell r="A2" t="str">
            <v>Complete</v>
          </cell>
        </row>
      </sheetData>
      <sheetData sheetId="8858">
        <row r="2">
          <cell r="A2" t="str">
            <v>Complete</v>
          </cell>
        </row>
      </sheetData>
      <sheetData sheetId="8859">
        <row r="2">
          <cell r="A2" t="str">
            <v>Complete</v>
          </cell>
        </row>
      </sheetData>
      <sheetData sheetId="8860">
        <row r="2">
          <cell r="A2" t="str">
            <v>Complete</v>
          </cell>
        </row>
      </sheetData>
      <sheetData sheetId="8861">
        <row r="2">
          <cell r="A2" t="str">
            <v>Complete</v>
          </cell>
        </row>
      </sheetData>
      <sheetData sheetId="8862">
        <row r="2">
          <cell r="A2" t="str">
            <v>Complete</v>
          </cell>
        </row>
      </sheetData>
      <sheetData sheetId="8863">
        <row r="2">
          <cell r="A2" t="str">
            <v>Complete</v>
          </cell>
        </row>
      </sheetData>
      <sheetData sheetId="8864">
        <row r="2">
          <cell r="A2" t="str">
            <v>Complete</v>
          </cell>
        </row>
      </sheetData>
      <sheetData sheetId="8865">
        <row r="2">
          <cell r="A2" t="str">
            <v>Complete</v>
          </cell>
        </row>
      </sheetData>
      <sheetData sheetId="8866">
        <row r="2">
          <cell r="A2" t="str">
            <v>Complete</v>
          </cell>
        </row>
      </sheetData>
      <sheetData sheetId="8867">
        <row r="2">
          <cell r="A2" t="str">
            <v>Complete</v>
          </cell>
        </row>
      </sheetData>
      <sheetData sheetId="8868">
        <row r="2">
          <cell r="A2" t="str">
            <v>Complete</v>
          </cell>
        </row>
      </sheetData>
      <sheetData sheetId="8869">
        <row r="2">
          <cell r="A2" t="str">
            <v>Complete</v>
          </cell>
        </row>
      </sheetData>
      <sheetData sheetId="8870">
        <row r="2">
          <cell r="A2" t="str">
            <v>Complete</v>
          </cell>
        </row>
      </sheetData>
      <sheetData sheetId="8871">
        <row r="2">
          <cell r="A2" t="str">
            <v>Complete</v>
          </cell>
        </row>
      </sheetData>
      <sheetData sheetId="8872">
        <row r="2">
          <cell r="A2" t="str">
            <v>Complete</v>
          </cell>
        </row>
      </sheetData>
      <sheetData sheetId="8873">
        <row r="2">
          <cell r="A2" t="str">
            <v>Complete</v>
          </cell>
        </row>
      </sheetData>
      <sheetData sheetId="8874">
        <row r="2">
          <cell r="A2">
            <v>43462</v>
          </cell>
        </row>
      </sheetData>
      <sheetData sheetId="8875">
        <row r="2">
          <cell r="A2">
            <v>43462</v>
          </cell>
        </row>
      </sheetData>
      <sheetData sheetId="8876">
        <row r="2">
          <cell r="A2">
            <v>43462</v>
          </cell>
        </row>
      </sheetData>
      <sheetData sheetId="8877">
        <row r="2">
          <cell r="A2">
            <v>43462</v>
          </cell>
        </row>
      </sheetData>
      <sheetData sheetId="8878">
        <row r="2">
          <cell r="A2">
            <v>43462</v>
          </cell>
        </row>
      </sheetData>
      <sheetData sheetId="8879">
        <row r="2">
          <cell r="A2">
            <v>43462</v>
          </cell>
        </row>
      </sheetData>
      <sheetData sheetId="8880">
        <row r="2">
          <cell r="A2">
            <v>43462</v>
          </cell>
        </row>
      </sheetData>
      <sheetData sheetId="8881">
        <row r="2">
          <cell r="A2">
            <v>43462</v>
          </cell>
        </row>
      </sheetData>
      <sheetData sheetId="8882">
        <row r="2">
          <cell r="A2">
            <v>43462</v>
          </cell>
        </row>
      </sheetData>
      <sheetData sheetId="8883">
        <row r="2">
          <cell r="A2">
            <v>43462</v>
          </cell>
        </row>
      </sheetData>
      <sheetData sheetId="8884">
        <row r="2">
          <cell r="A2">
            <v>43462</v>
          </cell>
        </row>
      </sheetData>
      <sheetData sheetId="8885">
        <row r="2">
          <cell r="A2">
            <v>43462</v>
          </cell>
        </row>
      </sheetData>
      <sheetData sheetId="8886">
        <row r="2">
          <cell r="A2">
            <v>43462</v>
          </cell>
        </row>
      </sheetData>
      <sheetData sheetId="8887">
        <row r="2">
          <cell r="A2">
            <v>43462</v>
          </cell>
        </row>
      </sheetData>
      <sheetData sheetId="8888">
        <row r="2">
          <cell r="A2">
            <v>43462</v>
          </cell>
        </row>
      </sheetData>
      <sheetData sheetId="8889">
        <row r="2">
          <cell r="A2">
            <v>43462</v>
          </cell>
        </row>
      </sheetData>
      <sheetData sheetId="8890">
        <row r="2">
          <cell r="A2">
            <v>43462</v>
          </cell>
        </row>
      </sheetData>
      <sheetData sheetId="8891">
        <row r="2">
          <cell r="A2">
            <v>43462</v>
          </cell>
        </row>
      </sheetData>
      <sheetData sheetId="8892">
        <row r="2">
          <cell r="A2">
            <v>43462</v>
          </cell>
        </row>
      </sheetData>
      <sheetData sheetId="8893">
        <row r="2">
          <cell r="A2">
            <v>43462</v>
          </cell>
        </row>
      </sheetData>
      <sheetData sheetId="8894">
        <row r="2">
          <cell r="A2">
            <v>43462</v>
          </cell>
        </row>
      </sheetData>
      <sheetData sheetId="8895">
        <row r="2">
          <cell r="A2" t="str">
            <v>Complete</v>
          </cell>
        </row>
      </sheetData>
      <sheetData sheetId="8896">
        <row r="2">
          <cell r="A2" t="str">
            <v>Complete</v>
          </cell>
        </row>
      </sheetData>
      <sheetData sheetId="8897">
        <row r="2">
          <cell r="A2" t="str">
            <v>Complete</v>
          </cell>
        </row>
      </sheetData>
      <sheetData sheetId="8898">
        <row r="2">
          <cell r="A2" t="str">
            <v>Complete</v>
          </cell>
        </row>
      </sheetData>
      <sheetData sheetId="8899">
        <row r="2">
          <cell r="A2" t="str">
            <v>Complete</v>
          </cell>
        </row>
      </sheetData>
      <sheetData sheetId="8900">
        <row r="2">
          <cell r="A2" t="str">
            <v>Complete</v>
          </cell>
        </row>
      </sheetData>
      <sheetData sheetId="8901">
        <row r="2">
          <cell r="A2" t="str">
            <v>Complete</v>
          </cell>
        </row>
      </sheetData>
      <sheetData sheetId="8902">
        <row r="2">
          <cell r="A2" t="str">
            <v>Complete</v>
          </cell>
        </row>
      </sheetData>
      <sheetData sheetId="8903">
        <row r="2">
          <cell r="A2" t="str">
            <v>Complete</v>
          </cell>
        </row>
      </sheetData>
      <sheetData sheetId="8904">
        <row r="2">
          <cell r="A2" t="str">
            <v>Complete</v>
          </cell>
        </row>
      </sheetData>
      <sheetData sheetId="8905">
        <row r="2">
          <cell r="A2" t="str">
            <v>Complete</v>
          </cell>
        </row>
      </sheetData>
      <sheetData sheetId="8906">
        <row r="2">
          <cell r="A2" t="str">
            <v>Complete</v>
          </cell>
        </row>
      </sheetData>
      <sheetData sheetId="8907">
        <row r="2">
          <cell r="A2" t="str">
            <v>Complete</v>
          </cell>
        </row>
      </sheetData>
      <sheetData sheetId="8908">
        <row r="2">
          <cell r="A2" t="str">
            <v>Complete</v>
          </cell>
        </row>
      </sheetData>
      <sheetData sheetId="8909">
        <row r="2">
          <cell r="A2" t="str">
            <v>Complete</v>
          </cell>
        </row>
      </sheetData>
      <sheetData sheetId="8910">
        <row r="2">
          <cell r="A2" t="str">
            <v>Complete</v>
          </cell>
        </row>
      </sheetData>
      <sheetData sheetId="8911">
        <row r="2">
          <cell r="A2" t="str">
            <v>Complete</v>
          </cell>
        </row>
      </sheetData>
      <sheetData sheetId="8912">
        <row r="2">
          <cell r="A2" t="str">
            <v>Complete</v>
          </cell>
        </row>
      </sheetData>
      <sheetData sheetId="8913">
        <row r="2">
          <cell r="A2" t="str">
            <v>Complete</v>
          </cell>
        </row>
      </sheetData>
      <sheetData sheetId="8914">
        <row r="2">
          <cell r="A2" t="str">
            <v>Complete</v>
          </cell>
        </row>
      </sheetData>
      <sheetData sheetId="8915">
        <row r="2">
          <cell r="A2" t="str">
            <v>Complete</v>
          </cell>
        </row>
      </sheetData>
      <sheetData sheetId="8916">
        <row r="2">
          <cell r="A2" t="str">
            <v>Complete</v>
          </cell>
        </row>
      </sheetData>
      <sheetData sheetId="8917">
        <row r="2">
          <cell r="A2">
            <v>43462</v>
          </cell>
        </row>
      </sheetData>
      <sheetData sheetId="8918">
        <row r="2">
          <cell r="A2">
            <v>43462</v>
          </cell>
        </row>
      </sheetData>
      <sheetData sheetId="8919">
        <row r="2">
          <cell r="A2">
            <v>43462</v>
          </cell>
        </row>
      </sheetData>
      <sheetData sheetId="8920">
        <row r="2">
          <cell r="A2">
            <v>43462</v>
          </cell>
        </row>
      </sheetData>
      <sheetData sheetId="8921">
        <row r="2">
          <cell r="A2">
            <v>43462</v>
          </cell>
        </row>
      </sheetData>
      <sheetData sheetId="8922">
        <row r="2">
          <cell r="A2">
            <v>43462</v>
          </cell>
        </row>
      </sheetData>
      <sheetData sheetId="8923">
        <row r="2">
          <cell r="A2">
            <v>43462</v>
          </cell>
        </row>
      </sheetData>
      <sheetData sheetId="8924">
        <row r="2">
          <cell r="A2">
            <v>43462</v>
          </cell>
        </row>
      </sheetData>
      <sheetData sheetId="8925">
        <row r="2">
          <cell r="A2">
            <v>43462</v>
          </cell>
        </row>
      </sheetData>
      <sheetData sheetId="8926">
        <row r="2">
          <cell r="A2">
            <v>43462</v>
          </cell>
        </row>
      </sheetData>
      <sheetData sheetId="8927">
        <row r="2">
          <cell r="A2">
            <v>43462</v>
          </cell>
        </row>
      </sheetData>
      <sheetData sheetId="8928">
        <row r="2">
          <cell r="A2">
            <v>43462</v>
          </cell>
        </row>
      </sheetData>
      <sheetData sheetId="8929">
        <row r="2">
          <cell r="A2">
            <v>43462</v>
          </cell>
        </row>
      </sheetData>
      <sheetData sheetId="8930">
        <row r="2">
          <cell r="A2">
            <v>43462</v>
          </cell>
        </row>
      </sheetData>
      <sheetData sheetId="8931">
        <row r="2">
          <cell r="A2">
            <v>43462</v>
          </cell>
        </row>
      </sheetData>
      <sheetData sheetId="8932">
        <row r="2">
          <cell r="A2">
            <v>43462</v>
          </cell>
        </row>
      </sheetData>
      <sheetData sheetId="8933">
        <row r="2">
          <cell r="A2">
            <v>43462</v>
          </cell>
        </row>
      </sheetData>
      <sheetData sheetId="8934">
        <row r="2">
          <cell r="A2">
            <v>43462</v>
          </cell>
        </row>
      </sheetData>
      <sheetData sheetId="8935">
        <row r="2">
          <cell r="A2">
            <v>43462</v>
          </cell>
        </row>
      </sheetData>
      <sheetData sheetId="8936">
        <row r="2">
          <cell r="A2" t="str">
            <v>Complete</v>
          </cell>
        </row>
      </sheetData>
      <sheetData sheetId="8937">
        <row r="2">
          <cell r="A2" t="str">
            <v>Complete</v>
          </cell>
        </row>
      </sheetData>
      <sheetData sheetId="8938">
        <row r="2">
          <cell r="A2" t="str">
            <v>Complete</v>
          </cell>
        </row>
      </sheetData>
      <sheetData sheetId="8939">
        <row r="2">
          <cell r="A2" t="str">
            <v>Complete</v>
          </cell>
        </row>
      </sheetData>
      <sheetData sheetId="8940">
        <row r="2">
          <cell r="A2" t="str">
            <v>Complete</v>
          </cell>
        </row>
      </sheetData>
      <sheetData sheetId="8941">
        <row r="2">
          <cell r="A2" t="str">
            <v>Complete</v>
          </cell>
        </row>
      </sheetData>
      <sheetData sheetId="8942">
        <row r="2">
          <cell r="A2" t="str">
            <v>Complete</v>
          </cell>
        </row>
      </sheetData>
      <sheetData sheetId="8943">
        <row r="2">
          <cell r="A2" t="str">
            <v>Complete</v>
          </cell>
        </row>
      </sheetData>
      <sheetData sheetId="8944">
        <row r="2">
          <cell r="A2" t="str">
            <v>Complete</v>
          </cell>
        </row>
      </sheetData>
      <sheetData sheetId="8945">
        <row r="2">
          <cell r="A2" t="str">
            <v>Complete</v>
          </cell>
        </row>
      </sheetData>
      <sheetData sheetId="8946">
        <row r="2">
          <cell r="A2" t="str">
            <v>Complete</v>
          </cell>
        </row>
      </sheetData>
      <sheetData sheetId="8947">
        <row r="2">
          <cell r="A2" t="str">
            <v>Complete</v>
          </cell>
        </row>
      </sheetData>
      <sheetData sheetId="8948">
        <row r="2">
          <cell r="A2" t="str">
            <v>Complete</v>
          </cell>
        </row>
      </sheetData>
      <sheetData sheetId="8949">
        <row r="2">
          <cell r="A2" t="str">
            <v>Complete</v>
          </cell>
        </row>
      </sheetData>
      <sheetData sheetId="8950">
        <row r="2">
          <cell r="A2" t="str">
            <v>Complete</v>
          </cell>
        </row>
      </sheetData>
      <sheetData sheetId="8951">
        <row r="2">
          <cell r="A2" t="str">
            <v>Complete</v>
          </cell>
        </row>
      </sheetData>
      <sheetData sheetId="8952">
        <row r="2">
          <cell r="A2" t="str">
            <v>Complete</v>
          </cell>
        </row>
      </sheetData>
      <sheetData sheetId="8953">
        <row r="2">
          <cell r="A2" t="str">
            <v>Complete</v>
          </cell>
        </row>
      </sheetData>
      <sheetData sheetId="8954">
        <row r="2">
          <cell r="A2" t="str">
            <v>Complete</v>
          </cell>
        </row>
      </sheetData>
      <sheetData sheetId="8955">
        <row r="2">
          <cell r="A2" t="str">
            <v>Complete</v>
          </cell>
        </row>
      </sheetData>
      <sheetData sheetId="8956">
        <row r="2">
          <cell r="A2">
            <v>43462</v>
          </cell>
        </row>
      </sheetData>
      <sheetData sheetId="8957">
        <row r="2">
          <cell r="A2">
            <v>43462</v>
          </cell>
        </row>
      </sheetData>
      <sheetData sheetId="8958">
        <row r="2">
          <cell r="A2">
            <v>43462</v>
          </cell>
        </row>
      </sheetData>
      <sheetData sheetId="8959">
        <row r="2">
          <cell r="A2">
            <v>43462</v>
          </cell>
        </row>
      </sheetData>
      <sheetData sheetId="8960">
        <row r="2">
          <cell r="A2">
            <v>43462</v>
          </cell>
        </row>
      </sheetData>
      <sheetData sheetId="8961">
        <row r="2">
          <cell r="A2">
            <v>43462</v>
          </cell>
        </row>
      </sheetData>
      <sheetData sheetId="8962">
        <row r="2">
          <cell r="A2">
            <v>43462</v>
          </cell>
        </row>
      </sheetData>
      <sheetData sheetId="8963">
        <row r="2">
          <cell r="A2">
            <v>43462</v>
          </cell>
        </row>
      </sheetData>
      <sheetData sheetId="8964">
        <row r="2">
          <cell r="A2">
            <v>43462</v>
          </cell>
        </row>
      </sheetData>
      <sheetData sheetId="8965">
        <row r="2">
          <cell r="A2">
            <v>43462</v>
          </cell>
        </row>
      </sheetData>
      <sheetData sheetId="8966">
        <row r="2">
          <cell r="A2">
            <v>43462</v>
          </cell>
        </row>
      </sheetData>
      <sheetData sheetId="8967">
        <row r="2">
          <cell r="A2">
            <v>43462</v>
          </cell>
        </row>
      </sheetData>
      <sheetData sheetId="8968">
        <row r="2">
          <cell r="A2">
            <v>43462</v>
          </cell>
        </row>
      </sheetData>
      <sheetData sheetId="8969">
        <row r="2">
          <cell r="A2">
            <v>43462</v>
          </cell>
        </row>
      </sheetData>
      <sheetData sheetId="8970">
        <row r="2">
          <cell r="A2">
            <v>43462</v>
          </cell>
        </row>
      </sheetData>
      <sheetData sheetId="8971">
        <row r="2">
          <cell r="A2">
            <v>43462</v>
          </cell>
        </row>
      </sheetData>
      <sheetData sheetId="8972">
        <row r="2">
          <cell r="A2">
            <v>43462</v>
          </cell>
        </row>
      </sheetData>
      <sheetData sheetId="8973">
        <row r="2">
          <cell r="A2">
            <v>43462</v>
          </cell>
        </row>
      </sheetData>
      <sheetData sheetId="8974">
        <row r="2">
          <cell r="A2">
            <v>43462</v>
          </cell>
        </row>
      </sheetData>
      <sheetData sheetId="8975">
        <row r="2">
          <cell r="A2">
            <v>43462</v>
          </cell>
        </row>
      </sheetData>
      <sheetData sheetId="8976">
        <row r="2">
          <cell r="A2">
            <v>43462</v>
          </cell>
        </row>
      </sheetData>
      <sheetData sheetId="8977">
        <row r="2">
          <cell r="A2" t="str">
            <v>Complete</v>
          </cell>
        </row>
      </sheetData>
      <sheetData sheetId="8978">
        <row r="2">
          <cell r="A2" t="str">
            <v>Complete</v>
          </cell>
        </row>
      </sheetData>
      <sheetData sheetId="8979">
        <row r="2">
          <cell r="A2" t="str">
            <v>Complete</v>
          </cell>
        </row>
      </sheetData>
      <sheetData sheetId="8980">
        <row r="2">
          <cell r="A2" t="str">
            <v>Complete</v>
          </cell>
        </row>
      </sheetData>
      <sheetData sheetId="8981">
        <row r="2">
          <cell r="A2" t="str">
            <v>Complete</v>
          </cell>
        </row>
      </sheetData>
      <sheetData sheetId="8982">
        <row r="2">
          <cell r="A2" t="str">
            <v>Complete</v>
          </cell>
        </row>
      </sheetData>
      <sheetData sheetId="8983">
        <row r="2">
          <cell r="A2" t="str">
            <v>Complete</v>
          </cell>
        </row>
      </sheetData>
      <sheetData sheetId="8984">
        <row r="2">
          <cell r="A2" t="str">
            <v>Complete</v>
          </cell>
        </row>
      </sheetData>
      <sheetData sheetId="8985">
        <row r="2">
          <cell r="A2" t="str">
            <v>Complete</v>
          </cell>
        </row>
      </sheetData>
      <sheetData sheetId="8986">
        <row r="2">
          <cell r="A2" t="str">
            <v>Complete</v>
          </cell>
        </row>
      </sheetData>
      <sheetData sheetId="8987">
        <row r="2">
          <cell r="A2" t="str">
            <v>Complete</v>
          </cell>
        </row>
      </sheetData>
      <sheetData sheetId="8988">
        <row r="2">
          <cell r="A2" t="str">
            <v>Complete</v>
          </cell>
        </row>
      </sheetData>
      <sheetData sheetId="8989">
        <row r="2">
          <cell r="A2" t="str">
            <v>Complete</v>
          </cell>
        </row>
      </sheetData>
      <sheetData sheetId="8990">
        <row r="2">
          <cell r="A2" t="str">
            <v>Complete</v>
          </cell>
        </row>
      </sheetData>
      <sheetData sheetId="8991">
        <row r="2">
          <cell r="A2" t="str">
            <v>Complete</v>
          </cell>
        </row>
      </sheetData>
      <sheetData sheetId="8992">
        <row r="2">
          <cell r="A2" t="str">
            <v>Complete</v>
          </cell>
        </row>
      </sheetData>
      <sheetData sheetId="8993">
        <row r="2">
          <cell r="A2" t="str">
            <v>Complete</v>
          </cell>
        </row>
      </sheetData>
      <sheetData sheetId="8994">
        <row r="2">
          <cell r="A2" t="str">
            <v>Complete</v>
          </cell>
        </row>
      </sheetData>
      <sheetData sheetId="8995">
        <row r="2">
          <cell r="A2" t="str">
            <v>Complete</v>
          </cell>
        </row>
      </sheetData>
      <sheetData sheetId="8996">
        <row r="2">
          <cell r="A2" t="str">
            <v>Complete</v>
          </cell>
        </row>
      </sheetData>
      <sheetData sheetId="8997">
        <row r="2">
          <cell r="A2">
            <v>43462</v>
          </cell>
        </row>
      </sheetData>
      <sheetData sheetId="8998">
        <row r="2">
          <cell r="A2">
            <v>43462</v>
          </cell>
        </row>
      </sheetData>
      <sheetData sheetId="8999">
        <row r="2">
          <cell r="A2">
            <v>43462</v>
          </cell>
        </row>
      </sheetData>
      <sheetData sheetId="9000">
        <row r="2">
          <cell r="A2">
            <v>43462</v>
          </cell>
        </row>
      </sheetData>
      <sheetData sheetId="9001">
        <row r="2">
          <cell r="A2">
            <v>43462</v>
          </cell>
        </row>
      </sheetData>
      <sheetData sheetId="9002">
        <row r="2">
          <cell r="A2">
            <v>43462</v>
          </cell>
        </row>
      </sheetData>
      <sheetData sheetId="9003">
        <row r="2">
          <cell r="A2">
            <v>43462</v>
          </cell>
        </row>
      </sheetData>
      <sheetData sheetId="9004">
        <row r="2">
          <cell r="A2">
            <v>43462</v>
          </cell>
        </row>
      </sheetData>
      <sheetData sheetId="9005">
        <row r="2">
          <cell r="A2">
            <v>43462</v>
          </cell>
        </row>
      </sheetData>
      <sheetData sheetId="9006">
        <row r="2">
          <cell r="A2">
            <v>43462</v>
          </cell>
        </row>
      </sheetData>
      <sheetData sheetId="9007">
        <row r="2">
          <cell r="A2">
            <v>43462</v>
          </cell>
        </row>
      </sheetData>
      <sheetData sheetId="9008">
        <row r="2">
          <cell r="A2">
            <v>43462</v>
          </cell>
        </row>
      </sheetData>
      <sheetData sheetId="9009">
        <row r="2">
          <cell r="A2">
            <v>43462</v>
          </cell>
        </row>
      </sheetData>
      <sheetData sheetId="9010">
        <row r="2">
          <cell r="A2">
            <v>43462</v>
          </cell>
        </row>
      </sheetData>
      <sheetData sheetId="9011">
        <row r="2">
          <cell r="A2">
            <v>43462</v>
          </cell>
        </row>
      </sheetData>
      <sheetData sheetId="9012">
        <row r="2">
          <cell r="A2">
            <v>43462</v>
          </cell>
        </row>
      </sheetData>
      <sheetData sheetId="9013">
        <row r="2">
          <cell r="A2">
            <v>43462</v>
          </cell>
        </row>
      </sheetData>
      <sheetData sheetId="9014">
        <row r="2">
          <cell r="A2">
            <v>43462</v>
          </cell>
        </row>
      </sheetData>
      <sheetData sheetId="9015">
        <row r="2">
          <cell r="A2">
            <v>43462</v>
          </cell>
        </row>
      </sheetData>
      <sheetData sheetId="9016">
        <row r="2">
          <cell r="A2">
            <v>43462</v>
          </cell>
        </row>
      </sheetData>
      <sheetData sheetId="9017">
        <row r="2">
          <cell r="A2">
            <v>43462</v>
          </cell>
        </row>
      </sheetData>
      <sheetData sheetId="9018">
        <row r="2">
          <cell r="A2" t="str">
            <v>Complete</v>
          </cell>
        </row>
      </sheetData>
      <sheetData sheetId="9019">
        <row r="2">
          <cell r="A2" t="str">
            <v>Complete</v>
          </cell>
        </row>
      </sheetData>
      <sheetData sheetId="9020">
        <row r="2">
          <cell r="A2" t="str">
            <v>Complete</v>
          </cell>
        </row>
      </sheetData>
      <sheetData sheetId="9021">
        <row r="2">
          <cell r="A2" t="str">
            <v>Complete</v>
          </cell>
        </row>
      </sheetData>
      <sheetData sheetId="9022">
        <row r="2">
          <cell r="A2" t="str">
            <v>Complete</v>
          </cell>
        </row>
      </sheetData>
      <sheetData sheetId="9023">
        <row r="2">
          <cell r="A2" t="str">
            <v>Complete</v>
          </cell>
        </row>
      </sheetData>
      <sheetData sheetId="9024">
        <row r="2">
          <cell r="A2" t="str">
            <v>Complete</v>
          </cell>
        </row>
      </sheetData>
      <sheetData sheetId="9025">
        <row r="2">
          <cell r="A2" t="str">
            <v>Complete</v>
          </cell>
        </row>
      </sheetData>
      <sheetData sheetId="9026">
        <row r="2">
          <cell r="A2" t="str">
            <v>Complete</v>
          </cell>
        </row>
      </sheetData>
      <sheetData sheetId="9027">
        <row r="2">
          <cell r="A2" t="str">
            <v>Complete</v>
          </cell>
        </row>
      </sheetData>
      <sheetData sheetId="9028">
        <row r="2">
          <cell r="A2" t="str">
            <v>Complete</v>
          </cell>
        </row>
      </sheetData>
      <sheetData sheetId="9029">
        <row r="2">
          <cell r="A2" t="str">
            <v>Complete</v>
          </cell>
        </row>
      </sheetData>
      <sheetData sheetId="9030">
        <row r="2">
          <cell r="A2" t="str">
            <v>Complete</v>
          </cell>
        </row>
      </sheetData>
      <sheetData sheetId="9031">
        <row r="2">
          <cell r="A2" t="str">
            <v>Complete</v>
          </cell>
        </row>
      </sheetData>
      <sheetData sheetId="9032">
        <row r="2">
          <cell r="A2" t="str">
            <v>Complete</v>
          </cell>
        </row>
      </sheetData>
      <sheetData sheetId="9033">
        <row r="2">
          <cell r="A2" t="str">
            <v>Complete</v>
          </cell>
        </row>
      </sheetData>
      <sheetData sheetId="9034">
        <row r="2">
          <cell r="A2" t="str">
            <v>Complete</v>
          </cell>
        </row>
      </sheetData>
      <sheetData sheetId="9035">
        <row r="2">
          <cell r="A2" t="str">
            <v>Complete</v>
          </cell>
        </row>
      </sheetData>
      <sheetData sheetId="9036">
        <row r="2">
          <cell r="A2" t="str">
            <v>Complete</v>
          </cell>
        </row>
      </sheetData>
      <sheetData sheetId="9037">
        <row r="2">
          <cell r="A2" t="str">
            <v>Complete</v>
          </cell>
        </row>
      </sheetData>
      <sheetData sheetId="9038">
        <row r="2">
          <cell r="A2">
            <v>43462</v>
          </cell>
        </row>
      </sheetData>
      <sheetData sheetId="9039">
        <row r="2">
          <cell r="A2">
            <v>43462</v>
          </cell>
        </row>
      </sheetData>
      <sheetData sheetId="9040">
        <row r="2">
          <cell r="A2">
            <v>43462</v>
          </cell>
        </row>
      </sheetData>
      <sheetData sheetId="9041">
        <row r="2">
          <cell r="A2">
            <v>43462</v>
          </cell>
        </row>
      </sheetData>
      <sheetData sheetId="9042">
        <row r="2">
          <cell r="A2">
            <v>43462</v>
          </cell>
        </row>
      </sheetData>
      <sheetData sheetId="9043">
        <row r="2">
          <cell r="A2">
            <v>43462</v>
          </cell>
        </row>
      </sheetData>
      <sheetData sheetId="9044">
        <row r="2">
          <cell r="A2">
            <v>43462</v>
          </cell>
        </row>
      </sheetData>
      <sheetData sheetId="9045">
        <row r="2">
          <cell r="A2">
            <v>43462</v>
          </cell>
        </row>
      </sheetData>
      <sheetData sheetId="9046">
        <row r="2">
          <cell r="A2">
            <v>43462</v>
          </cell>
        </row>
      </sheetData>
      <sheetData sheetId="9047">
        <row r="2">
          <cell r="A2">
            <v>43462</v>
          </cell>
        </row>
      </sheetData>
      <sheetData sheetId="9048">
        <row r="2">
          <cell r="A2">
            <v>43462</v>
          </cell>
        </row>
      </sheetData>
      <sheetData sheetId="9049">
        <row r="2">
          <cell r="A2">
            <v>43462</v>
          </cell>
        </row>
      </sheetData>
      <sheetData sheetId="9050">
        <row r="2">
          <cell r="A2">
            <v>43462</v>
          </cell>
        </row>
      </sheetData>
      <sheetData sheetId="9051">
        <row r="2">
          <cell r="A2">
            <v>43462</v>
          </cell>
        </row>
      </sheetData>
      <sheetData sheetId="9052">
        <row r="2">
          <cell r="A2">
            <v>43462</v>
          </cell>
        </row>
      </sheetData>
      <sheetData sheetId="9053">
        <row r="2">
          <cell r="A2">
            <v>43462</v>
          </cell>
        </row>
      </sheetData>
      <sheetData sheetId="9054">
        <row r="2">
          <cell r="A2">
            <v>43462</v>
          </cell>
        </row>
      </sheetData>
      <sheetData sheetId="9055">
        <row r="2">
          <cell r="A2">
            <v>43462</v>
          </cell>
        </row>
      </sheetData>
      <sheetData sheetId="9056">
        <row r="2">
          <cell r="A2">
            <v>43462</v>
          </cell>
        </row>
      </sheetData>
      <sheetData sheetId="9057">
        <row r="2">
          <cell r="A2">
            <v>43462</v>
          </cell>
        </row>
      </sheetData>
      <sheetData sheetId="9058">
        <row r="2">
          <cell r="A2">
            <v>43462</v>
          </cell>
        </row>
      </sheetData>
      <sheetData sheetId="9059">
        <row r="2">
          <cell r="A2" t="str">
            <v>Complete</v>
          </cell>
        </row>
      </sheetData>
      <sheetData sheetId="9060">
        <row r="2">
          <cell r="A2" t="str">
            <v>Complete</v>
          </cell>
        </row>
      </sheetData>
      <sheetData sheetId="9061">
        <row r="2">
          <cell r="A2" t="str">
            <v>Complete</v>
          </cell>
        </row>
      </sheetData>
      <sheetData sheetId="9062">
        <row r="2">
          <cell r="A2" t="str">
            <v>Complete</v>
          </cell>
        </row>
      </sheetData>
      <sheetData sheetId="9063">
        <row r="2">
          <cell r="A2" t="str">
            <v>Complete</v>
          </cell>
        </row>
      </sheetData>
      <sheetData sheetId="9064">
        <row r="2">
          <cell r="A2" t="str">
            <v>Complete</v>
          </cell>
        </row>
      </sheetData>
      <sheetData sheetId="9065">
        <row r="2">
          <cell r="A2" t="str">
            <v>Complete</v>
          </cell>
        </row>
      </sheetData>
      <sheetData sheetId="9066">
        <row r="2">
          <cell r="A2" t="str">
            <v>Complete</v>
          </cell>
        </row>
      </sheetData>
      <sheetData sheetId="9067">
        <row r="2">
          <cell r="A2" t="str">
            <v>Complete</v>
          </cell>
        </row>
      </sheetData>
      <sheetData sheetId="9068">
        <row r="2">
          <cell r="A2" t="str">
            <v>Complete</v>
          </cell>
        </row>
      </sheetData>
      <sheetData sheetId="9069">
        <row r="2">
          <cell r="A2" t="str">
            <v>Complete</v>
          </cell>
        </row>
      </sheetData>
      <sheetData sheetId="9070">
        <row r="2">
          <cell r="A2" t="str">
            <v>Complete</v>
          </cell>
        </row>
      </sheetData>
      <sheetData sheetId="9071">
        <row r="2">
          <cell r="A2" t="str">
            <v>Complete</v>
          </cell>
        </row>
      </sheetData>
      <sheetData sheetId="9072">
        <row r="2">
          <cell r="A2" t="str">
            <v>Complete</v>
          </cell>
        </row>
      </sheetData>
      <sheetData sheetId="9073">
        <row r="2">
          <cell r="A2" t="str">
            <v>Complete</v>
          </cell>
        </row>
      </sheetData>
      <sheetData sheetId="9074">
        <row r="2">
          <cell r="A2" t="str">
            <v>Complete</v>
          </cell>
        </row>
      </sheetData>
      <sheetData sheetId="9075">
        <row r="2">
          <cell r="A2" t="str">
            <v>Complete</v>
          </cell>
        </row>
      </sheetData>
      <sheetData sheetId="9076">
        <row r="2">
          <cell r="A2" t="str">
            <v>Complete</v>
          </cell>
        </row>
      </sheetData>
      <sheetData sheetId="9077">
        <row r="2">
          <cell r="A2" t="str">
            <v>Complete</v>
          </cell>
        </row>
      </sheetData>
      <sheetData sheetId="9078">
        <row r="2">
          <cell r="A2" t="str">
            <v>Complete</v>
          </cell>
        </row>
      </sheetData>
      <sheetData sheetId="9079">
        <row r="2">
          <cell r="A2">
            <v>43462</v>
          </cell>
        </row>
      </sheetData>
      <sheetData sheetId="9080">
        <row r="2">
          <cell r="A2">
            <v>43462</v>
          </cell>
        </row>
      </sheetData>
      <sheetData sheetId="9081">
        <row r="2">
          <cell r="A2">
            <v>43462</v>
          </cell>
        </row>
      </sheetData>
      <sheetData sheetId="9082">
        <row r="2">
          <cell r="A2">
            <v>43462</v>
          </cell>
        </row>
      </sheetData>
      <sheetData sheetId="9083">
        <row r="2">
          <cell r="A2">
            <v>43462</v>
          </cell>
        </row>
      </sheetData>
      <sheetData sheetId="9084">
        <row r="2">
          <cell r="A2">
            <v>43462</v>
          </cell>
        </row>
      </sheetData>
      <sheetData sheetId="9085">
        <row r="2">
          <cell r="A2">
            <v>43462</v>
          </cell>
        </row>
      </sheetData>
      <sheetData sheetId="9086">
        <row r="2">
          <cell r="A2">
            <v>43462</v>
          </cell>
        </row>
      </sheetData>
      <sheetData sheetId="9087">
        <row r="2">
          <cell r="A2">
            <v>43462</v>
          </cell>
        </row>
      </sheetData>
      <sheetData sheetId="9088">
        <row r="2">
          <cell r="A2">
            <v>43462</v>
          </cell>
        </row>
      </sheetData>
      <sheetData sheetId="9089">
        <row r="2">
          <cell r="A2">
            <v>43462</v>
          </cell>
        </row>
      </sheetData>
      <sheetData sheetId="9090">
        <row r="2">
          <cell r="A2">
            <v>43462</v>
          </cell>
        </row>
      </sheetData>
      <sheetData sheetId="9091">
        <row r="2">
          <cell r="A2">
            <v>43462</v>
          </cell>
        </row>
      </sheetData>
      <sheetData sheetId="9092">
        <row r="2">
          <cell r="A2">
            <v>43462</v>
          </cell>
        </row>
      </sheetData>
      <sheetData sheetId="9093">
        <row r="2">
          <cell r="A2">
            <v>43462</v>
          </cell>
        </row>
      </sheetData>
      <sheetData sheetId="9094">
        <row r="2">
          <cell r="A2">
            <v>43462</v>
          </cell>
        </row>
      </sheetData>
      <sheetData sheetId="9095">
        <row r="2">
          <cell r="A2">
            <v>43462</v>
          </cell>
        </row>
      </sheetData>
      <sheetData sheetId="9096">
        <row r="2">
          <cell r="A2">
            <v>43462</v>
          </cell>
        </row>
      </sheetData>
      <sheetData sheetId="9097">
        <row r="2">
          <cell r="A2">
            <v>43462</v>
          </cell>
        </row>
      </sheetData>
      <sheetData sheetId="9098">
        <row r="2">
          <cell r="A2">
            <v>43462</v>
          </cell>
        </row>
      </sheetData>
      <sheetData sheetId="9099">
        <row r="2">
          <cell r="A2">
            <v>43462</v>
          </cell>
        </row>
      </sheetData>
      <sheetData sheetId="9100">
        <row r="2">
          <cell r="A2" t="str">
            <v>Complete</v>
          </cell>
        </row>
      </sheetData>
      <sheetData sheetId="9101">
        <row r="2">
          <cell r="A2" t="str">
            <v>Complete</v>
          </cell>
        </row>
      </sheetData>
      <sheetData sheetId="9102">
        <row r="2">
          <cell r="A2" t="str">
            <v>Complete</v>
          </cell>
        </row>
      </sheetData>
      <sheetData sheetId="9103">
        <row r="2">
          <cell r="A2" t="str">
            <v>Complete</v>
          </cell>
        </row>
      </sheetData>
      <sheetData sheetId="9104">
        <row r="2">
          <cell r="A2" t="str">
            <v>Complete</v>
          </cell>
        </row>
      </sheetData>
      <sheetData sheetId="9105">
        <row r="2">
          <cell r="A2" t="str">
            <v>Complete</v>
          </cell>
        </row>
      </sheetData>
      <sheetData sheetId="9106">
        <row r="2">
          <cell r="A2" t="str">
            <v>Complete</v>
          </cell>
        </row>
      </sheetData>
      <sheetData sheetId="9107">
        <row r="2">
          <cell r="A2" t="str">
            <v>Complete</v>
          </cell>
        </row>
      </sheetData>
      <sheetData sheetId="9108">
        <row r="2">
          <cell r="A2" t="str">
            <v>Complete</v>
          </cell>
        </row>
      </sheetData>
      <sheetData sheetId="9109">
        <row r="2">
          <cell r="A2" t="str">
            <v>Complete</v>
          </cell>
        </row>
      </sheetData>
      <sheetData sheetId="9110">
        <row r="2">
          <cell r="A2" t="str">
            <v>Complete</v>
          </cell>
        </row>
      </sheetData>
      <sheetData sheetId="9111">
        <row r="2">
          <cell r="A2" t="str">
            <v>Complete</v>
          </cell>
        </row>
      </sheetData>
      <sheetData sheetId="9112">
        <row r="2">
          <cell r="A2" t="str">
            <v>Complete</v>
          </cell>
        </row>
      </sheetData>
      <sheetData sheetId="9113">
        <row r="2">
          <cell r="A2" t="str">
            <v>Complete</v>
          </cell>
        </row>
      </sheetData>
      <sheetData sheetId="9114">
        <row r="2">
          <cell r="A2" t="str">
            <v>Complete</v>
          </cell>
        </row>
      </sheetData>
      <sheetData sheetId="9115">
        <row r="2">
          <cell r="A2" t="str">
            <v>Complete</v>
          </cell>
        </row>
      </sheetData>
      <sheetData sheetId="9116">
        <row r="2">
          <cell r="A2" t="str">
            <v>Complete</v>
          </cell>
        </row>
      </sheetData>
      <sheetData sheetId="9117">
        <row r="2">
          <cell r="A2" t="str">
            <v>Complete</v>
          </cell>
        </row>
      </sheetData>
      <sheetData sheetId="9118">
        <row r="2">
          <cell r="A2" t="str">
            <v>Complete</v>
          </cell>
        </row>
      </sheetData>
      <sheetData sheetId="9119">
        <row r="2">
          <cell r="A2" t="str">
            <v>Complete</v>
          </cell>
        </row>
      </sheetData>
      <sheetData sheetId="9120">
        <row r="2">
          <cell r="A2">
            <v>43462</v>
          </cell>
        </row>
      </sheetData>
      <sheetData sheetId="9121">
        <row r="2">
          <cell r="A2">
            <v>43462</v>
          </cell>
        </row>
      </sheetData>
      <sheetData sheetId="9122">
        <row r="2">
          <cell r="A2">
            <v>43462</v>
          </cell>
        </row>
      </sheetData>
      <sheetData sheetId="9123">
        <row r="2">
          <cell r="A2">
            <v>43462</v>
          </cell>
        </row>
      </sheetData>
      <sheetData sheetId="9124">
        <row r="2">
          <cell r="A2">
            <v>43462</v>
          </cell>
        </row>
      </sheetData>
      <sheetData sheetId="9125">
        <row r="2">
          <cell r="A2">
            <v>43462</v>
          </cell>
        </row>
      </sheetData>
      <sheetData sheetId="9126">
        <row r="2">
          <cell r="A2">
            <v>43462</v>
          </cell>
        </row>
      </sheetData>
      <sheetData sheetId="9127">
        <row r="2">
          <cell r="A2">
            <v>43462</v>
          </cell>
        </row>
      </sheetData>
      <sheetData sheetId="9128">
        <row r="2">
          <cell r="A2">
            <v>43462</v>
          </cell>
        </row>
      </sheetData>
      <sheetData sheetId="9129">
        <row r="2">
          <cell r="A2">
            <v>43462</v>
          </cell>
        </row>
      </sheetData>
      <sheetData sheetId="9130">
        <row r="2">
          <cell r="A2">
            <v>43462</v>
          </cell>
        </row>
      </sheetData>
      <sheetData sheetId="9131">
        <row r="2">
          <cell r="A2">
            <v>43462</v>
          </cell>
        </row>
      </sheetData>
      <sheetData sheetId="9132">
        <row r="2">
          <cell r="A2">
            <v>43462</v>
          </cell>
        </row>
      </sheetData>
      <sheetData sheetId="9133">
        <row r="2">
          <cell r="A2">
            <v>43462</v>
          </cell>
        </row>
      </sheetData>
      <sheetData sheetId="9134">
        <row r="2">
          <cell r="A2">
            <v>43462</v>
          </cell>
        </row>
      </sheetData>
      <sheetData sheetId="9135">
        <row r="2">
          <cell r="A2">
            <v>43462</v>
          </cell>
        </row>
      </sheetData>
      <sheetData sheetId="9136">
        <row r="2">
          <cell r="A2">
            <v>43462</v>
          </cell>
        </row>
      </sheetData>
      <sheetData sheetId="9137">
        <row r="2">
          <cell r="A2">
            <v>43462</v>
          </cell>
        </row>
      </sheetData>
      <sheetData sheetId="9138">
        <row r="2">
          <cell r="A2">
            <v>43462</v>
          </cell>
        </row>
      </sheetData>
      <sheetData sheetId="9139">
        <row r="2">
          <cell r="A2">
            <v>43462</v>
          </cell>
        </row>
      </sheetData>
      <sheetData sheetId="9140">
        <row r="2">
          <cell r="A2">
            <v>43462</v>
          </cell>
        </row>
      </sheetData>
      <sheetData sheetId="9141">
        <row r="2">
          <cell r="A2">
            <v>43462</v>
          </cell>
        </row>
      </sheetData>
      <sheetData sheetId="9142">
        <row r="2">
          <cell r="A2" t="str">
            <v>Complete</v>
          </cell>
        </row>
      </sheetData>
      <sheetData sheetId="9143">
        <row r="2">
          <cell r="A2" t="str">
            <v>Complete</v>
          </cell>
        </row>
      </sheetData>
      <sheetData sheetId="9144">
        <row r="2">
          <cell r="A2" t="str">
            <v>Complete</v>
          </cell>
        </row>
      </sheetData>
      <sheetData sheetId="9145">
        <row r="2">
          <cell r="A2" t="str">
            <v>Complete</v>
          </cell>
        </row>
      </sheetData>
      <sheetData sheetId="9146">
        <row r="2">
          <cell r="A2" t="str">
            <v>Complete</v>
          </cell>
        </row>
      </sheetData>
      <sheetData sheetId="9147">
        <row r="2">
          <cell r="A2" t="str">
            <v>Complete</v>
          </cell>
        </row>
      </sheetData>
      <sheetData sheetId="9148">
        <row r="2">
          <cell r="A2" t="str">
            <v>Complete</v>
          </cell>
        </row>
      </sheetData>
      <sheetData sheetId="9149">
        <row r="2">
          <cell r="A2" t="str">
            <v>Complete</v>
          </cell>
        </row>
      </sheetData>
      <sheetData sheetId="9150">
        <row r="2">
          <cell r="A2" t="str">
            <v>Complete</v>
          </cell>
        </row>
      </sheetData>
      <sheetData sheetId="9151">
        <row r="2">
          <cell r="A2" t="str">
            <v>Complete</v>
          </cell>
        </row>
      </sheetData>
      <sheetData sheetId="9152">
        <row r="2">
          <cell r="A2" t="str">
            <v>Complete</v>
          </cell>
        </row>
      </sheetData>
      <sheetData sheetId="9153">
        <row r="2">
          <cell r="A2" t="str">
            <v>Complete</v>
          </cell>
        </row>
      </sheetData>
      <sheetData sheetId="9154">
        <row r="2">
          <cell r="A2" t="str">
            <v>Complete</v>
          </cell>
        </row>
      </sheetData>
      <sheetData sheetId="9155">
        <row r="2">
          <cell r="A2" t="str">
            <v>Complete</v>
          </cell>
        </row>
      </sheetData>
      <sheetData sheetId="9156">
        <row r="2">
          <cell r="A2" t="str">
            <v>Complete</v>
          </cell>
        </row>
      </sheetData>
      <sheetData sheetId="9157">
        <row r="2">
          <cell r="A2" t="str">
            <v>Complete</v>
          </cell>
        </row>
      </sheetData>
      <sheetData sheetId="9158">
        <row r="2">
          <cell r="A2" t="str">
            <v>Complete</v>
          </cell>
        </row>
      </sheetData>
      <sheetData sheetId="9159">
        <row r="2">
          <cell r="A2" t="str">
            <v>Complete</v>
          </cell>
        </row>
      </sheetData>
      <sheetData sheetId="9160">
        <row r="2">
          <cell r="A2" t="str">
            <v>Complete</v>
          </cell>
        </row>
      </sheetData>
      <sheetData sheetId="9161">
        <row r="2">
          <cell r="A2">
            <v>43462</v>
          </cell>
        </row>
      </sheetData>
      <sheetData sheetId="9162">
        <row r="2">
          <cell r="A2">
            <v>43462</v>
          </cell>
        </row>
      </sheetData>
      <sheetData sheetId="9163">
        <row r="2">
          <cell r="A2">
            <v>43462</v>
          </cell>
        </row>
      </sheetData>
      <sheetData sheetId="9164">
        <row r="2">
          <cell r="A2">
            <v>43462</v>
          </cell>
        </row>
      </sheetData>
      <sheetData sheetId="9165">
        <row r="2">
          <cell r="A2">
            <v>43462</v>
          </cell>
        </row>
      </sheetData>
      <sheetData sheetId="9166">
        <row r="2">
          <cell r="A2">
            <v>43462</v>
          </cell>
        </row>
      </sheetData>
      <sheetData sheetId="9167">
        <row r="2">
          <cell r="A2">
            <v>43462</v>
          </cell>
        </row>
      </sheetData>
      <sheetData sheetId="9168">
        <row r="2">
          <cell r="A2">
            <v>43462</v>
          </cell>
        </row>
      </sheetData>
      <sheetData sheetId="9169">
        <row r="2">
          <cell r="A2">
            <v>43462</v>
          </cell>
        </row>
      </sheetData>
      <sheetData sheetId="9170">
        <row r="2">
          <cell r="A2">
            <v>43462</v>
          </cell>
        </row>
      </sheetData>
      <sheetData sheetId="9171">
        <row r="2">
          <cell r="A2">
            <v>43462</v>
          </cell>
        </row>
      </sheetData>
      <sheetData sheetId="9172">
        <row r="2">
          <cell r="A2">
            <v>43462</v>
          </cell>
        </row>
      </sheetData>
      <sheetData sheetId="9173">
        <row r="2">
          <cell r="A2">
            <v>43462</v>
          </cell>
        </row>
      </sheetData>
      <sheetData sheetId="9174">
        <row r="2">
          <cell r="A2">
            <v>43462</v>
          </cell>
        </row>
      </sheetData>
      <sheetData sheetId="9175">
        <row r="2">
          <cell r="A2">
            <v>43462</v>
          </cell>
        </row>
      </sheetData>
      <sheetData sheetId="9176">
        <row r="2">
          <cell r="A2">
            <v>43462</v>
          </cell>
        </row>
      </sheetData>
      <sheetData sheetId="9177">
        <row r="2">
          <cell r="A2">
            <v>43462</v>
          </cell>
        </row>
      </sheetData>
      <sheetData sheetId="9178">
        <row r="2">
          <cell r="A2">
            <v>43462</v>
          </cell>
        </row>
      </sheetData>
      <sheetData sheetId="9179">
        <row r="2">
          <cell r="A2">
            <v>43462</v>
          </cell>
        </row>
      </sheetData>
      <sheetData sheetId="9180">
        <row r="2">
          <cell r="A2">
            <v>43462</v>
          </cell>
        </row>
      </sheetData>
      <sheetData sheetId="9181">
        <row r="2">
          <cell r="A2">
            <v>43462</v>
          </cell>
        </row>
      </sheetData>
      <sheetData sheetId="9182">
        <row r="2">
          <cell r="A2">
            <v>43462</v>
          </cell>
        </row>
      </sheetData>
      <sheetData sheetId="9183">
        <row r="2">
          <cell r="A2" t="str">
            <v>Complete</v>
          </cell>
        </row>
      </sheetData>
      <sheetData sheetId="9184">
        <row r="2">
          <cell r="A2" t="str">
            <v>Complete</v>
          </cell>
        </row>
      </sheetData>
      <sheetData sheetId="9185">
        <row r="2">
          <cell r="A2" t="str">
            <v>Complete</v>
          </cell>
        </row>
      </sheetData>
      <sheetData sheetId="9186">
        <row r="2">
          <cell r="A2" t="str">
            <v>Complete</v>
          </cell>
        </row>
      </sheetData>
      <sheetData sheetId="9187">
        <row r="2">
          <cell r="A2" t="str">
            <v>Complete</v>
          </cell>
        </row>
      </sheetData>
      <sheetData sheetId="9188">
        <row r="2">
          <cell r="A2" t="str">
            <v>Complete</v>
          </cell>
        </row>
      </sheetData>
      <sheetData sheetId="9189">
        <row r="2">
          <cell r="A2" t="str">
            <v>Complete</v>
          </cell>
        </row>
      </sheetData>
      <sheetData sheetId="9190">
        <row r="2">
          <cell r="A2" t="str">
            <v>Complete</v>
          </cell>
        </row>
      </sheetData>
      <sheetData sheetId="9191">
        <row r="2">
          <cell r="A2" t="str">
            <v>Complete</v>
          </cell>
        </row>
      </sheetData>
      <sheetData sheetId="9192">
        <row r="2">
          <cell r="A2" t="str">
            <v>Complete</v>
          </cell>
        </row>
      </sheetData>
      <sheetData sheetId="9193">
        <row r="2">
          <cell r="A2" t="str">
            <v>Complete</v>
          </cell>
        </row>
      </sheetData>
      <sheetData sheetId="9194">
        <row r="2">
          <cell r="A2" t="str">
            <v>Complete</v>
          </cell>
        </row>
      </sheetData>
      <sheetData sheetId="9195">
        <row r="2">
          <cell r="A2" t="str">
            <v>Complete</v>
          </cell>
        </row>
      </sheetData>
      <sheetData sheetId="9196">
        <row r="2">
          <cell r="A2" t="str">
            <v>Complete</v>
          </cell>
        </row>
      </sheetData>
      <sheetData sheetId="9197">
        <row r="2">
          <cell r="A2" t="str">
            <v>Complete</v>
          </cell>
        </row>
      </sheetData>
      <sheetData sheetId="9198">
        <row r="2">
          <cell r="A2" t="str">
            <v>Complete</v>
          </cell>
        </row>
      </sheetData>
      <sheetData sheetId="9199">
        <row r="2">
          <cell r="A2" t="str">
            <v>Complete</v>
          </cell>
        </row>
      </sheetData>
      <sheetData sheetId="9200">
        <row r="2">
          <cell r="A2" t="str">
            <v>Complete</v>
          </cell>
        </row>
      </sheetData>
      <sheetData sheetId="9201">
        <row r="2">
          <cell r="A2" t="str">
            <v>Complete</v>
          </cell>
        </row>
      </sheetData>
      <sheetData sheetId="9202">
        <row r="2">
          <cell r="A2" t="str">
            <v>Complete</v>
          </cell>
        </row>
      </sheetData>
      <sheetData sheetId="9203">
        <row r="2">
          <cell r="A2" t="str">
            <v>Complete</v>
          </cell>
        </row>
      </sheetData>
      <sheetData sheetId="9204">
        <row r="2">
          <cell r="A2" t="str">
            <v>Complete</v>
          </cell>
        </row>
      </sheetData>
      <sheetData sheetId="9205">
        <row r="2">
          <cell r="A2" t="str">
            <v>Complete</v>
          </cell>
        </row>
      </sheetData>
      <sheetData sheetId="9206">
        <row r="2">
          <cell r="A2" t="str">
            <v>Complete</v>
          </cell>
        </row>
      </sheetData>
      <sheetData sheetId="9207">
        <row r="2">
          <cell r="A2" t="str">
            <v>Complete</v>
          </cell>
        </row>
      </sheetData>
      <sheetData sheetId="9208">
        <row r="2">
          <cell r="A2" t="str">
            <v>Complete</v>
          </cell>
        </row>
      </sheetData>
      <sheetData sheetId="9209">
        <row r="2">
          <cell r="A2" t="str">
            <v>Complete</v>
          </cell>
        </row>
      </sheetData>
      <sheetData sheetId="9210">
        <row r="2">
          <cell r="A2" t="str">
            <v>Complete</v>
          </cell>
        </row>
      </sheetData>
      <sheetData sheetId="9211">
        <row r="2">
          <cell r="A2" t="str">
            <v>Complete</v>
          </cell>
        </row>
      </sheetData>
      <sheetData sheetId="9212">
        <row r="2">
          <cell r="A2" t="str">
            <v>Complete</v>
          </cell>
        </row>
      </sheetData>
      <sheetData sheetId="9213">
        <row r="2">
          <cell r="A2" t="str">
            <v>Complete</v>
          </cell>
        </row>
      </sheetData>
      <sheetData sheetId="9214">
        <row r="2">
          <cell r="A2" t="str">
            <v>Complete</v>
          </cell>
        </row>
      </sheetData>
      <sheetData sheetId="9215">
        <row r="2">
          <cell r="A2" t="str">
            <v>Complete</v>
          </cell>
        </row>
      </sheetData>
      <sheetData sheetId="9216">
        <row r="2">
          <cell r="A2" t="str">
            <v>Complete</v>
          </cell>
        </row>
      </sheetData>
      <sheetData sheetId="9217">
        <row r="2">
          <cell r="A2" t="str">
            <v>Complete</v>
          </cell>
        </row>
      </sheetData>
      <sheetData sheetId="9218">
        <row r="2">
          <cell r="A2" t="str">
            <v>Complete</v>
          </cell>
        </row>
      </sheetData>
      <sheetData sheetId="9219">
        <row r="2">
          <cell r="A2" t="str">
            <v>Complete</v>
          </cell>
        </row>
      </sheetData>
      <sheetData sheetId="9220">
        <row r="2">
          <cell r="A2" t="str">
            <v>Complete</v>
          </cell>
        </row>
      </sheetData>
      <sheetData sheetId="9221">
        <row r="2">
          <cell r="A2" t="str">
            <v>Complete</v>
          </cell>
        </row>
      </sheetData>
      <sheetData sheetId="9222">
        <row r="2">
          <cell r="A2" t="str">
            <v>Complete</v>
          </cell>
        </row>
      </sheetData>
      <sheetData sheetId="9223">
        <row r="2">
          <cell r="A2" t="str">
            <v>Complete</v>
          </cell>
        </row>
      </sheetData>
      <sheetData sheetId="9224">
        <row r="2">
          <cell r="A2" t="str">
            <v>Complete</v>
          </cell>
        </row>
      </sheetData>
      <sheetData sheetId="9225">
        <row r="2">
          <cell r="A2" t="str">
            <v>Complete</v>
          </cell>
        </row>
      </sheetData>
      <sheetData sheetId="9226">
        <row r="2">
          <cell r="A2" t="str">
            <v>Complete</v>
          </cell>
        </row>
      </sheetData>
      <sheetData sheetId="9227">
        <row r="2">
          <cell r="A2" t="str">
            <v>Complete</v>
          </cell>
        </row>
      </sheetData>
      <sheetData sheetId="9228">
        <row r="2">
          <cell r="A2" t="str">
            <v>Complete</v>
          </cell>
        </row>
      </sheetData>
      <sheetData sheetId="9229">
        <row r="2">
          <cell r="A2" t="str">
            <v>Complete</v>
          </cell>
        </row>
      </sheetData>
      <sheetData sheetId="9230">
        <row r="2">
          <cell r="A2" t="str">
            <v>Complete</v>
          </cell>
        </row>
      </sheetData>
      <sheetData sheetId="9231">
        <row r="2">
          <cell r="A2" t="str">
            <v>Complete</v>
          </cell>
        </row>
      </sheetData>
      <sheetData sheetId="9232">
        <row r="2">
          <cell r="A2" t="str">
            <v>Complete</v>
          </cell>
        </row>
      </sheetData>
      <sheetData sheetId="9233">
        <row r="2">
          <cell r="A2" t="str">
            <v>Complete</v>
          </cell>
        </row>
      </sheetData>
      <sheetData sheetId="9234">
        <row r="2">
          <cell r="A2" t="str">
            <v>Complete</v>
          </cell>
        </row>
      </sheetData>
      <sheetData sheetId="9235">
        <row r="2">
          <cell r="A2" t="str">
            <v>Complete</v>
          </cell>
        </row>
      </sheetData>
      <sheetData sheetId="9236">
        <row r="2">
          <cell r="A2" t="str">
            <v>Complete</v>
          </cell>
        </row>
      </sheetData>
      <sheetData sheetId="9237">
        <row r="2">
          <cell r="A2" t="str">
            <v>Complete</v>
          </cell>
        </row>
      </sheetData>
      <sheetData sheetId="9238">
        <row r="2">
          <cell r="A2" t="str">
            <v>Complete</v>
          </cell>
        </row>
      </sheetData>
      <sheetData sheetId="9239">
        <row r="2">
          <cell r="A2" t="str">
            <v>Complete</v>
          </cell>
        </row>
      </sheetData>
      <sheetData sheetId="9240">
        <row r="2">
          <cell r="A2" t="str">
            <v>Complete</v>
          </cell>
        </row>
      </sheetData>
      <sheetData sheetId="9241">
        <row r="2">
          <cell r="A2" t="str">
            <v>Complete</v>
          </cell>
        </row>
      </sheetData>
      <sheetData sheetId="9242">
        <row r="2">
          <cell r="A2" t="str">
            <v>Complete</v>
          </cell>
        </row>
      </sheetData>
      <sheetData sheetId="9243">
        <row r="2">
          <cell r="A2" t="str">
            <v>Complete</v>
          </cell>
        </row>
      </sheetData>
      <sheetData sheetId="9244">
        <row r="2">
          <cell r="A2">
            <v>43462</v>
          </cell>
        </row>
      </sheetData>
      <sheetData sheetId="9245">
        <row r="2">
          <cell r="A2">
            <v>43462</v>
          </cell>
        </row>
      </sheetData>
      <sheetData sheetId="9246">
        <row r="2">
          <cell r="A2">
            <v>43462</v>
          </cell>
        </row>
      </sheetData>
      <sheetData sheetId="9247">
        <row r="2">
          <cell r="A2">
            <v>43462</v>
          </cell>
        </row>
      </sheetData>
      <sheetData sheetId="9248">
        <row r="2">
          <cell r="A2">
            <v>43462</v>
          </cell>
        </row>
      </sheetData>
      <sheetData sheetId="9249">
        <row r="2">
          <cell r="A2">
            <v>43462</v>
          </cell>
        </row>
      </sheetData>
      <sheetData sheetId="9250">
        <row r="2">
          <cell r="A2">
            <v>43462</v>
          </cell>
        </row>
      </sheetData>
      <sheetData sheetId="9251">
        <row r="2">
          <cell r="A2">
            <v>43462</v>
          </cell>
        </row>
      </sheetData>
      <sheetData sheetId="9252">
        <row r="2">
          <cell r="A2">
            <v>43462</v>
          </cell>
        </row>
      </sheetData>
      <sheetData sheetId="9253">
        <row r="2">
          <cell r="A2">
            <v>43462</v>
          </cell>
        </row>
      </sheetData>
      <sheetData sheetId="9254">
        <row r="2">
          <cell r="A2">
            <v>43462</v>
          </cell>
        </row>
      </sheetData>
      <sheetData sheetId="9255">
        <row r="2">
          <cell r="A2">
            <v>43462</v>
          </cell>
        </row>
      </sheetData>
      <sheetData sheetId="9256">
        <row r="2">
          <cell r="A2">
            <v>43462</v>
          </cell>
        </row>
      </sheetData>
      <sheetData sheetId="9257">
        <row r="2">
          <cell r="A2">
            <v>43462</v>
          </cell>
        </row>
      </sheetData>
      <sheetData sheetId="9258">
        <row r="2">
          <cell r="A2">
            <v>43462</v>
          </cell>
        </row>
      </sheetData>
      <sheetData sheetId="9259">
        <row r="2">
          <cell r="A2">
            <v>43462</v>
          </cell>
        </row>
      </sheetData>
      <sheetData sheetId="9260">
        <row r="2">
          <cell r="A2">
            <v>43462</v>
          </cell>
        </row>
      </sheetData>
      <sheetData sheetId="9261">
        <row r="2">
          <cell r="A2">
            <v>43462</v>
          </cell>
        </row>
      </sheetData>
      <sheetData sheetId="9262">
        <row r="2">
          <cell r="A2">
            <v>43462</v>
          </cell>
        </row>
      </sheetData>
      <sheetData sheetId="9263">
        <row r="2">
          <cell r="A2">
            <v>43462</v>
          </cell>
        </row>
      </sheetData>
      <sheetData sheetId="9264">
        <row r="2">
          <cell r="A2" t="str">
            <v>Complete</v>
          </cell>
        </row>
      </sheetData>
      <sheetData sheetId="9265">
        <row r="2">
          <cell r="A2" t="str">
            <v>Complete</v>
          </cell>
        </row>
      </sheetData>
      <sheetData sheetId="9266">
        <row r="2">
          <cell r="A2" t="str">
            <v>Complete</v>
          </cell>
        </row>
      </sheetData>
      <sheetData sheetId="9267">
        <row r="2">
          <cell r="A2" t="str">
            <v>Complete</v>
          </cell>
        </row>
      </sheetData>
      <sheetData sheetId="9268">
        <row r="2">
          <cell r="A2" t="str">
            <v>Complete</v>
          </cell>
        </row>
      </sheetData>
      <sheetData sheetId="9269">
        <row r="2">
          <cell r="A2" t="str">
            <v>Complete</v>
          </cell>
        </row>
      </sheetData>
      <sheetData sheetId="9270">
        <row r="2">
          <cell r="A2" t="str">
            <v>Complete</v>
          </cell>
        </row>
      </sheetData>
      <sheetData sheetId="9271">
        <row r="2">
          <cell r="A2" t="str">
            <v>Complete</v>
          </cell>
        </row>
      </sheetData>
      <sheetData sheetId="9272">
        <row r="2">
          <cell r="A2" t="str">
            <v>Complete</v>
          </cell>
        </row>
      </sheetData>
      <sheetData sheetId="9273">
        <row r="2">
          <cell r="A2" t="str">
            <v>Complete</v>
          </cell>
        </row>
      </sheetData>
      <sheetData sheetId="9274">
        <row r="2">
          <cell r="A2" t="str">
            <v>Complete</v>
          </cell>
        </row>
      </sheetData>
      <sheetData sheetId="9275">
        <row r="2">
          <cell r="A2" t="str">
            <v>Complete</v>
          </cell>
        </row>
      </sheetData>
      <sheetData sheetId="9276">
        <row r="2">
          <cell r="A2" t="str">
            <v>Complete</v>
          </cell>
        </row>
      </sheetData>
      <sheetData sheetId="9277">
        <row r="2">
          <cell r="A2" t="str">
            <v>Complete</v>
          </cell>
        </row>
      </sheetData>
      <sheetData sheetId="9278">
        <row r="2">
          <cell r="A2" t="str">
            <v>Complete</v>
          </cell>
        </row>
      </sheetData>
      <sheetData sheetId="9279">
        <row r="2">
          <cell r="A2" t="str">
            <v>Complete</v>
          </cell>
        </row>
      </sheetData>
      <sheetData sheetId="9280">
        <row r="2">
          <cell r="A2" t="str">
            <v>Complete</v>
          </cell>
        </row>
      </sheetData>
      <sheetData sheetId="9281">
        <row r="2">
          <cell r="A2">
            <v>43462</v>
          </cell>
        </row>
      </sheetData>
      <sheetData sheetId="9282">
        <row r="2">
          <cell r="A2">
            <v>43462</v>
          </cell>
        </row>
      </sheetData>
      <sheetData sheetId="9283">
        <row r="2">
          <cell r="A2">
            <v>43462</v>
          </cell>
        </row>
      </sheetData>
      <sheetData sheetId="9284">
        <row r="2">
          <cell r="A2">
            <v>43462</v>
          </cell>
        </row>
      </sheetData>
      <sheetData sheetId="9285">
        <row r="2">
          <cell r="A2">
            <v>43462</v>
          </cell>
        </row>
      </sheetData>
      <sheetData sheetId="9286">
        <row r="2">
          <cell r="A2">
            <v>43462</v>
          </cell>
        </row>
      </sheetData>
      <sheetData sheetId="9287">
        <row r="2">
          <cell r="A2">
            <v>43462</v>
          </cell>
        </row>
      </sheetData>
      <sheetData sheetId="9288">
        <row r="2">
          <cell r="A2">
            <v>43462</v>
          </cell>
        </row>
      </sheetData>
      <sheetData sheetId="9289">
        <row r="2">
          <cell r="A2">
            <v>43462</v>
          </cell>
        </row>
      </sheetData>
      <sheetData sheetId="9290">
        <row r="2">
          <cell r="A2">
            <v>43462</v>
          </cell>
        </row>
      </sheetData>
      <sheetData sheetId="9291">
        <row r="2">
          <cell r="A2">
            <v>43462</v>
          </cell>
        </row>
      </sheetData>
      <sheetData sheetId="9292">
        <row r="2">
          <cell r="A2">
            <v>43462</v>
          </cell>
        </row>
      </sheetData>
      <sheetData sheetId="9293">
        <row r="2">
          <cell r="A2">
            <v>43462</v>
          </cell>
        </row>
      </sheetData>
      <sheetData sheetId="9294">
        <row r="2">
          <cell r="A2">
            <v>43462</v>
          </cell>
        </row>
      </sheetData>
      <sheetData sheetId="9295">
        <row r="2">
          <cell r="A2">
            <v>43462</v>
          </cell>
        </row>
      </sheetData>
      <sheetData sheetId="9296">
        <row r="2">
          <cell r="A2">
            <v>43462</v>
          </cell>
        </row>
      </sheetData>
      <sheetData sheetId="9297">
        <row r="2">
          <cell r="A2">
            <v>43462</v>
          </cell>
        </row>
      </sheetData>
      <sheetData sheetId="9298">
        <row r="2">
          <cell r="A2">
            <v>43462</v>
          </cell>
        </row>
      </sheetData>
      <sheetData sheetId="9299">
        <row r="2">
          <cell r="A2">
            <v>43462</v>
          </cell>
        </row>
      </sheetData>
      <sheetData sheetId="9300">
        <row r="2">
          <cell r="A2">
            <v>43462</v>
          </cell>
        </row>
      </sheetData>
      <sheetData sheetId="9301">
        <row r="2">
          <cell r="A2">
            <v>43462</v>
          </cell>
        </row>
      </sheetData>
      <sheetData sheetId="9302">
        <row r="2">
          <cell r="A2">
            <v>43462</v>
          </cell>
        </row>
      </sheetData>
      <sheetData sheetId="9303">
        <row r="2">
          <cell r="A2">
            <v>43462</v>
          </cell>
        </row>
      </sheetData>
      <sheetData sheetId="9304">
        <row r="2">
          <cell r="A2">
            <v>43462</v>
          </cell>
        </row>
      </sheetData>
      <sheetData sheetId="9305">
        <row r="2">
          <cell r="A2">
            <v>43462</v>
          </cell>
        </row>
      </sheetData>
      <sheetData sheetId="9306">
        <row r="2">
          <cell r="A2" t="str">
            <v>Complete</v>
          </cell>
        </row>
      </sheetData>
      <sheetData sheetId="9307">
        <row r="2">
          <cell r="A2" t="str">
            <v>Complete</v>
          </cell>
        </row>
      </sheetData>
      <sheetData sheetId="9308">
        <row r="2">
          <cell r="A2" t="str">
            <v>Complete</v>
          </cell>
        </row>
      </sheetData>
      <sheetData sheetId="9309">
        <row r="2">
          <cell r="A2" t="str">
            <v>Complete</v>
          </cell>
        </row>
      </sheetData>
      <sheetData sheetId="9310">
        <row r="2">
          <cell r="A2" t="str">
            <v>Complete</v>
          </cell>
        </row>
      </sheetData>
      <sheetData sheetId="9311">
        <row r="2">
          <cell r="A2" t="str">
            <v>Complete</v>
          </cell>
        </row>
      </sheetData>
      <sheetData sheetId="9312">
        <row r="2">
          <cell r="A2" t="str">
            <v>Complete</v>
          </cell>
        </row>
      </sheetData>
      <sheetData sheetId="9313">
        <row r="2">
          <cell r="A2" t="str">
            <v>Complete</v>
          </cell>
        </row>
      </sheetData>
      <sheetData sheetId="9314">
        <row r="2">
          <cell r="A2" t="str">
            <v>Complete</v>
          </cell>
        </row>
      </sheetData>
      <sheetData sheetId="9315">
        <row r="2">
          <cell r="A2" t="str">
            <v>Complete</v>
          </cell>
        </row>
      </sheetData>
      <sheetData sheetId="9316">
        <row r="2">
          <cell r="A2" t="str">
            <v>Complete</v>
          </cell>
        </row>
      </sheetData>
      <sheetData sheetId="9317">
        <row r="2">
          <cell r="A2" t="str">
            <v>Complete</v>
          </cell>
        </row>
      </sheetData>
      <sheetData sheetId="9318">
        <row r="2">
          <cell r="A2" t="str">
            <v>Complete</v>
          </cell>
        </row>
      </sheetData>
      <sheetData sheetId="9319">
        <row r="2">
          <cell r="A2" t="str">
            <v>Complete</v>
          </cell>
        </row>
      </sheetData>
      <sheetData sheetId="9320">
        <row r="2">
          <cell r="A2" t="str">
            <v>Complete</v>
          </cell>
        </row>
      </sheetData>
      <sheetData sheetId="9321">
        <row r="2">
          <cell r="A2" t="str">
            <v>Complete</v>
          </cell>
        </row>
      </sheetData>
      <sheetData sheetId="9322">
        <row r="2">
          <cell r="A2" t="str">
            <v>Complete</v>
          </cell>
        </row>
      </sheetData>
      <sheetData sheetId="9323">
        <row r="2">
          <cell r="A2">
            <v>43462</v>
          </cell>
        </row>
      </sheetData>
      <sheetData sheetId="9324">
        <row r="2">
          <cell r="A2">
            <v>43462</v>
          </cell>
        </row>
      </sheetData>
      <sheetData sheetId="9325">
        <row r="2">
          <cell r="A2">
            <v>43462</v>
          </cell>
        </row>
      </sheetData>
      <sheetData sheetId="9326">
        <row r="2">
          <cell r="A2">
            <v>43462</v>
          </cell>
        </row>
      </sheetData>
      <sheetData sheetId="9327">
        <row r="2">
          <cell r="A2">
            <v>43462</v>
          </cell>
        </row>
      </sheetData>
      <sheetData sheetId="9328">
        <row r="2">
          <cell r="A2">
            <v>43462</v>
          </cell>
        </row>
      </sheetData>
      <sheetData sheetId="9329">
        <row r="2">
          <cell r="A2">
            <v>43462</v>
          </cell>
        </row>
      </sheetData>
      <sheetData sheetId="9330">
        <row r="2">
          <cell r="A2">
            <v>43462</v>
          </cell>
        </row>
      </sheetData>
      <sheetData sheetId="9331">
        <row r="2">
          <cell r="A2">
            <v>43462</v>
          </cell>
        </row>
      </sheetData>
      <sheetData sheetId="9332">
        <row r="2">
          <cell r="A2">
            <v>43462</v>
          </cell>
        </row>
      </sheetData>
      <sheetData sheetId="9333">
        <row r="2">
          <cell r="A2">
            <v>43462</v>
          </cell>
        </row>
      </sheetData>
      <sheetData sheetId="9334">
        <row r="2">
          <cell r="A2">
            <v>43462</v>
          </cell>
        </row>
      </sheetData>
      <sheetData sheetId="9335">
        <row r="2">
          <cell r="A2">
            <v>43462</v>
          </cell>
        </row>
      </sheetData>
      <sheetData sheetId="9336">
        <row r="2">
          <cell r="A2">
            <v>43462</v>
          </cell>
        </row>
      </sheetData>
      <sheetData sheetId="9337">
        <row r="2">
          <cell r="A2">
            <v>43462</v>
          </cell>
        </row>
      </sheetData>
      <sheetData sheetId="9338">
        <row r="2">
          <cell r="A2">
            <v>43462</v>
          </cell>
        </row>
      </sheetData>
      <sheetData sheetId="9339">
        <row r="2">
          <cell r="A2">
            <v>43462</v>
          </cell>
        </row>
      </sheetData>
      <sheetData sheetId="9340">
        <row r="2">
          <cell r="A2">
            <v>43462</v>
          </cell>
        </row>
      </sheetData>
      <sheetData sheetId="9341">
        <row r="2">
          <cell r="A2">
            <v>43462</v>
          </cell>
        </row>
      </sheetData>
      <sheetData sheetId="9342">
        <row r="2">
          <cell r="A2">
            <v>43462</v>
          </cell>
        </row>
      </sheetData>
      <sheetData sheetId="9343">
        <row r="2">
          <cell r="A2">
            <v>43462</v>
          </cell>
        </row>
      </sheetData>
      <sheetData sheetId="9344">
        <row r="2">
          <cell r="A2">
            <v>43462</v>
          </cell>
        </row>
      </sheetData>
      <sheetData sheetId="9345">
        <row r="2">
          <cell r="A2">
            <v>43462</v>
          </cell>
        </row>
      </sheetData>
      <sheetData sheetId="9346">
        <row r="2">
          <cell r="A2" t="str">
            <v>Complete</v>
          </cell>
        </row>
      </sheetData>
      <sheetData sheetId="9347">
        <row r="2">
          <cell r="A2" t="str">
            <v>Complete</v>
          </cell>
        </row>
      </sheetData>
      <sheetData sheetId="9348">
        <row r="2">
          <cell r="A2" t="str">
            <v>Complete</v>
          </cell>
        </row>
      </sheetData>
      <sheetData sheetId="9349">
        <row r="2">
          <cell r="A2" t="str">
            <v>Complete</v>
          </cell>
        </row>
      </sheetData>
      <sheetData sheetId="9350">
        <row r="2">
          <cell r="A2" t="str">
            <v>Complete</v>
          </cell>
        </row>
      </sheetData>
      <sheetData sheetId="9351">
        <row r="2">
          <cell r="A2" t="str">
            <v>Complete</v>
          </cell>
        </row>
      </sheetData>
      <sheetData sheetId="9352">
        <row r="2">
          <cell r="A2" t="str">
            <v>Complete</v>
          </cell>
        </row>
      </sheetData>
      <sheetData sheetId="9353">
        <row r="2">
          <cell r="A2" t="str">
            <v>Complete</v>
          </cell>
        </row>
      </sheetData>
      <sheetData sheetId="9354">
        <row r="2">
          <cell r="A2" t="str">
            <v>Complete</v>
          </cell>
        </row>
      </sheetData>
      <sheetData sheetId="9355">
        <row r="2">
          <cell r="A2" t="str">
            <v>Complete</v>
          </cell>
        </row>
      </sheetData>
      <sheetData sheetId="9356">
        <row r="2">
          <cell r="A2" t="str">
            <v>Complete</v>
          </cell>
        </row>
      </sheetData>
      <sheetData sheetId="9357">
        <row r="2">
          <cell r="A2" t="str">
            <v>Complete</v>
          </cell>
        </row>
      </sheetData>
      <sheetData sheetId="9358">
        <row r="2">
          <cell r="A2" t="str">
            <v>Complete</v>
          </cell>
        </row>
      </sheetData>
      <sheetData sheetId="9359">
        <row r="2">
          <cell r="A2" t="str">
            <v>Complete</v>
          </cell>
        </row>
      </sheetData>
      <sheetData sheetId="9360">
        <row r="2">
          <cell r="A2" t="str">
            <v>Complete</v>
          </cell>
        </row>
      </sheetData>
      <sheetData sheetId="9361">
        <row r="2">
          <cell r="A2" t="str">
            <v>Complete</v>
          </cell>
        </row>
      </sheetData>
      <sheetData sheetId="9362">
        <row r="2">
          <cell r="A2" t="str">
            <v>Complete</v>
          </cell>
        </row>
      </sheetData>
      <sheetData sheetId="9363">
        <row r="2">
          <cell r="A2" t="str">
            <v>Complete</v>
          </cell>
        </row>
      </sheetData>
      <sheetData sheetId="9364">
        <row r="2">
          <cell r="A2">
            <v>43462</v>
          </cell>
        </row>
      </sheetData>
      <sheetData sheetId="9365">
        <row r="2">
          <cell r="A2">
            <v>43462</v>
          </cell>
        </row>
      </sheetData>
      <sheetData sheetId="9366">
        <row r="2">
          <cell r="A2">
            <v>43462</v>
          </cell>
        </row>
      </sheetData>
      <sheetData sheetId="9367">
        <row r="2">
          <cell r="A2">
            <v>43462</v>
          </cell>
        </row>
      </sheetData>
      <sheetData sheetId="9368">
        <row r="2">
          <cell r="A2">
            <v>43462</v>
          </cell>
        </row>
      </sheetData>
      <sheetData sheetId="9369">
        <row r="2">
          <cell r="A2">
            <v>43462</v>
          </cell>
        </row>
      </sheetData>
      <sheetData sheetId="9370">
        <row r="2">
          <cell r="A2">
            <v>43462</v>
          </cell>
        </row>
      </sheetData>
      <sheetData sheetId="9371">
        <row r="2">
          <cell r="A2">
            <v>43462</v>
          </cell>
        </row>
      </sheetData>
      <sheetData sheetId="9372">
        <row r="2">
          <cell r="A2">
            <v>43462</v>
          </cell>
        </row>
      </sheetData>
      <sheetData sheetId="9373">
        <row r="2">
          <cell r="A2">
            <v>43462</v>
          </cell>
        </row>
      </sheetData>
      <sheetData sheetId="9374">
        <row r="2">
          <cell r="A2">
            <v>43462</v>
          </cell>
        </row>
      </sheetData>
      <sheetData sheetId="9375">
        <row r="2">
          <cell r="A2">
            <v>43462</v>
          </cell>
        </row>
      </sheetData>
      <sheetData sheetId="9376">
        <row r="2">
          <cell r="A2">
            <v>43462</v>
          </cell>
        </row>
      </sheetData>
      <sheetData sheetId="9377">
        <row r="2">
          <cell r="A2">
            <v>43462</v>
          </cell>
        </row>
      </sheetData>
      <sheetData sheetId="9378">
        <row r="2">
          <cell r="A2">
            <v>43462</v>
          </cell>
        </row>
      </sheetData>
      <sheetData sheetId="9379">
        <row r="2">
          <cell r="A2">
            <v>43462</v>
          </cell>
        </row>
      </sheetData>
      <sheetData sheetId="9380">
        <row r="2">
          <cell r="A2">
            <v>43462</v>
          </cell>
        </row>
      </sheetData>
      <sheetData sheetId="9381">
        <row r="2">
          <cell r="A2">
            <v>43462</v>
          </cell>
        </row>
      </sheetData>
      <sheetData sheetId="9382">
        <row r="2">
          <cell r="A2">
            <v>43462</v>
          </cell>
        </row>
      </sheetData>
      <sheetData sheetId="9383">
        <row r="2">
          <cell r="A2">
            <v>43462</v>
          </cell>
        </row>
      </sheetData>
      <sheetData sheetId="9384">
        <row r="2">
          <cell r="A2">
            <v>43462</v>
          </cell>
        </row>
      </sheetData>
      <sheetData sheetId="9385">
        <row r="2">
          <cell r="A2">
            <v>43462</v>
          </cell>
        </row>
      </sheetData>
      <sheetData sheetId="9386">
        <row r="2">
          <cell r="A2">
            <v>43462</v>
          </cell>
        </row>
      </sheetData>
      <sheetData sheetId="9387">
        <row r="2">
          <cell r="A2" t="str">
            <v>Complete</v>
          </cell>
        </row>
      </sheetData>
      <sheetData sheetId="9388">
        <row r="2">
          <cell r="A2" t="str">
            <v>Complete</v>
          </cell>
        </row>
      </sheetData>
      <sheetData sheetId="9389">
        <row r="2">
          <cell r="A2" t="str">
            <v>Complete</v>
          </cell>
        </row>
      </sheetData>
      <sheetData sheetId="9390">
        <row r="2">
          <cell r="A2" t="str">
            <v>Complete</v>
          </cell>
        </row>
      </sheetData>
      <sheetData sheetId="9391">
        <row r="2">
          <cell r="A2" t="str">
            <v>Complete</v>
          </cell>
        </row>
      </sheetData>
      <sheetData sheetId="9392">
        <row r="2">
          <cell r="A2" t="str">
            <v>Complete</v>
          </cell>
        </row>
      </sheetData>
      <sheetData sheetId="9393">
        <row r="2">
          <cell r="A2" t="str">
            <v>Complete</v>
          </cell>
        </row>
      </sheetData>
      <sheetData sheetId="9394">
        <row r="2">
          <cell r="A2" t="str">
            <v>Complete</v>
          </cell>
        </row>
      </sheetData>
      <sheetData sheetId="9395">
        <row r="2">
          <cell r="A2" t="str">
            <v>Complete</v>
          </cell>
        </row>
      </sheetData>
      <sheetData sheetId="9396">
        <row r="2">
          <cell r="A2" t="str">
            <v>Complete</v>
          </cell>
        </row>
      </sheetData>
      <sheetData sheetId="9397">
        <row r="2">
          <cell r="A2" t="str">
            <v>Complete</v>
          </cell>
        </row>
      </sheetData>
      <sheetData sheetId="9398">
        <row r="2">
          <cell r="A2" t="str">
            <v>Complete</v>
          </cell>
        </row>
      </sheetData>
      <sheetData sheetId="9399">
        <row r="2">
          <cell r="A2" t="str">
            <v>Complete</v>
          </cell>
        </row>
      </sheetData>
      <sheetData sheetId="9400">
        <row r="2">
          <cell r="A2" t="str">
            <v>Complete</v>
          </cell>
        </row>
      </sheetData>
      <sheetData sheetId="9401">
        <row r="2">
          <cell r="A2" t="str">
            <v>Complete</v>
          </cell>
        </row>
      </sheetData>
      <sheetData sheetId="9402">
        <row r="2">
          <cell r="A2" t="str">
            <v>Complete</v>
          </cell>
        </row>
      </sheetData>
      <sheetData sheetId="9403">
        <row r="2">
          <cell r="A2" t="str">
            <v>Complete</v>
          </cell>
        </row>
      </sheetData>
      <sheetData sheetId="9404">
        <row r="2">
          <cell r="A2" t="str">
            <v>Complete</v>
          </cell>
        </row>
      </sheetData>
      <sheetData sheetId="9405">
        <row r="2">
          <cell r="A2" t="str">
            <v>Complete</v>
          </cell>
        </row>
      </sheetData>
      <sheetData sheetId="9406">
        <row r="2">
          <cell r="A2" t="str">
            <v>Complete</v>
          </cell>
        </row>
      </sheetData>
      <sheetData sheetId="9407">
        <row r="2">
          <cell r="A2" t="str">
            <v>Complete</v>
          </cell>
        </row>
      </sheetData>
      <sheetData sheetId="9408">
        <row r="2">
          <cell r="A2" t="str">
            <v>Complete</v>
          </cell>
        </row>
      </sheetData>
      <sheetData sheetId="9409">
        <row r="2">
          <cell r="A2" t="str">
            <v>Complete</v>
          </cell>
        </row>
      </sheetData>
      <sheetData sheetId="9410">
        <row r="2">
          <cell r="A2" t="str">
            <v>Complete</v>
          </cell>
        </row>
      </sheetData>
      <sheetData sheetId="9411">
        <row r="2">
          <cell r="A2" t="str">
            <v>Complete</v>
          </cell>
        </row>
      </sheetData>
      <sheetData sheetId="9412">
        <row r="2">
          <cell r="A2" t="str">
            <v>Complete</v>
          </cell>
        </row>
      </sheetData>
      <sheetData sheetId="9413">
        <row r="2">
          <cell r="A2" t="str">
            <v>Complete</v>
          </cell>
        </row>
      </sheetData>
      <sheetData sheetId="9414">
        <row r="2">
          <cell r="A2" t="str">
            <v>Complete</v>
          </cell>
        </row>
      </sheetData>
      <sheetData sheetId="9415">
        <row r="2">
          <cell r="A2" t="str">
            <v>Complete</v>
          </cell>
        </row>
      </sheetData>
      <sheetData sheetId="9416">
        <row r="2">
          <cell r="A2" t="str">
            <v>Complete</v>
          </cell>
        </row>
      </sheetData>
      <sheetData sheetId="9417">
        <row r="2">
          <cell r="A2" t="str">
            <v>Complete</v>
          </cell>
        </row>
      </sheetData>
      <sheetData sheetId="9418">
        <row r="2">
          <cell r="A2" t="str">
            <v>Complete</v>
          </cell>
        </row>
      </sheetData>
      <sheetData sheetId="9419">
        <row r="2">
          <cell r="A2" t="str">
            <v>Complete</v>
          </cell>
        </row>
      </sheetData>
      <sheetData sheetId="9420">
        <row r="2">
          <cell r="A2" t="str">
            <v>Complete</v>
          </cell>
        </row>
      </sheetData>
      <sheetData sheetId="9421">
        <row r="2">
          <cell r="A2" t="str">
            <v>Complete</v>
          </cell>
        </row>
      </sheetData>
      <sheetData sheetId="9422">
        <row r="2">
          <cell r="A2" t="str">
            <v>Complete</v>
          </cell>
        </row>
      </sheetData>
      <sheetData sheetId="9423">
        <row r="2">
          <cell r="A2" t="str">
            <v>Complete</v>
          </cell>
        </row>
      </sheetData>
      <sheetData sheetId="9424">
        <row r="2">
          <cell r="A2" t="str">
            <v>Complete</v>
          </cell>
        </row>
      </sheetData>
      <sheetData sheetId="9425">
        <row r="2">
          <cell r="A2" t="str">
            <v>Complete</v>
          </cell>
        </row>
      </sheetData>
      <sheetData sheetId="9426">
        <row r="2">
          <cell r="A2" t="str">
            <v>Complete</v>
          </cell>
        </row>
      </sheetData>
      <sheetData sheetId="9427">
        <row r="2">
          <cell r="A2" t="str">
            <v>Complete</v>
          </cell>
        </row>
      </sheetData>
      <sheetData sheetId="9428">
        <row r="2">
          <cell r="A2" t="str">
            <v>Complete</v>
          </cell>
        </row>
      </sheetData>
      <sheetData sheetId="9429">
        <row r="2">
          <cell r="A2">
            <v>43462</v>
          </cell>
        </row>
      </sheetData>
      <sheetData sheetId="9430">
        <row r="2">
          <cell r="A2">
            <v>43462</v>
          </cell>
        </row>
      </sheetData>
      <sheetData sheetId="9431">
        <row r="2">
          <cell r="A2">
            <v>43462</v>
          </cell>
        </row>
      </sheetData>
      <sheetData sheetId="9432">
        <row r="2">
          <cell r="A2">
            <v>43462</v>
          </cell>
        </row>
      </sheetData>
      <sheetData sheetId="9433">
        <row r="2">
          <cell r="A2">
            <v>43462</v>
          </cell>
        </row>
      </sheetData>
      <sheetData sheetId="9434">
        <row r="2">
          <cell r="A2">
            <v>43462</v>
          </cell>
        </row>
      </sheetData>
      <sheetData sheetId="9435">
        <row r="2">
          <cell r="A2">
            <v>43462</v>
          </cell>
        </row>
      </sheetData>
      <sheetData sheetId="9436">
        <row r="2">
          <cell r="A2">
            <v>43462</v>
          </cell>
        </row>
      </sheetData>
      <sheetData sheetId="9437">
        <row r="2">
          <cell r="A2">
            <v>43462</v>
          </cell>
        </row>
      </sheetData>
      <sheetData sheetId="9438">
        <row r="2">
          <cell r="A2">
            <v>43462</v>
          </cell>
        </row>
      </sheetData>
      <sheetData sheetId="9439">
        <row r="2">
          <cell r="A2">
            <v>43462</v>
          </cell>
        </row>
      </sheetData>
      <sheetData sheetId="9440">
        <row r="2">
          <cell r="A2">
            <v>43462</v>
          </cell>
        </row>
      </sheetData>
      <sheetData sheetId="9441">
        <row r="2">
          <cell r="A2">
            <v>43462</v>
          </cell>
        </row>
      </sheetData>
      <sheetData sheetId="9442">
        <row r="2">
          <cell r="A2">
            <v>43462</v>
          </cell>
        </row>
      </sheetData>
      <sheetData sheetId="9443">
        <row r="2">
          <cell r="A2">
            <v>43462</v>
          </cell>
        </row>
      </sheetData>
      <sheetData sheetId="9444">
        <row r="2">
          <cell r="A2">
            <v>43462</v>
          </cell>
        </row>
      </sheetData>
      <sheetData sheetId="9445">
        <row r="2">
          <cell r="A2">
            <v>43462</v>
          </cell>
        </row>
      </sheetData>
      <sheetData sheetId="9446">
        <row r="2">
          <cell r="A2">
            <v>43462</v>
          </cell>
        </row>
      </sheetData>
      <sheetData sheetId="9447">
        <row r="2">
          <cell r="A2">
            <v>43462</v>
          </cell>
        </row>
      </sheetData>
      <sheetData sheetId="9448">
        <row r="2">
          <cell r="A2">
            <v>43462</v>
          </cell>
        </row>
      </sheetData>
      <sheetData sheetId="9449">
        <row r="2">
          <cell r="A2">
            <v>43462</v>
          </cell>
        </row>
      </sheetData>
      <sheetData sheetId="9450">
        <row r="2">
          <cell r="A2">
            <v>43462</v>
          </cell>
        </row>
      </sheetData>
      <sheetData sheetId="9451">
        <row r="2">
          <cell r="A2">
            <v>43462</v>
          </cell>
        </row>
      </sheetData>
      <sheetData sheetId="9452">
        <row r="2">
          <cell r="A2">
            <v>43462</v>
          </cell>
        </row>
      </sheetData>
      <sheetData sheetId="9453">
        <row r="2">
          <cell r="A2">
            <v>43462</v>
          </cell>
        </row>
      </sheetData>
      <sheetData sheetId="9454">
        <row r="2">
          <cell r="A2">
            <v>43462</v>
          </cell>
        </row>
      </sheetData>
      <sheetData sheetId="9455">
        <row r="2">
          <cell r="A2">
            <v>43462</v>
          </cell>
        </row>
      </sheetData>
      <sheetData sheetId="9456">
        <row r="2">
          <cell r="A2">
            <v>43462</v>
          </cell>
        </row>
      </sheetData>
      <sheetData sheetId="9457">
        <row r="2">
          <cell r="A2">
            <v>43462</v>
          </cell>
        </row>
      </sheetData>
      <sheetData sheetId="9458">
        <row r="2">
          <cell r="A2">
            <v>43462</v>
          </cell>
        </row>
      </sheetData>
      <sheetData sheetId="9459">
        <row r="2">
          <cell r="A2">
            <v>43462</v>
          </cell>
        </row>
      </sheetData>
      <sheetData sheetId="9460">
        <row r="2">
          <cell r="A2">
            <v>43462</v>
          </cell>
        </row>
      </sheetData>
      <sheetData sheetId="9461">
        <row r="2">
          <cell r="A2">
            <v>43462</v>
          </cell>
        </row>
      </sheetData>
      <sheetData sheetId="9462">
        <row r="2">
          <cell r="A2">
            <v>43462</v>
          </cell>
        </row>
      </sheetData>
      <sheetData sheetId="9463">
        <row r="2">
          <cell r="A2">
            <v>43462</v>
          </cell>
        </row>
      </sheetData>
      <sheetData sheetId="9464">
        <row r="2">
          <cell r="A2">
            <v>43462</v>
          </cell>
        </row>
      </sheetData>
      <sheetData sheetId="9465">
        <row r="2">
          <cell r="A2">
            <v>43462</v>
          </cell>
        </row>
      </sheetData>
      <sheetData sheetId="9466">
        <row r="2">
          <cell r="A2">
            <v>43462</v>
          </cell>
        </row>
      </sheetData>
      <sheetData sheetId="9467">
        <row r="2">
          <cell r="A2">
            <v>43462</v>
          </cell>
        </row>
      </sheetData>
      <sheetData sheetId="9468">
        <row r="2">
          <cell r="A2">
            <v>43462</v>
          </cell>
        </row>
      </sheetData>
      <sheetData sheetId="9469">
        <row r="2">
          <cell r="A2">
            <v>43462</v>
          </cell>
        </row>
      </sheetData>
      <sheetData sheetId="9470">
        <row r="2">
          <cell r="A2" t="str">
            <v>Complete</v>
          </cell>
        </row>
      </sheetData>
      <sheetData sheetId="9471">
        <row r="2">
          <cell r="A2" t="str">
            <v>Complete</v>
          </cell>
        </row>
      </sheetData>
      <sheetData sheetId="9472">
        <row r="2">
          <cell r="A2" t="str">
            <v>Complete</v>
          </cell>
        </row>
      </sheetData>
      <sheetData sheetId="9473">
        <row r="2">
          <cell r="A2" t="str">
            <v>Complete</v>
          </cell>
        </row>
      </sheetData>
      <sheetData sheetId="9474">
        <row r="2">
          <cell r="A2" t="str">
            <v>Complete</v>
          </cell>
        </row>
      </sheetData>
      <sheetData sheetId="9475">
        <row r="2">
          <cell r="A2" t="str">
            <v>Complete</v>
          </cell>
        </row>
      </sheetData>
      <sheetData sheetId="9476">
        <row r="2">
          <cell r="A2" t="str">
            <v>Complete</v>
          </cell>
        </row>
      </sheetData>
      <sheetData sheetId="9477">
        <row r="2">
          <cell r="A2" t="str">
            <v>Complete</v>
          </cell>
        </row>
      </sheetData>
      <sheetData sheetId="9478">
        <row r="2">
          <cell r="A2" t="str">
            <v>Complete</v>
          </cell>
        </row>
      </sheetData>
      <sheetData sheetId="9479">
        <row r="2">
          <cell r="A2" t="str">
            <v>Complete</v>
          </cell>
        </row>
      </sheetData>
      <sheetData sheetId="9480">
        <row r="2">
          <cell r="A2" t="str">
            <v>Complete</v>
          </cell>
        </row>
      </sheetData>
      <sheetData sheetId="9481">
        <row r="2">
          <cell r="A2" t="str">
            <v>Complete</v>
          </cell>
        </row>
      </sheetData>
      <sheetData sheetId="9482">
        <row r="2">
          <cell r="A2" t="str">
            <v>Complete</v>
          </cell>
        </row>
      </sheetData>
      <sheetData sheetId="9483">
        <row r="2">
          <cell r="A2" t="str">
            <v>Complete</v>
          </cell>
        </row>
      </sheetData>
      <sheetData sheetId="9484">
        <row r="2">
          <cell r="A2" t="str">
            <v>Complete</v>
          </cell>
        </row>
      </sheetData>
      <sheetData sheetId="9485">
        <row r="2">
          <cell r="A2" t="str">
            <v>Complete</v>
          </cell>
        </row>
      </sheetData>
      <sheetData sheetId="9486">
        <row r="2">
          <cell r="A2" t="str">
            <v>Complete</v>
          </cell>
        </row>
      </sheetData>
      <sheetData sheetId="9487">
        <row r="2">
          <cell r="A2" t="str">
            <v>Complete</v>
          </cell>
        </row>
      </sheetData>
      <sheetData sheetId="9488">
        <row r="2">
          <cell r="A2" t="str">
            <v>Complete</v>
          </cell>
        </row>
      </sheetData>
      <sheetData sheetId="9489">
        <row r="2">
          <cell r="A2" t="str">
            <v>Complete</v>
          </cell>
        </row>
      </sheetData>
      <sheetData sheetId="9490">
        <row r="2">
          <cell r="A2" t="str">
            <v>Complete</v>
          </cell>
        </row>
      </sheetData>
      <sheetData sheetId="9491">
        <row r="2">
          <cell r="A2" t="str">
            <v>Complete</v>
          </cell>
        </row>
      </sheetData>
      <sheetData sheetId="9492">
        <row r="2">
          <cell r="A2" t="str">
            <v>Complete</v>
          </cell>
        </row>
      </sheetData>
      <sheetData sheetId="9493">
        <row r="2">
          <cell r="A2" t="str">
            <v>Complete</v>
          </cell>
        </row>
      </sheetData>
      <sheetData sheetId="9494">
        <row r="2">
          <cell r="A2" t="str">
            <v>Complete</v>
          </cell>
        </row>
      </sheetData>
      <sheetData sheetId="9495">
        <row r="2">
          <cell r="A2" t="str">
            <v>Complete</v>
          </cell>
        </row>
      </sheetData>
      <sheetData sheetId="9496">
        <row r="2">
          <cell r="A2" t="str">
            <v>Complete</v>
          </cell>
        </row>
      </sheetData>
      <sheetData sheetId="9497">
        <row r="2">
          <cell r="A2" t="str">
            <v>Complete</v>
          </cell>
        </row>
      </sheetData>
      <sheetData sheetId="9498">
        <row r="2">
          <cell r="A2" t="str">
            <v>Complete</v>
          </cell>
        </row>
      </sheetData>
      <sheetData sheetId="9499">
        <row r="2">
          <cell r="A2" t="str">
            <v>Complete</v>
          </cell>
        </row>
      </sheetData>
      <sheetData sheetId="9500">
        <row r="2">
          <cell r="A2" t="str">
            <v>Complete</v>
          </cell>
        </row>
      </sheetData>
      <sheetData sheetId="9501">
        <row r="2">
          <cell r="A2" t="str">
            <v>Complete</v>
          </cell>
        </row>
      </sheetData>
      <sheetData sheetId="9502">
        <row r="2">
          <cell r="A2" t="str">
            <v>Complete</v>
          </cell>
        </row>
      </sheetData>
      <sheetData sheetId="9503">
        <row r="2">
          <cell r="A2" t="str">
            <v>Complete</v>
          </cell>
        </row>
      </sheetData>
      <sheetData sheetId="9504">
        <row r="2">
          <cell r="A2" t="str">
            <v>Complete</v>
          </cell>
        </row>
      </sheetData>
      <sheetData sheetId="9505">
        <row r="2">
          <cell r="A2" t="str">
            <v>Complete</v>
          </cell>
        </row>
      </sheetData>
      <sheetData sheetId="9506">
        <row r="2">
          <cell r="A2" t="str">
            <v>Complete</v>
          </cell>
        </row>
      </sheetData>
      <sheetData sheetId="9507">
        <row r="2">
          <cell r="A2" t="str">
            <v>Complete</v>
          </cell>
        </row>
      </sheetData>
      <sheetData sheetId="9508">
        <row r="2">
          <cell r="A2" t="str">
            <v>Complete</v>
          </cell>
        </row>
      </sheetData>
      <sheetData sheetId="9509">
        <row r="2">
          <cell r="A2" t="str">
            <v>Complete</v>
          </cell>
        </row>
      </sheetData>
      <sheetData sheetId="9510">
        <row r="2">
          <cell r="A2" t="str">
            <v>Complete</v>
          </cell>
        </row>
      </sheetData>
      <sheetData sheetId="9511">
        <row r="2">
          <cell r="A2">
            <v>43462</v>
          </cell>
        </row>
      </sheetData>
      <sheetData sheetId="9512">
        <row r="2">
          <cell r="A2">
            <v>43462</v>
          </cell>
        </row>
      </sheetData>
      <sheetData sheetId="9513">
        <row r="2">
          <cell r="A2">
            <v>43462</v>
          </cell>
        </row>
      </sheetData>
      <sheetData sheetId="9514">
        <row r="2">
          <cell r="A2">
            <v>43462</v>
          </cell>
        </row>
      </sheetData>
      <sheetData sheetId="9515">
        <row r="2">
          <cell r="A2">
            <v>43462</v>
          </cell>
        </row>
      </sheetData>
      <sheetData sheetId="9516">
        <row r="2">
          <cell r="A2">
            <v>43462</v>
          </cell>
        </row>
      </sheetData>
      <sheetData sheetId="9517">
        <row r="2">
          <cell r="A2">
            <v>43462</v>
          </cell>
        </row>
      </sheetData>
      <sheetData sheetId="9518">
        <row r="2">
          <cell r="A2">
            <v>43462</v>
          </cell>
        </row>
      </sheetData>
      <sheetData sheetId="9519">
        <row r="2">
          <cell r="A2">
            <v>43462</v>
          </cell>
        </row>
      </sheetData>
      <sheetData sheetId="9520">
        <row r="2">
          <cell r="A2">
            <v>43462</v>
          </cell>
        </row>
      </sheetData>
      <sheetData sheetId="9521">
        <row r="2">
          <cell r="A2">
            <v>43462</v>
          </cell>
        </row>
      </sheetData>
      <sheetData sheetId="9522">
        <row r="2">
          <cell r="A2">
            <v>43462</v>
          </cell>
        </row>
      </sheetData>
      <sheetData sheetId="9523">
        <row r="2">
          <cell r="A2">
            <v>43462</v>
          </cell>
        </row>
      </sheetData>
      <sheetData sheetId="9524">
        <row r="2">
          <cell r="A2">
            <v>43462</v>
          </cell>
        </row>
      </sheetData>
      <sheetData sheetId="9525">
        <row r="2">
          <cell r="A2">
            <v>43462</v>
          </cell>
        </row>
      </sheetData>
      <sheetData sheetId="9526">
        <row r="2">
          <cell r="A2">
            <v>43462</v>
          </cell>
        </row>
      </sheetData>
      <sheetData sheetId="9527">
        <row r="2">
          <cell r="A2">
            <v>43462</v>
          </cell>
        </row>
      </sheetData>
      <sheetData sheetId="9528">
        <row r="2">
          <cell r="A2">
            <v>43462</v>
          </cell>
        </row>
      </sheetData>
      <sheetData sheetId="9529">
        <row r="2">
          <cell r="A2">
            <v>43462</v>
          </cell>
        </row>
      </sheetData>
      <sheetData sheetId="9530">
        <row r="2">
          <cell r="A2">
            <v>43462</v>
          </cell>
        </row>
      </sheetData>
      <sheetData sheetId="9531">
        <row r="2">
          <cell r="A2">
            <v>43462</v>
          </cell>
        </row>
      </sheetData>
      <sheetData sheetId="9532">
        <row r="2">
          <cell r="A2">
            <v>43462</v>
          </cell>
        </row>
      </sheetData>
      <sheetData sheetId="9533">
        <row r="2">
          <cell r="A2">
            <v>43462</v>
          </cell>
        </row>
      </sheetData>
      <sheetData sheetId="9534">
        <row r="2">
          <cell r="A2">
            <v>43462</v>
          </cell>
        </row>
      </sheetData>
      <sheetData sheetId="9535">
        <row r="2">
          <cell r="A2">
            <v>43462</v>
          </cell>
        </row>
      </sheetData>
      <sheetData sheetId="9536">
        <row r="2">
          <cell r="A2">
            <v>43462</v>
          </cell>
        </row>
      </sheetData>
      <sheetData sheetId="9537">
        <row r="2">
          <cell r="A2">
            <v>43462</v>
          </cell>
        </row>
      </sheetData>
      <sheetData sheetId="9538">
        <row r="2">
          <cell r="A2">
            <v>43462</v>
          </cell>
        </row>
      </sheetData>
      <sheetData sheetId="9539">
        <row r="2">
          <cell r="A2">
            <v>43462</v>
          </cell>
        </row>
      </sheetData>
      <sheetData sheetId="9540">
        <row r="2">
          <cell r="A2">
            <v>43462</v>
          </cell>
        </row>
      </sheetData>
      <sheetData sheetId="9541">
        <row r="2">
          <cell r="A2">
            <v>43462</v>
          </cell>
        </row>
      </sheetData>
      <sheetData sheetId="9542">
        <row r="2">
          <cell r="A2">
            <v>43462</v>
          </cell>
        </row>
      </sheetData>
      <sheetData sheetId="9543">
        <row r="2">
          <cell r="A2">
            <v>43462</v>
          </cell>
        </row>
      </sheetData>
      <sheetData sheetId="9544">
        <row r="2">
          <cell r="A2">
            <v>43462</v>
          </cell>
        </row>
      </sheetData>
      <sheetData sheetId="9545">
        <row r="2">
          <cell r="A2">
            <v>43462</v>
          </cell>
        </row>
      </sheetData>
      <sheetData sheetId="9546">
        <row r="2">
          <cell r="A2">
            <v>43462</v>
          </cell>
        </row>
      </sheetData>
      <sheetData sheetId="9547">
        <row r="2">
          <cell r="A2">
            <v>43462</v>
          </cell>
        </row>
      </sheetData>
      <sheetData sheetId="9548">
        <row r="2">
          <cell r="A2">
            <v>43462</v>
          </cell>
        </row>
      </sheetData>
      <sheetData sheetId="9549">
        <row r="2">
          <cell r="A2">
            <v>43462</v>
          </cell>
        </row>
      </sheetData>
      <sheetData sheetId="9550">
        <row r="2">
          <cell r="A2">
            <v>43462</v>
          </cell>
        </row>
      </sheetData>
      <sheetData sheetId="9551">
        <row r="2">
          <cell r="A2" t="str">
            <v>Complete</v>
          </cell>
        </row>
      </sheetData>
      <sheetData sheetId="9552">
        <row r="2">
          <cell r="A2" t="str">
            <v>Complete</v>
          </cell>
        </row>
      </sheetData>
      <sheetData sheetId="9553">
        <row r="2">
          <cell r="A2" t="str">
            <v>Complete</v>
          </cell>
        </row>
      </sheetData>
      <sheetData sheetId="9554">
        <row r="2">
          <cell r="A2" t="str">
            <v>Complete</v>
          </cell>
        </row>
      </sheetData>
      <sheetData sheetId="9555">
        <row r="2">
          <cell r="A2" t="str">
            <v>Complete</v>
          </cell>
        </row>
      </sheetData>
      <sheetData sheetId="9556">
        <row r="2">
          <cell r="A2" t="str">
            <v>Complete</v>
          </cell>
        </row>
      </sheetData>
      <sheetData sheetId="9557">
        <row r="2">
          <cell r="A2" t="str">
            <v>Complete</v>
          </cell>
        </row>
      </sheetData>
      <sheetData sheetId="9558">
        <row r="2">
          <cell r="A2" t="str">
            <v>Complete</v>
          </cell>
        </row>
      </sheetData>
      <sheetData sheetId="9559">
        <row r="2">
          <cell r="A2" t="str">
            <v>Complete</v>
          </cell>
        </row>
      </sheetData>
      <sheetData sheetId="9560">
        <row r="2">
          <cell r="A2" t="str">
            <v>Complete</v>
          </cell>
        </row>
      </sheetData>
      <sheetData sheetId="9561">
        <row r="2">
          <cell r="A2" t="str">
            <v>Complete</v>
          </cell>
        </row>
      </sheetData>
      <sheetData sheetId="9562">
        <row r="2">
          <cell r="A2" t="str">
            <v>Complete</v>
          </cell>
        </row>
      </sheetData>
      <sheetData sheetId="9563">
        <row r="2">
          <cell r="A2" t="str">
            <v>Complete</v>
          </cell>
        </row>
      </sheetData>
      <sheetData sheetId="9564">
        <row r="2">
          <cell r="A2" t="str">
            <v>Complete</v>
          </cell>
        </row>
      </sheetData>
      <sheetData sheetId="9565">
        <row r="2">
          <cell r="A2" t="str">
            <v>Complete</v>
          </cell>
        </row>
      </sheetData>
      <sheetData sheetId="9566">
        <row r="2">
          <cell r="A2" t="str">
            <v>Complete</v>
          </cell>
        </row>
      </sheetData>
      <sheetData sheetId="9567">
        <row r="2">
          <cell r="A2" t="str">
            <v>Complete</v>
          </cell>
        </row>
      </sheetData>
      <sheetData sheetId="9568">
        <row r="2">
          <cell r="A2" t="str">
            <v>Complete</v>
          </cell>
        </row>
      </sheetData>
      <sheetData sheetId="9569">
        <row r="2">
          <cell r="A2" t="str">
            <v>Complete</v>
          </cell>
        </row>
      </sheetData>
      <sheetData sheetId="9570">
        <row r="2">
          <cell r="A2" t="str">
            <v>Complete</v>
          </cell>
        </row>
      </sheetData>
      <sheetData sheetId="9571">
        <row r="2">
          <cell r="A2" t="str">
            <v>Complete</v>
          </cell>
        </row>
      </sheetData>
      <sheetData sheetId="9572">
        <row r="2">
          <cell r="A2" t="str">
            <v>Complete</v>
          </cell>
        </row>
      </sheetData>
      <sheetData sheetId="9573">
        <row r="2">
          <cell r="A2" t="str">
            <v>Complete</v>
          </cell>
        </row>
      </sheetData>
      <sheetData sheetId="9574">
        <row r="2">
          <cell r="A2" t="str">
            <v>Complete</v>
          </cell>
        </row>
      </sheetData>
      <sheetData sheetId="9575">
        <row r="2">
          <cell r="A2" t="str">
            <v>Complete</v>
          </cell>
        </row>
      </sheetData>
      <sheetData sheetId="9576">
        <row r="2">
          <cell r="A2" t="str">
            <v>Complete</v>
          </cell>
        </row>
      </sheetData>
      <sheetData sheetId="9577">
        <row r="2">
          <cell r="A2" t="str">
            <v>Complete</v>
          </cell>
        </row>
      </sheetData>
      <sheetData sheetId="9578">
        <row r="2">
          <cell r="A2" t="str">
            <v>Complete</v>
          </cell>
        </row>
      </sheetData>
      <sheetData sheetId="9579">
        <row r="2">
          <cell r="A2" t="str">
            <v>Complete</v>
          </cell>
        </row>
      </sheetData>
      <sheetData sheetId="9580">
        <row r="2">
          <cell r="A2" t="str">
            <v>Complete</v>
          </cell>
        </row>
      </sheetData>
      <sheetData sheetId="9581">
        <row r="2">
          <cell r="A2" t="str">
            <v>Complete</v>
          </cell>
        </row>
      </sheetData>
      <sheetData sheetId="9582">
        <row r="2">
          <cell r="A2" t="str">
            <v>Complete</v>
          </cell>
        </row>
      </sheetData>
      <sheetData sheetId="9583">
        <row r="2">
          <cell r="A2" t="str">
            <v>Complete</v>
          </cell>
        </row>
      </sheetData>
      <sheetData sheetId="9584">
        <row r="2">
          <cell r="A2" t="str">
            <v>Complete</v>
          </cell>
        </row>
      </sheetData>
      <sheetData sheetId="9585">
        <row r="2">
          <cell r="A2" t="str">
            <v>Complete</v>
          </cell>
        </row>
      </sheetData>
      <sheetData sheetId="9586">
        <row r="2">
          <cell r="A2" t="str">
            <v>Complete</v>
          </cell>
        </row>
      </sheetData>
      <sheetData sheetId="9587">
        <row r="2">
          <cell r="A2" t="str">
            <v>Complete</v>
          </cell>
        </row>
      </sheetData>
      <sheetData sheetId="9588">
        <row r="2">
          <cell r="A2" t="str">
            <v>Complete</v>
          </cell>
        </row>
      </sheetData>
      <sheetData sheetId="9589">
        <row r="2">
          <cell r="A2" t="str">
            <v>Complete</v>
          </cell>
        </row>
      </sheetData>
      <sheetData sheetId="9590">
        <row r="2">
          <cell r="A2" t="str">
            <v>Complete</v>
          </cell>
        </row>
      </sheetData>
      <sheetData sheetId="9591">
        <row r="2">
          <cell r="A2" t="str">
            <v>Complete</v>
          </cell>
        </row>
      </sheetData>
      <sheetData sheetId="9592">
        <row r="2">
          <cell r="A2" t="str">
            <v>Complete</v>
          </cell>
        </row>
      </sheetData>
      <sheetData sheetId="9593">
        <row r="2">
          <cell r="A2" t="str">
            <v>Complete</v>
          </cell>
        </row>
      </sheetData>
      <sheetData sheetId="9594">
        <row r="2">
          <cell r="A2" t="str">
            <v>Complete</v>
          </cell>
        </row>
      </sheetData>
      <sheetData sheetId="9595">
        <row r="2">
          <cell r="A2" t="str">
            <v>Complete</v>
          </cell>
        </row>
      </sheetData>
      <sheetData sheetId="9596">
        <row r="2">
          <cell r="A2" t="str">
            <v>Complete</v>
          </cell>
        </row>
      </sheetData>
      <sheetData sheetId="9597">
        <row r="2">
          <cell r="A2" t="str">
            <v>Complete</v>
          </cell>
        </row>
      </sheetData>
      <sheetData sheetId="9598">
        <row r="2">
          <cell r="A2" t="str">
            <v>Complete</v>
          </cell>
        </row>
      </sheetData>
      <sheetData sheetId="9599">
        <row r="2">
          <cell r="A2" t="str">
            <v>Complete</v>
          </cell>
        </row>
      </sheetData>
      <sheetData sheetId="9600">
        <row r="2">
          <cell r="A2" t="str">
            <v>Complete</v>
          </cell>
        </row>
      </sheetData>
      <sheetData sheetId="9601">
        <row r="2">
          <cell r="A2" t="str">
            <v>Complete</v>
          </cell>
        </row>
      </sheetData>
      <sheetData sheetId="9602">
        <row r="2">
          <cell r="A2" t="str">
            <v>Complete</v>
          </cell>
        </row>
      </sheetData>
      <sheetData sheetId="9603">
        <row r="2">
          <cell r="A2" t="str">
            <v>Complete</v>
          </cell>
        </row>
      </sheetData>
      <sheetData sheetId="9604">
        <row r="2">
          <cell r="A2" t="str">
            <v>Complete</v>
          </cell>
        </row>
      </sheetData>
      <sheetData sheetId="9605">
        <row r="2">
          <cell r="A2" t="str">
            <v>Complete</v>
          </cell>
        </row>
      </sheetData>
      <sheetData sheetId="9606">
        <row r="2">
          <cell r="A2" t="str">
            <v>Complete</v>
          </cell>
        </row>
      </sheetData>
      <sheetData sheetId="9607">
        <row r="2">
          <cell r="A2" t="str">
            <v>Complete</v>
          </cell>
        </row>
      </sheetData>
      <sheetData sheetId="9608">
        <row r="2">
          <cell r="A2" t="str">
            <v>Complete</v>
          </cell>
        </row>
      </sheetData>
      <sheetData sheetId="9609">
        <row r="2">
          <cell r="A2" t="str">
            <v>Complete</v>
          </cell>
        </row>
      </sheetData>
      <sheetData sheetId="9610">
        <row r="2">
          <cell r="A2" t="str">
            <v>Complete</v>
          </cell>
        </row>
      </sheetData>
      <sheetData sheetId="9611">
        <row r="2">
          <cell r="A2" t="str">
            <v>Complete</v>
          </cell>
        </row>
      </sheetData>
      <sheetData sheetId="9612">
        <row r="2">
          <cell r="A2" t="str">
            <v>Complete</v>
          </cell>
        </row>
      </sheetData>
      <sheetData sheetId="9613">
        <row r="2">
          <cell r="A2" t="str">
            <v>Complete</v>
          </cell>
        </row>
      </sheetData>
      <sheetData sheetId="9614">
        <row r="2">
          <cell r="A2" t="str">
            <v>Complete</v>
          </cell>
        </row>
      </sheetData>
      <sheetData sheetId="9615">
        <row r="2">
          <cell r="A2" t="str">
            <v>Complete</v>
          </cell>
        </row>
      </sheetData>
      <sheetData sheetId="9616">
        <row r="2">
          <cell r="A2" t="str">
            <v>Complete</v>
          </cell>
        </row>
      </sheetData>
      <sheetData sheetId="9617">
        <row r="2">
          <cell r="A2" t="str">
            <v>Complete</v>
          </cell>
        </row>
      </sheetData>
      <sheetData sheetId="9618">
        <row r="2">
          <cell r="A2" t="str">
            <v>Complete</v>
          </cell>
        </row>
      </sheetData>
      <sheetData sheetId="9619">
        <row r="2">
          <cell r="A2" t="str">
            <v>Complete</v>
          </cell>
        </row>
      </sheetData>
      <sheetData sheetId="9620">
        <row r="2">
          <cell r="A2" t="str">
            <v>Complete</v>
          </cell>
        </row>
      </sheetData>
      <sheetData sheetId="9621">
        <row r="2">
          <cell r="A2" t="str">
            <v>Complete</v>
          </cell>
        </row>
      </sheetData>
      <sheetData sheetId="9622">
        <row r="2">
          <cell r="A2" t="str">
            <v>Complete</v>
          </cell>
        </row>
      </sheetData>
      <sheetData sheetId="9623">
        <row r="2">
          <cell r="A2" t="str">
            <v>Complete</v>
          </cell>
        </row>
      </sheetData>
      <sheetData sheetId="9624">
        <row r="2">
          <cell r="A2" t="str">
            <v>Complete</v>
          </cell>
        </row>
      </sheetData>
      <sheetData sheetId="9625">
        <row r="2">
          <cell r="A2" t="str">
            <v>Complete</v>
          </cell>
        </row>
      </sheetData>
      <sheetData sheetId="9626">
        <row r="2">
          <cell r="A2" t="str">
            <v>Complete</v>
          </cell>
        </row>
      </sheetData>
      <sheetData sheetId="9627">
        <row r="2">
          <cell r="A2" t="str">
            <v>Complete</v>
          </cell>
        </row>
      </sheetData>
      <sheetData sheetId="9628">
        <row r="2">
          <cell r="A2">
            <v>43462</v>
          </cell>
        </row>
      </sheetData>
      <sheetData sheetId="9629">
        <row r="2">
          <cell r="A2">
            <v>43462</v>
          </cell>
        </row>
      </sheetData>
      <sheetData sheetId="9630">
        <row r="2">
          <cell r="A2">
            <v>43462</v>
          </cell>
        </row>
      </sheetData>
      <sheetData sheetId="9631">
        <row r="2">
          <cell r="A2">
            <v>43462</v>
          </cell>
        </row>
      </sheetData>
      <sheetData sheetId="9632">
        <row r="2">
          <cell r="A2">
            <v>43462</v>
          </cell>
        </row>
      </sheetData>
      <sheetData sheetId="9633">
        <row r="2">
          <cell r="A2">
            <v>43462</v>
          </cell>
        </row>
      </sheetData>
      <sheetData sheetId="9634">
        <row r="2">
          <cell r="A2">
            <v>43462</v>
          </cell>
        </row>
      </sheetData>
      <sheetData sheetId="9635">
        <row r="2">
          <cell r="A2">
            <v>43462</v>
          </cell>
        </row>
      </sheetData>
      <sheetData sheetId="9636">
        <row r="2">
          <cell r="A2">
            <v>43462</v>
          </cell>
        </row>
      </sheetData>
      <sheetData sheetId="9637">
        <row r="2">
          <cell r="A2">
            <v>43462</v>
          </cell>
        </row>
      </sheetData>
      <sheetData sheetId="9638">
        <row r="2">
          <cell r="A2">
            <v>43462</v>
          </cell>
        </row>
      </sheetData>
      <sheetData sheetId="9639">
        <row r="2">
          <cell r="A2">
            <v>43462</v>
          </cell>
        </row>
      </sheetData>
      <sheetData sheetId="9640">
        <row r="2">
          <cell r="A2">
            <v>43462</v>
          </cell>
        </row>
      </sheetData>
      <sheetData sheetId="9641">
        <row r="2">
          <cell r="A2">
            <v>43462</v>
          </cell>
        </row>
      </sheetData>
      <sheetData sheetId="9642">
        <row r="2">
          <cell r="A2">
            <v>43462</v>
          </cell>
        </row>
      </sheetData>
      <sheetData sheetId="9643">
        <row r="2">
          <cell r="A2">
            <v>43462</v>
          </cell>
        </row>
      </sheetData>
      <sheetData sheetId="9644">
        <row r="2">
          <cell r="A2">
            <v>43462</v>
          </cell>
        </row>
      </sheetData>
      <sheetData sheetId="9645">
        <row r="2">
          <cell r="A2">
            <v>43462</v>
          </cell>
        </row>
      </sheetData>
      <sheetData sheetId="9646">
        <row r="2">
          <cell r="A2">
            <v>43462</v>
          </cell>
        </row>
      </sheetData>
      <sheetData sheetId="9647">
        <row r="2">
          <cell r="A2">
            <v>43462</v>
          </cell>
        </row>
      </sheetData>
      <sheetData sheetId="9648">
        <row r="2">
          <cell r="A2">
            <v>43462</v>
          </cell>
        </row>
      </sheetData>
      <sheetData sheetId="9649">
        <row r="2">
          <cell r="A2">
            <v>43462</v>
          </cell>
        </row>
      </sheetData>
      <sheetData sheetId="9650">
        <row r="2">
          <cell r="A2">
            <v>43462</v>
          </cell>
        </row>
      </sheetData>
      <sheetData sheetId="9651">
        <row r="2">
          <cell r="A2">
            <v>43462</v>
          </cell>
        </row>
      </sheetData>
      <sheetData sheetId="9652">
        <row r="2">
          <cell r="A2">
            <v>43462</v>
          </cell>
        </row>
      </sheetData>
      <sheetData sheetId="9653">
        <row r="2">
          <cell r="A2">
            <v>43462</v>
          </cell>
        </row>
      </sheetData>
      <sheetData sheetId="9654">
        <row r="2">
          <cell r="A2">
            <v>43462</v>
          </cell>
        </row>
      </sheetData>
      <sheetData sheetId="9655">
        <row r="2">
          <cell r="A2">
            <v>43462</v>
          </cell>
        </row>
      </sheetData>
      <sheetData sheetId="9656">
        <row r="2">
          <cell r="A2">
            <v>43462</v>
          </cell>
        </row>
      </sheetData>
      <sheetData sheetId="9657">
        <row r="2">
          <cell r="A2">
            <v>43462</v>
          </cell>
        </row>
      </sheetData>
      <sheetData sheetId="9658">
        <row r="2">
          <cell r="A2">
            <v>43462</v>
          </cell>
        </row>
      </sheetData>
      <sheetData sheetId="9659">
        <row r="2">
          <cell r="A2">
            <v>43462</v>
          </cell>
        </row>
      </sheetData>
      <sheetData sheetId="9660">
        <row r="2">
          <cell r="A2">
            <v>43462</v>
          </cell>
        </row>
      </sheetData>
      <sheetData sheetId="9661">
        <row r="2">
          <cell r="A2">
            <v>43462</v>
          </cell>
        </row>
      </sheetData>
      <sheetData sheetId="9662">
        <row r="2">
          <cell r="A2">
            <v>43462</v>
          </cell>
        </row>
      </sheetData>
      <sheetData sheetId="9663">
        <row r="2">
          <cell r="A2">
            <v>43462</v>
          </cell>
        </row>
      </sheetData>
      <sheetData sheetId="9664">
        <row r="2">
          <cell r="A2">
            <v>43462</v>
          </cell>
        </row>
      </sheetData>
      <sheetData sheetId="9665">
        <row r="2">
          <cell r="A2">
            <v>43462</v>
          </cell>
        </row>
      </sheetData>
      <sheetData sheetId="9666">
        <row r="2">
          <cell r="A2">
            <v>43462</v>
          </cell>
        </row>
      </sheetData>
      <sheetData sheetId="9667">
        <row r="2">
          <cell r="A2">
            <v>43462</v>
          </cell>
        </row>
      </sheetData>
      <sheetData sheetId="9668">
        <row r="2">
          <cell r="A2">
            <v>43462</v>
          </cell>
        </row>
      </sheetData>
      <sheetData sheetId="9669">
        <row r="2">
          <cell r="A2">
            <v>43462</v>
          </cell>
        </row>
      </sheetData>
      <sheetData sheetId="9670">
        <row r="2">
          <cell r="A2">
            <v>43462</v>
          </cell>
        </row>
      </sheetData>
      <sheetData sheetId="9671">
        <row r="2">
          <cell r="A2">
            <v>43462</v>
          </cell>
        </row>
      </sheetData>
      <sheetData sheetId="9672">
        <row r="2">
          <cell r="A2">
            <v>43462</v>
          </cell>
        </row>
      </sheetData>
      <sheetData sheetId="9673">
        <row r="2">
          <cell r="A2">
            <v>43462</v>
          </cell>
        </row>
      </sheetData>
      <sheetData sheetId="9674">
        <row r="2">
          <cell r="A2">
            <v>43462</v>
          </cell>
        </row>
      </sheetData>
      <sheetData sheetId="9675">
        <row r="2">
          <cell r="A2">
            <v>43462</v>
          </cell>
        </row>
      </sheetData>
      <sheetData sheetId="9676">
        <row r="2">
          <cell r="A2">
            <v>43462</v>
          </cell>
        </row>
      </sheetData>
      <sheetData sheetId="9677">
        <row r="2">
          <cell r="A2">
            <v>43462</v>
          </cell>
        </row>
      </sheetData>
      <sheetData sheetId="9678">
        <row r="2">
          <cell r="A2">
            <v>43462</v>
          </cell>
        </row>
      </sheetData>
      <sheetData sheetId="9679">
        <row r="2">
          <cell r="A2">
            <v>43462</v>
          </cell>
        </row>
      </sheetData>
      <sheetData sheetId="9680">
        <row r="2">
          <cell r="A2">
            <v>43462</v>
          </cell>
        </row>
      </sheetData>
      <sheetData sheetId="9681">
        <row r="2">
          <cell r="A2">
            <v>43462</v>
          </cell>
        </row>
      </sheetData>
      <sheetData sheetId="9682">
        <row r="2">
          <cell r="A2">
            <v>43462</v>
          </cell>
        </row>
      </sheetData>
      <sheetData sheetId="9683">
        <row r="2">
          <cell r="A2">
            <v>43462</v>
          </cell>
        </row>
      </sheetData>
      <sheetData sheetId="9684">
        <row r="2">
          <cell r="A2">
            <v>43462</v>
          </cell>
        </row>
      </sheetData>
      <sheetData sheetId="9685">
        <row r="2">
          <cell r="A2">
            <v>43462</v>
          </cell>
        </row>
      </sheetData>
      <sheetData sheetId="9686">
        <row r="2">
          <cell r="A2">
            <v>43462</v>
          </cell>
        </row>
      </sheetData>
      <sheetData sheetId="9687">
        <row r="2">
          <cell r="A2">
            <v>43462</v>
          </cell>
        </row>
      </sheetData>
      <sheetData sheetId="9688">
        <row r="2">
          <cell r="A2">
            <v>43462</v>
          </cell>
        </row>
      </sheetData>
      <sheetData sheetId="9689">
        <row r="2">
          <cell r="A2">
            <v>43462</v>
          </cell>
        </row>
      </sheetData>
      <sheetData sheetId="9690">
        <row r="2">
          <cell r="A2">
            <v>43462</v>
          </cell>
        </row>
      </sheetData>
      <sheetData sheetId="9691">
        <row r="2">
          <cell r="A2">
            <v>43462</v>
          </cell>
        </row>
      </sheetData>
      <sheetData sheetId="9692">
        <row r="2">
          <cell r="A2">
            <v>43462</v>
          </cell>
        </row>
      </sheetData>
      <sheetData sheetId="9693">
        <row r="2">
          <cell r="A2">
            <v>43462</v>
          </cell>
        </row>
      </sheetData>
      <sheetData sheetId="9694">
        <row r="2">
          <cell r="A2">
            <v>43462</v>
          </cell>
        </row>
      </sheetData>
      <sheetData sheetId="9695">
        <row r="2">
          <cell r="A2">
            <v>43462</v>
          </cell>
        </row>
      </sheetData>
      <sheetData sheetId="9696">
        <row r="2">
          <cell r="A2">
            <v>43462</v>
          </cell>
        </row>
      </sheetData>
      <sheetData sheetId="9697">
        <row r="2">
          <cell r="A2">
            <v>43462</v>
          </cell>
        </row>
      </sheetData>
      <sheetData sheetId="9698">
        <row r="2">
          <cell r="A2">
            <v>43462</v>
          </cell>
        </row>
      </sheetData>
      <sheetData sheetId="9699">
        <row r="2">
          <cell r="A2">
            <v>43462</v>
          </cell>
        </row>
      </sheetData>
      <sheetData sheetId="9700">
        <row r="2">
          <cell r="A2">
            <v>43462</v>
          </cell>
        </row>
      </sheetData>
      <sheetData sheetId="9701">
        <row r="2">
          <cell r="A2">
            <v>43462</v>
          </cell>
        </row>
      </sheetData>
      <sheetData sheetId="9702">
        <row r="2">
          <cell r="A2">
            <v>43462</v>
          </cell>
        </row>
      </sheetData>
      <sheetData sheetId="9703">
        <row r="2">
          <cell r="A2">
            <v>43462</v>
          </cell>
        </row>
      </sheetData>
      <sheetData sheetId="9704">
        <row r="2">
          <cell r="A2">
            <v>43462</v>
          </cell>
        </row>
      </sheetData>
      <sheetData sheetId="9705">
        <row r="2">
          <cell r="A2">
            <v>43462</v>
          </cell>
        </row>
      </sheetData>
      <sheetData sheetId="9706">
        <row r="2">
          <cell r="A2">
            <v>43462</v>
          </cell>
        </row>
      </sheetData>
      <sheetData sheetId="9707">
        <row r="2">
          <cell r="A2">
            <v>43462</v>
          </cell>
        </row>
      </sheetData>
      <sheetData sheetId="9708">
        <row r="2">
          <cell r="A2">
            <v>43462</v>
          </cell>
        </row>
      </sheetData>
      <sheetData sheetId="9709">
        <row r="2">
          <cell r="A2">
            <v>43462</v>
          </cell>
        </row>
      </sheetData>
      <sheetData sheetId="9710">
        <row r="2">
          <cell r="A2">
            <v>43462</v>
          </cell>
        </row>
      </sheetData>
      <sheetData sheetId="9711">
        <row r="2">
          <cell r="A2">
            <v>43462</v>
          </cell>
        </row>
      </sheetData>
      <sheetData sheetId="9712">
        <row r="2">
          <cell r="A2">
            <v>43462</v>
          </cell>
        </row>
      </sheetData>
      <sheetData sheetId="9713">
        <row r="2">
          <cell r="A2">
            <v>43462</v>
          </cell>
        </row>
      </sheetData>
      <sheetData sheetId="9714">
        <row r="2">
          <cell r="A2">
            <v>43462</v>
          </cell>
        </row>
      </sheetData>
      <sheetData sheetId="9715">
        <row r="2">
          <cell r="A2">
            <v>43462</v>
          </cell>
        </row>
      </sheetData>
      <sheetData sheetId="9716">
        <row r="2">
          <cell r="A2" t="str">
            <v>Complete</v>
          </cell>
        </row>
      </sheetData>
      <sheetData sheetId="9717">
        <row r="2">
          <cell r="A2" t="str">
            <v>Complete</v>
          </cell>
        </row>
      </sheetData>
      <sheetData sheetId="9718">
        <row r="2">
          <cell r="A2" t="str">
            <v>Complete</v>
          </cell>
        </row>
      </sheetData>
      <sheetData sheetId="9719">
        <row r="2">
          <cell r="A2" t="str">
            <v>Complete</v>
          </cell>
        </row>
      </sheetData>
      <sheetData sheetId="9720">
        <row r="2">
          <cell r="A2" t="str">
            <v>Complete</v>
          </cell>
        </row>
      </sheetData>
      <sheetData sheetId="9721">
        <row r="2">
          <cell r="A2" t="str">
            <v>Complete</v>
          </cell>
        </row>
      </sheetData>
      <sheetData sheetId="9722">
        <row r="2">
          <cell r="A2" t="str">
            <v>Complete</v>
          </cell>
        </row>
      </sheetData>
      <sheetData sheetId="9723">
        <row r="2">
          <cell r="A2" t="str">
            <v>Complete</v>
          </cell>
        </row>
      </sheetData>
      <sheetData sheetId="9724">
        <row r="2">
          <cell r="A2" t="str">
            <v>Complete</v>
          </cell>
        </row>
      </sheetData>
      <sheetData sheetId="9725">
        <row r="2">
          <cell r="A2" t="str">
            <v>Complete</v>
          </cell>
        </row>
      </sheetData>
      <sheetData sheetId="9726">
        <row r="2">
          <cell r="A2" t="str">
            <v>Complete</v>
          </cell>
        </row>
      </sheetData>
      <sheetData sheetId="9727">
        <row r="2">
          <cell r="A2" t="str">
            <v>Complete</v>
          </cell>
        </row>
      </sheetData>
      <sheetData sheetId="9728">
        <row r="2">
          <cell r="A2" t="str">
            <v>Complete</v>
          </cell>
        </row>
      </sheetData>
      <sheetData sheetId="9729">
        <row r="2">
          <cell r="A2" t="str">
            <v>Complete</v>
          </cell>
        </row>
      </sheetData>
      <sheetData sheetId="9730">
        <row r="2">
          <cell r="A2" t="str">
            <v>Complete</v>
          </cell>
        </row>
      </sheetData>
      <sheetData sheetId="9731">
        <row r="2">
          <cell r="A2" t="str">
            <v>Complete</v>
          </cell>
        </row>
      </sheetData>
      <sheetData sheetId="9732">
        <row r="2">
          <cell r="A2" t="str">
            <v>Complete</v>
          </cell>
        </row>
      </sheetData>
      <sheetData sheetId="9733">
        <row r="2">
          <cell r="A2" t="str">
            <v>Complete</v>
          </cell>
        </row>
      </sheetData>
      <sheetData sheetId="9734">
        <row r="2">
          <cell r="A2" t="str">
            <v>Complete</v>
          </cell>
        </row>
      </sheetData>
      <sheetData sheetId="9735">
        <row r="2">
          <cell r="A2" t="str">
            <v>Complete</v>
          </cell>
        </row>
      </sheetData>
      <sheetData sheetId="9736">
        <row r="2">
          <cell r="A2" t="str">
            <v>Complete</v>
          </cell>
        </row>
      </sheetData>
      <sheetData sheetId="9737">
        <row r="2">
          <cell r="A2" t="str">
            <v>Complete</v>
          </cell>
        </row>
      </sheetData>
      <sheetData sheetId="9738">
        <row r="2">
          <cell r="A2" t="str">
            <v>Complete</v>
          </cell>
        </row>
      </sheetData>
      <sheetData sheetId="9739">
        <row r="2">
          <cell r="A2" t="str">
            <v>Complete</v>
          </cell>
        </row>
      </sheetData>
      <sheetData sheetId="9740">
        <row r="2">
          <cell r="A2" t="str">
            <v>Complete</v>
          </cell>
        </row>
      </sheetData>
      <sheetData sheetId="9741">
        <row r="2">
          <cell r="A2" t="str">
            <v>Complete</v>
          </cell>
        </row>
      </sheetData>
      <sheetData sheetId="9742">
        <row r="2">
          <cell r="A2" t="str">
            <v>Complete</v>
          </cell>
        </row>
      </sheetData>
      <sheetData sheetId="9743">
        <row r="2">
          <cell r="A2" t="str">
            <v>Complete</v>
          </cell>
        </row>
      </sheetData>
      <sheetData sheetId="9744">
        <row r="2">
          <cell r="A2" t="str">
            <v>Complete</v>
          </cell>
        </row>
      </sheetData>
      <sheetData sheetId="9745">
        <row r="2">
          <cell r="A2" t="str">
            <v>Complete</v>
          </cell>
        </row>
      </sheetData>
      <sheetData sheetId="9746">
        <row r="2">
          <cell r="A2" t="str">
            <v>Complete</v>
          </cell>
        </row>
      </sheetData>
      <sheetData sheetId="9747">
        <row r="2">
          <cell r="A2" t="str">
            <v>Complete</v>
          </cell>
        </row>
      </sheetData>
      <sheetData sheetId="9748">
        <row r="2">
          <cell r="A2" t="str">
            <v>Complete</v>
          </cell>
        </row>
      </sheetData>
      <sheetData sheetId="9749">
        <row r="2">
          <cell r="A2" t="str">
            <v>Complete</v>
          </cell>
        </row>
      </sheetData>
      <sheetData sheetId="9750">
        <row r="2">
          <cell r="A2" t="str">
            <v>Complete</v>
          </cell>
        </row>
      </sheetData>
      <sheetData sheetId="9751">
        <row r="2">
          <cell r="A2" t="str">
            <v>Complete</v>
          </cell>
        </row>
      </sheetData>
      <sheetData sheetId="9752">
        <row r="2">
          <cell r="A2" t="str">
            <v>Complete</v>
          </cell>
        </row>
      </sheetData>
      <sheetData sheetId="9753">
        <row r="2">
          <cell r="A2" t="str">
            <v>Complete</v>
          </cell>
        </row>
      </sheetData>
      <sheetData sheetId="9754">
        <row r="2">
          <cell r="A2" t="str">
            <v>Complete</v>
          </cell>
        </row>
      </sheetData>
      <sheetData sheetId="9755">
        <row r="2">
          <cell r="A2" t="str">
            <v>Complete</v>
          </cell>
        </row>
      </sheetData>
      <sheetData sheetId="9756">
        <row r="2">
          <cell r="A2" t="str">
            <v>Complete</v>
          </cell>
        </row>
      </sheetData>
      <sheetData sheetId="9757">
        <row r="2">
          <cell r="A2" t="str">
            <v>Complete</v>
          </cell>
        </row>
      </sheetData>
      <sheetData sheetId="9758">
        <row r="2">
          <cell r="A2" t="str">
            <v>Complete</v>
          </cell>
        </row>
      </sheetData>
      <sheetData sheetId="9759">
        <row r="2">
          <cell r="A2" t="str">
            <v>Complete</v>
          </cell>
        </row>
      </sheetData>
      <sheetData sheetId="9760">
        <row r="2">
          <cell r="A2" t="str">
            <v>Complete</v>
          </cell>
        </row>
      </sheetData>
      <sheetData sheetId="9761">
        <row r="2">
          <cell r="A2" t="str">
            <v>Complete</v>
          </cell>
        </row>
      </sheetData>
      <sheetData sheetId="9762">
        <row r="2">
          <cell r="A2" t="str">
            <v>Complete</v>
          </cell>
        </row>
      </sheetData>
      <sheetData sheetId="9763">
        <row r="2">
          <cell r="A2" t="str">
            <v>Complete</v>
          </cell>
        </row>
      </sheetData>
      <sheetData sheetId="9764">
        <row r="2">
          <cell r="A2" t="str">
            <v>Complete</v>
          </cell>
        </row>
      </sheetData>
      <sheetData sheetId="9765">
        <row r="2">
          <cell r="A2" t="str">
            <v>Complete</v>
          </cell>
        </row>
      </sheetData>
      <sheetData sheetId="9766">
        <row r="2">
          <cell r="A2" t="str">
            <v>Complete</v>
          </cell>
        </row>
      </sheetData>
      <sheetData sheetId="9767">
        <row r="2">
          <cell r="A2" t="str">
            <v>Complete</v>
          </cell>
        </row>
      </sheetData>
      <sheetData sheetId="9768">
        <row r="2">
          <cell r="A2" t="str">
            <v>Complete</v>
          </cell>
        </row>
      </sheetData>
      <sheetData sheetId="9769">
        <row r="2">
          <cell r="A2" t="str">
            <v>Complete</v>
          </cell>
        </row>
      </sheetData>
      <sheetData sheetId="9770">
        <row r="2">
          <cell r="A2" t="str">
            <v>Complete</v>
          </cell>
        </row>
      </sheetData>
      <sheetData sheetId="9771">
        <row r="2">
          <cell r="A2" t="str">
            <v>Complete</v>
          </cell>
        </row>
      </sheetData>
      <sheetData sheetId="9772">
        <row r="2">
          <cell r="A2" t="str">
            <v>Complete</v>
          </cell>
        </row>
      </sheetData>
      <sheetData sheetId="9773">
        <row r="2">
          <cell r="A2">
            <v>43462</v>
          </cell>
        </row>
      </sheetData>
      <sheetData sheetId="9774">
        <row r="2">
          <cell r="A2">
            <v>43462</v>
          </cell>
        </row>
      </sheetData>
      <sheetData sheetId="9775">
        <row r="2">
          <cell r="A2">
            <v>43462</v>
          </cell>
        </row>
      </sheetData>
      <sheetData sheetId="9776">
        <row r="2">
          <cell r="A2">
            <v>43462</v>
          </cell>
        </row>
      </sheetData>
      <sheetData sheetId="9777">
        <row r="2">
          <cell r="A2">
            <v>43462</v>
          </cell>
        </row>
      </sheetData>
      <sheetData sheetId="9778">
        <row r="2">
          <cell r="A2">
            <v>43462</v>
          </cell>
        </row>
      </sheetData>
      <sheetData sheetId="9779">
        <row r="2">
          <cell r="A2">
            <v>43462</v>
          </cell>
        </row>
      </sheetData>
      <sheetData sheetId="9780">
        <row r="2">
          <cell r="A2">
            <v>43462</v>
          </cell>
        </row>
      </sheetData>
      <sheetData sheetId="9781">
        <row r="2">
          <cell r="A2">
            <v>43462</v>
          </cell>
        </row>
      </sheetData>
      <sheetData sheetId="9782">
        <row r="2">
          <cell r="A2">
            <v>43462</v>
          </cell>
        </row>
      </sheetData>
      <sheetData sheetId="9783">
        <row r="2">
          <cell r="A2">
            <v>43462</v>
          </cell>
        </row>
      </sheetData>
      <sheetData sheetId="9784">
        <row r="2">
          <cell r="A2">
            <v>43462</v>
          </cell>
        </row>
      </sheetData>
      <sheetData sheetId="9785">
        <row r="2">
          <cell r="A2">
            <v>43462</v>
          </cell>
        </row>
      </sheetData>
      <sheetData sheetId="9786">
        <row r="2">
          <cell r="A2">
            <v>43462</v>
          </cell>
        </row>
      </sheetData>
      <sheetData sheetId="9787">
        <row r="2">
          <cell r="A2">
            <v>43462</v>
          </cell>
        </row>
      </sheetData>
      <sheetData sheetId="9788">
        <row r="2">
          <cell r="A2">
            <v>43462</v>
          </cell>
        </row>
      </sheetData>
      <sheetData sheetId="9789">
        <row r="2">
          <cell r="A2">
            <v>43462</v>
          </cell>
        </row>
      </sheetData>
      <sheetData sheetId="9790">
        <row r="2">
          <cell r="A2">
            <v>43462</v>
          </cell>
        </row>
      </sheetData>
      <sheetData sheetId="9791">
        <row r="2">
          <cell r="A2">
            <v>43462</v>
          </cell>
        </row>
      </sheetData>
      <sheetData sheetId="9792">
        <row r="2">
          <cell r="A2">
            <v>43462</v>
          </cell>
        </row>
      </sheetData>
      <sheetData sheetId="9793">
        <row r="2">
          <cell r="A2">
            <v>43462</v>
          </cell>
        </row>
      </sheetData>
      <sheetData sheetId="9794">
        <row r="2">
          <cell r="A2">
            <v>43462</v>
          </cell>
        </row>
      </sheetData>
      <sheetData sheetId="9795">
        <row r="2">
          <cell r="A2">
            <v>43462</v>
          </cell>
        </row>
      </sheetData>
      <sheetData sheetId="9796">
        <row r="2">
          <cell r="A2">
            <v>43462</v>
          </cell>
        </row>
      </sheetData>
      <sheetData sheetId="9797">
        <row r="2">
          <cell r="A2">
            <v>43462</v>
          </cell>
        </row>
      </sheetData>
      <sheetData sheetId="9798">
        <row r="2">
          <cell r="A2">
            <v>43462</v>
          </cell>
        </row>
      </sheetData>
      <sheetData sheetId="9799">
        <row r="2">
          <cell r="A2">
            <v>43462</v>
          </cell>
        </row>
      </sheetData>
      <sheetData sheetId="9800">
        <row r="2">
          <cell r="A2">
            <v>43462</v>
          </cell>
        </row>
      </sheetData>
      <sheetData sheetId="9801">
        <row r="2">
          <cell r="A2">
            <v>43462</v>
          </cell>
        </row>
      </sheetData>
      <sheetData sheetId="9802">
        <row r="2">
          <cell r="A2">
            <v>43462</v>
          </cell>
        </row>
      </sheetData>
      <sheetData sheetId="9803">
        <row r="2">
          <cell r="A2">
            <v>43462</v>
          </cell>
        </row>
      </sheetData>
      <sheetData sheetId="9804">
        <row r="2">
          <cell r="A2">
            <v>43462</v>
          </cell>
        </row>
      </sheetData>
      <sheetData sheetId="9805">
        <row r="2">
          <cell r="A2">
            <v>43462</v>
          </cell>
        </row>
      </sheetData>
      <sheetData sheetId="9806">
        <row r="2">
          <cell r="A2">
            <v>43462</v>
          </cell>
        </row>
      </sheetData>
      <sheetData sheetId="9807">
        <row r="2">
          <cell r="A2">
            <v>43462</v>
          </cell>
        </row>
      </sheetData>
      <sheetData sheetId="9808">
        <row r="2">
          <cell r="A2">
            <v>43462</v>
          </cell>
        </row>
      </sheetData>
      <sheetData sheetId="9809">
        <row r="2">
          <cell r="A2">
            <v>43462</v>
          </cell>
        </row>
      </sheetData>
      <sheetData sheetId="9810">
        <row r="2">
          <cell r="A2">
            <v>43462</v>
          </cell>
        </row>
      </sheetData>
      <sheetData sheetId="9811">
        <row r="2">
          <cell r="A2">
            <v>43462</v>
          </cell>
        </row>
      </sheetData>
      <sheetData sheetId="9812">
        <row r="2">
          <cell r="A2">
            <v>43462</v>
          </cell>
        </row>
      </sheetData>
      <sheetData sheetId="9813">
        <row r="2">
          <cell r="A2">
            <v>43462</v>
          </cell>
        </row>
      </sheetData>
      <sheetData sheetId="9814">
        <row r="2">
          <cell r="A2">
            <v>43462</v>
          </cell>
        </row>
      </sheetData>
      <sheetData sheetId="9815">
        <row r="2">
          <cell r="A2">
            <v>43462</v>
          </cell>
        </row>
      </sheetData>
      <sheetData sheetId="9816">
        <row r="2">
          <cell r="A2">
            <v>43462</v>
          </cell>
        </row>
      </sheetData>
      <sheetData sheetId="9817">
        <row r="2">
          <cell r="A2">
            <v>43462</v>
          </cell>
        </row>
      </sheetData>
      <sheetData sheetId="9818">
        <row r="2">
          <cell r="A2">
            <v>43462</v>
          </cell>
        </row>
      </sheetData>
      <sheetData sheetId="9819">
        <row r="2">
          <cell r="A2">
            <v>43462</v>
          </cell>
        </row>
      </sheetData>
      <sheetData sheetId="9820">
        <row r="2">
          <cell r="A2">
            <v>43462</v>
          </cell>
        </row>
      </sheetData>
      <sheetData sheetId="9821">
        <row r="2">
          <cell r="A2">
            <v>43462</v>
          </cell>
        </row>
      </sheetData>
      <sheetData sheetId="9822">
        <row r="2">
          <cell r="A2">
            <v>43462</v>
          </cell>
        </row>
      </sheetData>
      <sheetData sheetId="9823">
        <row r="2">
          <cell r="A2">
            <v>43462</v>
          </cell>
        </row>
      </sheetData>
      <sheetData sheetId="9824">
        <row r="2">
          <cell r="A2">
            <v>43462</v>
          </cell>
        </row>
      </sheetData>
      <sheetData sheetId="9825">
        <row r="2">
          <cell r="A2">
            <v>43462</v>
          </cell>
        </row>
      </sheetData>
      <sheetData sheetId="9826">
        <row r="2">
          <cell r="A2">
            <v>43462</v>
          </cell>
        </row>
      </sheetData>
      <sheetData sheetId="9827">
        <row r="2">
          <cell r="A2">
            <v>43462</v>
          </cell>
        </row>
      </sheetData>
      <sheetData sheetId="9828">
        <row r="2">
          <cell r="A2">
            <v>43462</v>
          </cell>
        </row>
      </sheetData>
      <sheetData sheetId="9829">
        <row r="2">
          <cell r="A2">
            <v>43462</v>
          </cell>
        </row>
      </sheetData>
      <sheetData sheetId="9830">
        <row r="2">
          <cell r="A2">
            <v>43462</v>
          </cell>
        </row>
      </sheetData>
      <sheetData sheetId="9831">
        <row r="2">
          <cell r="A2">
            <v>43462</v>
          </cell>
        </row>
      </sheetData>
      <sheetData sheetId="9832">
        <row r="2">
          <cell r="A2">
            <v>43462</v>
          </cell>
        </row>
      </sheetData>
      <sheetData sheetId="9833">
        <row r="2">
          <cell r="A2">
            <v>43462</v>
          </cell>
        </row>
      </sheetData>
      <sheetData sheetId="9834">
        <row r="2">
          <cell r="A2">
            <v>43462</v>
          </cell>
        </row>
      </sheetData>
      <sheetData sheetId="9835">
        <row r="2">
          <cell r="A2">
            <v>43462</v>
          </cell>
        </row>
      </sheetData>
      <sheetData sheetId="9836">
        <row r="2">
          <cell r="A2">
            <v>43462</v>
          </cell>
        </row>
      </sheetData>
      <sheetData sheetId="9837">
        <row r="2">
          <cell r="A2">
            <v>43462</v>
          </cell>
        </row>
      </sheetData>
      <sheetData sheetId="9838">
        <row r="2">
          <cell r="A2">
            <v>43462</v>
          </cell>
        </row>
      </sheetData>
      <sheetData sheetId="9839">
        <row r="2">
          <cell r="A2" t="str">
            <v>Complete</v>
          </cell>
        </row>
      </sheetData>
      <sheetData sheetId="9840">
        <row r="2">
          <cell r="A2" t="str">
            <v>Complete</v>
          </cell>
        </row>
      </sheetData>
      <sheetData sheetId="9841">
        <row r="2">
          <cell r="A2" t="str">
            <v>Complete</v>
          </cell>
        </row>
      </sheetData>
      <sheetData sheetId="9842">
        <row r="2">
          <cell r="A2" t="str">
            <v>Complete</v>
          </cell>
        </row>
      </sheetData>
      <sheetData sheetId="9843">
        <row r="2">
          <cell r="A2" t="str">
            <v>Complete</v>
          </cell>
        </row>
      </sheetData>
      <sheetData sheetId="9844">
        <row r="2">
          <cell r="A2" t="str">
            <v>Complete</v>
          </cell>
        </row>
      </sheetData>
      <sheetData sheetId="9845">
        <row r="2">
          <cell r="A2" t="str">
            <v>Complete</v>
          </cell>
        </row>
      </sheetData>
      <sheetData sheetId="9846">
        <row r="2">
          <cell r="A2" t="str">
            <v>Complete</v>
          </cell>
        </row>
      </sheetData>
      <sheetData sheetId="9847">
        <row r="2">
          <cell r="A2" t="str">
            <v>Complete</v>
          </cell>
        </row>
      </sheetData>
      <sheetData sheetId="9848">
        <row r="2">
          <cell r="A2" t="str">
            <v>Complete</v>
          </cell>
        </row>
      </sheetData>
      <sheetData sheetId="9849">
        <row r="2">
          <cell r="A2" t="str">
            <v>Complete</v>
          </cell>
        </row>
      </sheetData>
      <sheetData sheetId="9850">
        <row r="2">
          <cell r="A2" t="str">
            <v>Complete</v>
          </cell>
        </row>
      </sheetData>
      <sheetData sheetId="9851">
        <row r="2">
          <cell r="A2" t="str">
            <v>Complete</v>
          </cell>
        </row>
      </sheetData>
      <sheetData sheetId="9852">
        <row r="2">
          <cell r="A2" t="str">
            <v>Complete</v>
          </cell>
        </row>
      </sheetData>
      <sheetData sheetId="9853">
        <row r="2">
          <cell r="A2" t="str">
            <v>Complete</v>
          </cell>
        </row>
      </sheetData>
      <sheetData sheetId="9854">
        <row r="2">
          <cell r="A2" t="str">
            <v>Complete</v>
          </cell>
        </row>
      </sheetData>
      <sheetData sheetId="9855">
        <row r="2">
          <cell r="A2">
            <v>43462</v>
          </cell>
        </row>
      </sheetData>
      <sheetData sheetId="9856">
        <row r="2">
          <cell r="A2">
            <v>43462</v>
          </cell>
        </row>
      </sheetData>
      <sheetData sheetId="9857">
        <row r="2">
          <cell r="A2">
            <v>43462</v>
          </cell>
        </row>
      </sheetData>
      <sheetData sheetId="9858">
        <row r="2">
          <cell r="A2">
            <v>43462</v>
          </cell>
        </row>
      </sheetData>
      <sheetData sheetId="9859">
        <row r="2">
          <cell r="A2">
            <v>43462</v>
          </cell>
        </row>
      </sheetData>
      <sheetData sheetId="9860">
        <row r="2">
          <cell r="A2">
            <v>43462</v>
          </cell>
        </row>
      </sheetData>
      <sheetData sheetId="9861">
        <row r="2">
          <cell r="A2">
            <v>43462</v>
          </cell>
        </row>
      </sheetData>
      <sheetData sheetId="9862">
        <row r="2">
          <cell r="A2">
            <v>43462</v>
          </cell>
        </row>
      </sheetData>
      <sheetData sheetId="9863">
        <row r="2">
          <cell r="A2">
            <v>43462</v>
          </cell>
        </row>
      </sheetData>
      <sheetData sheetId="9864">
        <row r="2">
          <cell r="A2">
            <v>43462</v>
          </cell>
        </row>
      </sheetData>
      <sheetData sheetId="9865">
        <row r="2">
          <cell r="A2">
            <v>43462</v>
          </cell>
        </row>
      </sheetData>
      <sheetData sheetId="9866">
        <row r="2">
          <cell r="A2">
            <v>43462</v>
          </cell>
        </row>
      </sheetData>
      <sheetData sheetId="9867">
        <row r="2">
          <cell r="A2">
            <v>43462</v>
          </cell>
        </row>
      </sheetData>
      <sheetData sheetId="9868">
        <row r="2">
          <cell r="A2">
            <v>43462</v>
          </cell>
        </row>
      </sheetData>
      <sheetData sheetId="9869">
        <row r="2">
          <cell r="A2">
            <v>43462</v>
          </cell>
        </row>
      </sheetData>
      <sheetData sheetId="9870">
        <row r="2">
          <cell r="A2">
            <v>43462</v>
          </cell>
        </row>
      </sheetData>
      <sheetData sheetId="9871">
        <row r="2">
          <cell r="A2">
            <v>43462</v>
          </cell>
        </row>
      </sheetData>
      <sheetData sheetId="9872">
        <row r="2">
          <cell r="A2">
            <v>43462</v>
          </cell>
        </row>
      </sheetData>
      <sheetData sheetId="9873">
        <row r="2">
          <cell r="A2">
            <v>43462</v>
          </cell>
        </row>
      </sheetData>
      <sheetData sheetId="9874">
        <row r="2">
          <cell r="A2">
            <v>43462</v>
          </cell>
        </row>
      </sheetData>
      <sheetData sheetId="9875">
        <row r="2">
          <cell r="A2">
            <v>43462</v>
          </cell>
        </row>
      </sheetData>
      <sheetData sheetId="9876">
        <row r="2">
          <cell r="A2">
            <v>43462</v>
          </cell>
        </row>
      </sheetData>
      <sheetData sheetId="9877">
        <row r="2">
          <cell r="A2">
            <v>43462</v>
          </cell>
        </row>
      </sheetData>
      <sheetData sheetId="9878">
        <row r="2">
          <cell r="A2">
            <v>43462</v>
          </cell>
        </row>
      </sheetData>
      <sheetData sheetId="9879">
        <row r="2">
          <cell r="A2">
            <v>43462</v>
          </cell>
        </row>
      </sheetData>
      <sheetData sheetId="9880">
        <row r="2">
          <cell r="A2" t="str">
            <v>Complete</v>
          </cell>
        </row>
      </sheetData>
      <sheetData sheetId="9881">
        <row r="2">
          <cell r="A2" t="str">
            <v>Complete</v>
          </cell>
        </row>
      </sheetData>
      <sheetData sheetId="9882">
        <row r="2">
          <cell r="A2" t="str">
            <v>Complete</v>
          </cell>
        </row>
      </sheetData>
      <sheetData sheetId="9883">
        <row r="2">
          <cell r="A2" t="str">
            <v>Complete</v>
          </cell>
        </row>
      </sheetData>
      <sheetData sheetId="9884">
        <row r="2">
          <cell r="A2" t="str">
            <v>Complete</v>
          </cell>
        </row>
      </sheetData>
      <sheetData sheetId="9885">
        <row r="2">
          <cell r="A2" t="str">
            <v>Complete</v>
          </cell>
        </row>
      </sheetData>
      <sheetData sheetId="9886">
        <row r="2">
          <cell r="A2">
            <v>43462</v>
          </cell>
        </row>
      </sheetData>
      <sheetData sheetId="9887">
        <row r="2">
          <cell r="A2">
            <v>43462</v>
          </cell>
        </row>
      </sheetData>
      <sheetData sheetId="9888">
        <row r="2">
          <cell r="A2">
            <v>43462</v>
          </cell>
        </row>
      </sheetData>
      <sheetData sheetId="9889">
        <row r="2">
          <cell r="A2">
            <v>43462</v>
          </cell>
        </row>
      </sheetData>
      <sheetData sheetId="9890">
        <row r="2">
          <cell r="A2" t="str">
            <v>Complete</v>
          </cell>
        </row>
      </sheetData>
      <sheetData sheetId="9891">
        <row r="2">
          <cell r="A2">
            <v>43462</v>
          </cell>
        </row>
      </sheetData>
      <sheetData sheetId="9892">
        <row r="2">
          <cell r="A2" t="str">
            <v>Complete</v>
          </cell>
        </row>
      </sheetData>
      <sheetData sheetId="9893">
        <row r="2">
          <cell r="A2" t="str">
            <v>Complete</v>
          </cell>
        </row>
      </sheetData>
      <sheetData sheetId="9894">
        <row r="2">
          <cell r="A2" t="str">
            <v>Complete</v>
          </cell>
        </row>
      </sheetData>
      <sheetData sheetId="9895">
        <row r="2">
          <cell r="A2">
            <v>43462</v>
          </cell>
        </row>
      </sheetData>
      <sheetData sheetId="9896">
        <row r="2">
          <cell r="A2" t="str">
            <v>Complete</v>
          </cell>
        </row>
      </sheetData>
      <sheetData sheetId="9897">
        <row r="2">
          <cell r="A2">
            <v>43462</v>
          </cell>
        </row>
      </sheetData>
      <sheetData sheetId="9898">
        <row r="2">
          <cell r="A2" t="str">
            <v>Complete</v>
          </cell>
        </row>
      </sheetData>
      <sheetData sheetId="9899">
        <row r="2">
          <cell r="A2">
            <v>43462</v>
          </cell>
        </row>
      </sheetData>
      <sheetData sheetId="9900">
        <row r="2">
          <cell r="A2" t="str">
            <v>Complete</v>
          </cell>
        </row>
      </sheetData>
      <sheetData sheetId="9901">
        <row r="2">
          <cell r="A2">
            <v>43462</v>
          </cell>
        </row>
      </sheetData>
      <sheetData sheetId="9902">
        <row r="2">
          <cell r="A2" t="str">
            <v>Complete</v>
          </cell>
        </row>
      </sheetData>
      <sheetData sheetId="9903">
        <row r="2">
          <cell r="A2">
            <v>43462</v>
          </cell>
        </row>
      </sheetData>
      <sheetData sheetId="9904">
        <row r="2">
          <cell r="A2" t="str">
            <v>Complete</v>
          </cell>
        </row>
      </sheetData>
      <sheetData sheetId="9905">
        <row r="2">
          <cell r="A2">
            <v>43462</v>
          </cell>
        </row>
      </sheetData>
      <sheetData sheetId="9906">
        <row r="2">
          <cell r="A2" t="str">
            <v>Complete</v>
          </cell>
        </row>
      </sheetData>
      <sheetData sheetId="9907">
        <row r="2">
          <cell r="A2">
            <v>43462</v>
          </cell>
        </row>
      </sheetData>
      <sheetData sheetId="9908">
        <row r="2">
          <cell r="A2" t="str">
            <v>Complete</v>
          </cell>
        </row>
      </sheetData>
      <sheetData sheetId="9909">
        <row r="2">
          <cell r="A2">
            <v>43462</v>
          </cell>
        </row>
      </sheetData>
      <sheetData sheetId="9910">
        <row r="2">
          <cell r="A2" t="str">
            <v>Complete</v>
          </cell>
        </row>
      </sheetData>
      <sheetData sheetId="9911">
        <row r="2">
          <cell r="A2">
            <v>43462</v>
          </cell>
        </row>
      </sheetData>
      <sheetData sheetId="9912">
        <row r="2">
          <cell r="A2" t="str">
            <v>Complete</v>
          </cell>
        </row>
      </sheetData>
      <sheetData sheetId="9913">
        <row r="2">
          <cell r="A2">
            <v>43462</v>
          </cell>
        </row>
      </sheetData>
      <sheetData sheetId="9914">
        <row r="2">
          <cell r="A2" t="str">
            <v>Complete</v>
          </cell>
        </row>
      </sheetData>
      <sheetData sheetId="9915">
        <row r="2">
          <cell r="A2">
            <v>43462</v>
          </cell>
        </row>
      </sheetData>
      <sheetData sheetId="9916">
        <row r="2">
          <cell r="A2" t="str">
            <v>Complete</v>
          </cell>
        </row>
      </sheetData>
      <sheetData sheetId="9917">
        <row r="2">
          <cell r="A2">
            <v>43462</v>
          </cell>
        </row>
      </sheetData>
      <sheetData sheetId="9918">
        <row r="2">
          <cell r="A2" t="str">
            <v>Complete</v>
          </cell>
        </row>
      </sheetData>
      <sheetData sheetId="9919">
        <row r="2">
          <cell r="A2">
            <v>43462</v>
          </cell>
        </row>
      </sheetData>
      <sheetData sheetId="9920">
        <row r="2">
          <cell r="A2" t="str">
            <v>Complete</v>
          </cell>
        </row>
      </sheetData>
      <sheetData sheetId="9921">
        <row r="2">
          <cell r="A2" t="str">
            <v>Complete</v>
          </cell>
        </row>
      </sheetData>
      <sheetData sheetId="9922">
        <row r="2">
          <cell r="A2" t="str">
            <v>Complete</v>
          </cell>
        </row>
      </sheetData>
      <sheetData sheetId="9923">
        <row r="2">
          <cell r="A2" t="str">
            <v>Complete</v>
          </cell>
        </row>
      </sheetData>
      <sheetData sheetId="9924">
        <row r="2">
          <cell r="A2" t="str">
            <v>Complete</v>
          </cell>
        </row>
      </sheetData>
      <sheetData sheetId="9925">
        <row r="2">
          <cell r="A2" t="str">
            <v>Complete</v>
          </cell>
        </row>
      </sheetData>
      <sheetData sheetId="9926">
        <row r="2">
          <cell r="A2" t="str">
            <v>Complete</v>
          </cell>
        </row>
      </sheetData>
      <sheetData sheetId="9927">
        <row r="2">
          <cell r="A2" t="str">
            <v>Complete</v>
          </cell>
        </row>
      </sheetData>
      <sheetData sheetId="9928">
        <row r="2">
          <cell r="A2" t="str">
            <v>Complete</v>
          </cell>
        </row>
      </sheetData>
      <sheetData sheetId="9929">
        <row r="2">
          <cell r="A2" t="str">
            <v>Complete</v>
          </cell>
        </row>
      </sheetData>
      <sheetData sheetId="9930">
        <row r="2">
          <cell r="A2" t="str">
            <v>Complete</v>
          </cell>
        </row>
      </sheetData>
      <sheetData sheetId="9931">
        <row r="2">
          <cell r="A2" t="str">
            <v>Complete</v>
          </cell>
        </row>
      </sheetData>
      <sheetData sheetId="9932">
        <row r="2">
          <cell r="A2" t="str">
            <v>Complete</v>
          </cell>
        </row>
      </sheetData>
      <sheetData sheetId="9933">
        <row r="2">
          <cell r="A2" t="str">
            <v>Complete</v>
          </cell>
        </row>
      </sheetData>
      <sheetData sheetId="9934">
        <row r="2">
          <cell r="A2" t="str">
            <v>Complete</v>
          </cell>
        </row>
      </sheetData>
      <sheetData sheetId="9935">
        <row r="2">
          <cell r="A2" t="str">
            <v>Complete</v>
          </cell>
        </row>
      </sheetData>
      <sheetData sheetId="9936">
        <row r="2">
          <cell r="A2" t="str">
            <v>Complete</v>
          </cell>
        </row>
      </sheetData>
      <sheetData sheetId="9937">
        <row r="2">
          <cell r="A2" t="str">
            <v>Complete</v>
          </cell>
        </row>
      </sheetData>
      <sheetData sheetId="9938">
        <row r="2">
          <cell r="A2" t="str">
            <v>Complete</v>
          </cell>
        </row>
      </sheetData>
      <sheetData sheetId="9939">
        <row r="2">
          <cell r="A2" t="str">
            <v>Complete</v>
          </cell>
        </row>
      </sheetData>
      <sheetData sheetId="9940">
        <row r="2">
          <cell r="A2" t="str">
            <v>Complete</v>
          </cell>
        </row>
      </sheetData>
      <sheetData sheetId="9941">
        <row r="2">
          <cell r="A2" t="str">
            <v>Complete</v>
          </cell>
        </row>
      </sheetData>
      <sheetData sheetId="9942">
        <row r="2">
          <cell r="A2" t="str">
            <v>Complete</v>
          </cell>
        </row>
      </sheetData>
      <sheetData sheetId="9943">
        <row r="2">
          <cell r="A2" t="str">
            <v>Complete</v>
          </cell>
        </row>
      </sheetData>
      <sheetData sheetId="9944">
        <row r="2">
          <cell r="A2" t="str">
            <v>Complete</v>
          </cell>
        </row>
      </sheetData>
      <sheetData sheetId="9945">
        <row r="2">
          <cell r="A2" t="str">
            <v>Complete</v>
          </cell>
        </row>
      </sheetData>
      <sheetData sheetId="9946">
        <row r="2">
          <cell r="A2" t="str">
            <v>Complete</v>
          </cell>
        </row>
      </sheetData>
      <sheetData sheetId="9947">
        <row r="2">
          <cell r="A2" t="str">
            <v>Complete</v>
          </cell>
        </row>
      </sheetData>
      <sheetData sheetId="9948">
        <row r="2">
          <cell r="A2">
            <v>43462</v>
          </cell>
        </row>
      </sheetData>
      <sheetData sheetId="9949">
        <row r="2">
          <cell r="A2" t="str">
            <v>Complete</v>
          </cell>
        </row>
      </sheetData>
      <sheetData sheetId="9950">
        <row r="2">
          <cell r="A2">
            <v>43462</v>
          </cell>
        </row>
      </sheetData>
      <sheetData sheetId="9951">
        <row r="2">
          <cell r="A2" t="str">
            <v>Complete</v>
          </cell>
        </row>
      </sheetData>
      <sheetData sheetId="9952">
        <row r="2">
          <cell r="A2">
            <v>43462</v>
          </cell>
        </row>
      </sheetData>
      <sheetData sheetId="9953">
        <row r="2">
          <cell r="A2" t="str">
            <v>Complete</v>
          </cell>
        </row>
      </sheetData>
      <sheetData sheetId="9954">
        <row r="2">
          <cell r="A2">
            <v>43462</v>
          </cell>
        </row>
      </sheetData>
      <sheetData sheetId="9955">
        <row r="2">
          <cell r="A2" t="str">
            <v>Complete</v>
          </cell>
        </row>
      </sheetData>
      <sheetData sheetId="9956">
        <row r="2">
          <cell r="A2">
            <v>43462</v>
          </cell>
        </row>
      </sheetData>
      <sheetData sheetId="9957">
        <row r="2">
          <cell r="A2" t="str">
            <v>Complete</v>
          </cell>
        </row>
      </sheetData>
      <sheetData sheetId="9958">
        <row r="2">
          <cell r="A2">
            <v>43462</v>
          </cell>
        </row>
      </sheetData>
      <sheetData sheetId="9959">
        <row r="2">
          <cell r="A2" t="str">
            <v>Complete</v>
          </cell>
        </row>
      </sheetData>
      <sheetData sheetId="9960">
        <row r="2">
          <cell r="A2">
            <v>43462</v>
          </cell>
        </row>
      </sheetData>
      <sheetData sheetId="9961">
        <row r="2">
          <cell r="A2" t="str">
            <v>Complete</v>
          </cell>
        </row>
      </sheetData>
      <sheetData sheetId="9962">
        <row r="2">
          <cell r="A2" t="str">
            <v>Complete</v>
          </cell>
        </row>
      </sheetData>
      <sheetData sheetId="9963">
        <row r="2">
          <cell r="A2" t="str">
            <v>Complete</v>
          </cell>
        </row>
      </sheetData>
      <sheetData sheetId="9964">
        <row r="2">
          <cell r="A2" t="str">
            <v>Complete</v>
          </cell>
        </row>
      </sheetData>
      <sheetData sheetId="9965">
        <row r="2">
          <cell r="A2" t="str">
            <v>Complete</v>
          </cell>
        </row>
      </sheetData>
      <sheetData sheetId="9966">
        <row r="2">
          <cell r="A2" t="str">
            <v>Complete</v>
          </cell>
        </row>
      </sheetData>
      <sheetData sheetId="9967">
        <row r="2">
          <cell r="A2" t="str">
            <v>Complete</v>
          </cell>
        </row>
      </sheetData>
      <sheetData sheetId="9968">
        <row r="2">
          <cell r="A2" t="str">
            <v>Complete</v>
          </cell>
        </row>
      </sheetData>
      <sheetData sheetId="9969">
        <row r="2">
          <cell r="A2" t="str">
            <v>Complete</v>
          </cell>
        </row>
      </sheetData>
      <sheetData sheetId="9970">
        <row r="2">
          <cell r="A2" t="str">
            <v>Complete</v>
          </cell>
        </row>
      </sheetData>
      <sheetData sheetId="9971">
        <row r="2">
          <cell r="A2" t="str">
            <v>Complete</v>
          </cell>
        </row>
      </sheetData>
      <sheetData sheetId="9972">
        <row r="2">
          <cell r="A2" t="str">
            <v>Complete</v>
          </cell>
        </row>
      </sheetData>
      <sheetData sheetId="9973">
        <row r="2">
          <cell r="A2" t="str">
            <v>Complete</v>
          </cell>
        </row>
      </sheetData>
      <sheetData sheetId="9974">
        <row r="2">
          <cell r="A2" t="str">
            <v>Complete</v>
          </cell>
        </row>
      </sheetData>
      <sheetData sheetId="9975">
        <row r="2">
          <cell r="A2" t="str">
            <v>Complete</v>
          </cell>
        </row>
      </sheetData>
      <sheetData sheetId="9976">
        <row r="2">
          <cell r="A2" t="str">
            <v>Complete</v>
          </cell>
        </row>
      </sheetData>
      <sheetData sheetId="9977">
        <row r="2">
          <cell r="A2" t="str">
            <v>Complete</v>
          </cell>
        </row>
      </sheetData>
      <sheetData sheetId="9978">
        <row r="2">
          <cell r="A2" t="str">
            <v>Complete</v>
          </cell>
        </row>
      </sheetData>
      <sheetData sheetId="9979">
        <row r="2">
          <cell r="A2" t="str">
            <v>Complete</v>
          </cell>
        </row>
      </sheetData>
      <sheetData sheetId="9980">
        <row r="2">
          <cell r="A2" t="str">
            <v>Complete</v>
          </cell>
        </row>
      </sheetData>
      <sheetData sheetId="9981">
        <row r="2">
          <cell r="A2" t="str">
            <v>Complete</v>
          </cell>
        </row>
      </sheetData>
      <sheetData sheetId="9982">
        <row r="2">
          <cell r="A2" t="str">
            <v>Complete</v>
          </cell>
        </row>
      </sheetData>
      <sheetData sheetId="9983">
        <row r="2">
          <cell r="A2" t="str">
            <v>Complete</v>
          </cell>
        </row>
      </sheetData>
      <sheetData sheetId="9984">
        <row r="2">
          <cell r="A2" t="str">
            <v>Complete</v>
          </cell>
        </row>
      </sheetData>
      <sheetData sheetId="9985">
        <row r="2">
          <cell r="A2" t="str">
            <v>Complete</v>
          </cell>
        </row>
      </sheetData>
      <sheetData sheetId="9986">
        <row r="2">
          <cell r="A2" t="str">
            <v>Complete</v>
          </cell>
        </row>
      </sheetData>
      <sheetData sheetId="9987">
        <row r="2">
          <cell r="A2" t="str">
            <v>Complete</v>
          </cell>
        </row>
      </sheetData>
      <sheetData sheetId="9988">
        <row r="2">
          <cell r="A2" t="str">
            <v>Complete</v>
          </cell>
        </row>
      </sheetData>
      <sheetData sheetId="9989">
        <row r="2">
          <cell r="A2" t="str">
            <v>Complete</v>
          </cell>
        </row>
      </sheetData>
      <sheetData sheetId="9990">
        <row r="2">
          <cell r="A2" t="str">
            <v>Complete</v>
          </cell>
        </row>
      </sheetData>
      <sheetData sheetId="9991">
        <row r="2">
          <cell r="A2" t="str">
            <v>Complete</v>
          </cell>
        </row>
      </sheetData>
      <sheetData sheetId="9992">
        <row r="2">
          <cell r="A2" t="str">
            <v>Complete</v>
          </cell>
        </row>
      </sheetData>
      <sheetData sheetId="9993">
        <row r="2">
          <cell r="A2" t="str">
            <v>Complete</v>
          </cell>
        </row>
      </sheetData>
      <sheetData sheetId="9994">
        <row r="2">
          <cell r="A2" t="str">
            <v>Complete</v>
          </cell>
        </row>
      </sheetData>
      <sheetData sheetId="9995">
        <row r="2">
          <cell r="A2" t="str">
            <v>Complete</v>
          </cell>
        </row>
      </sheetData>
      <sheetData sheetId="9996">
        <row r="2">
          <cell r="A2" t="str">
            <v>Complete</v>
          </cell>
        </row>
      </sheetData>
      <sheetData sheetId="9997">
        <row r="2">
          <cell r="A2" t="str">
            <v>Complete</v>
          </cell>
        </row>
      </sheetData>
      <sheetData sheetId="9998">
        <row r="2">
          <cell r="A2" t="str">
            <v>Complete</v>
          </cell>
        </row>
      </sheetData>
      <sheetData sheetId="9999">
        <row r="2">
          <cell r="A2" t="str">
            <v>Complete</v>
          </cell>
        </row>
      </sheetData>
      <sheetData sheetId="10000">
        <row r="2">
          <cell r="A2" t="str">
            <v>Complete</v>
          </cell>
        </row>
      </sheetData>
      <sheetData sheetId="10001">
        <row r="2">
          <cell r="A2" t="str">
            <v>Complete</v>
          </cell>
        </row>
      </sheetData>
      <sheetData sheetId="10002">
        <row r="2">
          <cell r="A2" t="str">
            <v>Complete</v>
          </cell>
        </row>
      </sheetData>
      <sheetData sheetId="10003">
        <row r="2">
          <cell r="A2" t="str">
            <v>Complete</v>
          </cell>
        </row>
      </sheetData>
      <sheetData sheetId="10004">
        <row r="2">
          <cell r="A2" t="str">
            <v>Complete</v>
          </cell>
        </row>
      </sheetData>
      <sheetData sheetId="10005">
        <row r="2">
          <cell r="A2" t="str">
            <v>Complete</v>
          </cell>
        </row>
      </sheetData>
      <sheetData sheetId="10006">
        <row r="2">
          <cell r="A2" t="str">
            <v>Complete</v>
          </cell>
        </row>
      </sheetData>
      <sheetData sheetId="10007">
        <row r="2">
          <cell r="A2" t="str">
            <v>Complete</v>
          </cell>
        </row>
      </sheetData>
      <sheetData sheetId="10008">
        <row r="2">
          <cell r="A2" t="str">
            <v>Complete</v>
          </cell>
        </row>
      </sheetData>
      <sheetData sheetId="10009">
        <row r="2">
          <cell r="A2" t="str">
            <v>Complete</v>
          </cell>
        </row>
      </sheetData>
      <sheetData sheetId="10010">
        <row r="2">
          <cell r="A2" t="str">
            <v>Complete</v>
          </cell>
        </row>
      </sheetData>
      <sheetData sheetId="10011">
        <row r="2">
          <cell r="A2" t="str">
            <v>Complete</v>
          </cell>
        </row>
      </sheetData>
      <sheetData sheetId="10012">
        <row r="2">
          <cell r="A2" t="str">
            <v>Complete</v>
          </cell>
        </row>
      </sheetData>
      <sheetData sheetId="10013">
        <row r="2">
          <cell r="A2" t="str">
            <v>Complete</v>
          </cell>
        </row>
      </sheetData>
      <sheetData sheetId="10014">
        <row r="2">
          <cell r="A2" t="str">
            <v>Complete</v>
          </cell>
        </row>
      </sheetData>
      <sheetData sheetId="10015">
        <row r="2">
          <cell r="A2">
            <v>43462</v>
          </cell>
        </row>
      </sheetData>
      <sheetData sheetId="10016">
        <row r="2">
          <cell r="A2">
            <v>43462</v>
          </cell>
        </row>
      </sheetData>
      <sheetData sheetId="10017">
        <row r="2">
          <cell r="A2">
            <v>43462</v>
          </cell>
        </row>
      </sheetData>
      <sheetData sheetId="10018">
        <row r="2">
          <cell r="A2">
            <v>43462</v>
          </cell>
        </row>
      </sheetData>
      <sheetData sheetId="10019">
        <row r="2">
          <cell r="A2">
            <v>43462</v>
          </cell>
        </row>
      </sheetData>
      <sheetData sheetId="10020">
        <row r="2">
          <cell r="A2">
            <v>43462</v>
          </cell>
        </row>
      </sheetData>
      <sheetData sheetId="10021">
        <row r="2">
          <cell r="A2">
            <v>43462</v>
          </cell>
        </row>
      </sheetData>
      <sheetData sheetId="10022">
        <row r="2">
          <cell r="A2">
            <v>43462</v>
          </cell>
        </row>
      </sheetData>
      <sheetData sheetId="10023">
        <row r="2">
          <cell r="A2">
            <v>43462</v>
          </cell>
        </row>
      </sheetData>
      <sheetData sheetId="10024">
        <row r="2">
          <cell r="A2">
            <v>43462</v>
          </cell>
        </row>
      </sheetData>
      <sheetData sheetId="10025">
        <row r="2">
          <cell r="A2">
            <v>43462</v>
          </cell>
        </row>
      </sheetData>
      <sheetData sheetId="10026">
        <row r="2">
          <cell r="A2">
            <v>43462</v>
          </cell>
        </row>
      </sheetData>
      <sheetData sheetId="10027">
        <row r="2">
          <cell r="A2">
            <v>43462</v>
          </cell>
        </row>
      </sheetData>
      <sheetData sheetId="10028">
        <row r="2">
          <cell r="A2">
            <v>43462</v>
          </cell>
        </row>
      </sheetData>
      <sheetData sheetId="10029">
        <row r="2">
          <cell r="A2">
            <v>43462</v>
          </cell>
        </row>
      </sheetData>
      <sheetData sheetId="10030">
        <row r="2">
          <cell r="A2">
            <v>43462</v>
          </cell>
        </row>
      </sheetData>
      <sheetData sheetId="10031">
        <row r="2">
          <cell r="A2">
            <v>43462</v>
          </cell>
        </row>
      </sheetData>
      <sheetData sheetId="10032">
        <row r="2">
          <cell r="A2">
            <v>43462</v>
          </cell>
        </row>
      </sheetData>
      <sheetData sheetId="10033">
        <row r="2">
          <cell r="A2">
            <v>43462</v>
          </cell>
        </row>
      </sheetData>
      <sheetData sheetId="10034">
        <row r="2">
          <cell r="A2">
            <v>43462</v>
          </cell>
        </row>
      </sheetData>
      <sheetData sheetId="10035">
        <row r="2">
          <cell r="A2">
            <v>43462</v>
          </cell>
        </row>
      </sheetData>
      <sheetData sheetId="10036">
        <row r="2">
          <cell r="A2">
            <v>43462</v>
          </cell>
        </row>
      </sheetData>
      <sheetData sheetId="10037">
        <row r="2">
          <cell r="A2">
            <v>43462</v>
          </cell>
        </row>
      </sheetData>
      <sheetData sheetId="10038">
        <row r="2">
          <cell r="A2">
            <v>43462</v>
          </cell>
        </row>
      </sheetData>
      <sheetData sheetId="10039">
        <row r="2">
          <cell r="A2">
            <v>43462</v>
          </cell>
        </row>
      </sheetData>
      <sheetData sheetId="10040">
        <row r="2">
          <cell r="A2">
            <v>43462</v>
          </cell>
        </row>
      </sheetData>
      <sheetData sheetId="10041">
        <row r="2">
          <cell r="A2">
            <v>43462</v>
          </cell>
        </row>
      </sheetData>
      <sheetData sheetId="10042">
        <row r="2">
          <cell r="A2">
            <v>43462</v>
          </cell>
        </row>
      </sheetData>
      <sheetData sheetId="10043">
        <row r="2">
          <cell r="A2">
            <v>43462</v>
          </cell>
        </row>
      </sheetData>
      <sheetData sheetId="10044">
        <row r="2">
          <cell r="A2">
            <v>43462</v>
          </cell>
        </row>
      </sheetData>
      <sheetData sheetId="10045">
        <row r="2">
          <cell r="A2">
            <v>43462</v>
          </cell>
        </row>
      </sheetData>
      <sheetData sheetId="10046">
        <row r="2">
          <cell r="A2">
            <v>43462</v>
          </cell>
        </row>
      </sheetData>
      <sheetData sheetId="10047">
        <row r="2">
          <cell r="A2">
            <v>43462</v>
          </cell>
        </row>
      </sheetData>
      <sheetData sheetId="10048">
        <row r="2">
          <cell r="A2">
            <v>43462</v>
          </cell>
        </row>
      </sheetData>
      <sheetData sheetId="10049">
        <row r="2">
          <cell r="A2">
            <v>43462</v>
          </cell>
        </row>
      </sheetData>
      <sheetData sheetId="10050">
        <row r="2">
          <cell r="A2">
            <v>43462</v>
          </cell>
        </row>
      </sheetData>
      <sheetData sheetId="10051">
        <row r="2">
          <cell r="A2">
            <v>43462</v>
          </cell>
        </row>
      </sheetData>
      <sheetData sheetId="10052">
        <row r="2">
          <cell r="A2">
            <v>43462</v>
          </cell>
        </row>
      </sheetData>
      <sheetData sheetId="10053">
        <row r="2">
          <cell r="A2">
            <v>43462</v>
          </cell>
        </row>
      </sheetData>
      <sheetData sheetId="10054">
        <row r="2">
          <cell r="A2">
            <v>43462</v>
          </cell>
        </row>
      </sheetData>
      <sheetData sheetId="10055">
        <row r="2">
          <cell r="A2">
            <v>43462</v>
          </cell>
        </row>
      </sheetData>
      <sheetData sheetId="10056">
        <row r="2">
          <cell r="A2">
            <v>43462</v>
          </cell>
        </row>
      </sheetData>
      <sheetData sheetId="10057">
        <row r="2">
          <cell r="A2">
            <v>43462</v>
          </cell>
        </row>
      </sheetData>
      <sheetData sheetId="10058">
        <row r="2">
          <cell r="A2">
            <v>43462</v>
          </cell>
        </row>
      </sheetData>
      <sheetData sheetId="10059">
        <row r="2">
          <cell r="A2">
            <v>43462</v>
          </cell>
        </row>
      </sheetData>
      <sheetData sheetId="10060">
        <row r="2">
          <cell r="A2">
            <v>43462</v>
          </cell>
        </row>
      </sheetData>
      <sheetData sheetId="10061">
        <row r="2">
          <cell r="A2">
            <v>43462</v>
          </cell>
        </row>
      </sheetData>
      <sheetData sheetId="10062">
        <row r="2">
          <cell r="A2">
            <v>43462</v>
          </cell>
        </row>
      </sheetData>
      <sheetData sheetId="10063">
        <row r="2">
          <cell r="A2">
            <v>43462</v>
          </cell>
        </row>
      </sheetData>
      <sheetData sheetId="10064">
        <row r="2">
          <cell r="A2">
            <v>43462</v>
          </cell>
        </row>
      </sheetData>
      <sheetData sheetId="10065">
        <row r="2">
          <cell r="A2">
            <v>43462</v>
          </cell>
        </row>
      </sheetData>
      <sheetData sheetId="10066">
        <row r="2">
          <cell r="A2">
            <v>43462</v>
          </cell>
        </row>
      </sheetData>
      <sheetData sheetId="10067">
        <row r="2">
          <cell r="A2">
            <v>43462</v>
          </cell>
        </row>
      </sheetData>
      <sheetData sheetId="10068">
        <row r="2">
          <cell r="A2">
            <v>43462</v>
          </cell>
        </row>
      </sheetData>
      <sheetData sheetId="10069">
        <row r="2">
          <cell r="A2">
            <v>43462</v>
          </cell>
        </row>
      </sheetData>
      <sheetData sheetId="10070">
        <row r="2">
          <cell r="A2">
            <v>43462</v>
          </cell>
        </row>
      </sheetData>
      <sheetData sheetId="10071">
        <row r="2">
          <cell r="A2">
            <v>43462</v>
          </cell>
        </row>
      </sheetData>
      <sheetData sheetId="10072">
        <row r="2">
          <cell r="A2">
            <v>43462</v>
          </cell>
        </row>
      </sheetData>
      <sheetData sheetId="10073">
        <row r="2">
          <cell r="A2">
            <v>43462</v>
          </cell>
        </row>
      </sheetData>
      <sheetData sheetId="10074">
        <row r="2">
          <cell r="A2">
            <v>43462</v>
          </cell>
        </row>
      </sheetData>
      <sheetData sheetId="10075">
        <row r="2">
          <cell r="A2">
            <v>43462</v>
          </cell>
        </row>
      </sheetData>
      <sheetData sheetId="10076">
        <row r="2">
          <cell r="A2">
            <v>43462</v>
          </cell>
        </row>
      </sheetData>
      <sheetData sheetId="10077">
        <row r="2">
          <cell r="A2">
            <v>43462</v>
          </cell>
        </row>
      </sheetData>
      <sheetData sheetId="10078">
        <row r="2">
          <cell r="A2">
            <v>43462</v>
          </cell>
        </row>
      </sheetData>
      <sheetData sheetId="10079">
        <row r="2">
          <cell r="A2">
            <v>43462</v>
          </cell>
        </row>
      </sheetData>
      <sheetData sheetId="10080">
        <row r="2">
          <cell r="A2">
            <v>43462</v>
          </cell>
        </row>
      </sheetData>
      <sheetData sheetId="10081">
        <row r="2">
          <cell r="A2">
            <v>43462</v>
          </cell>
        </row>
      </sheetData>
      <sheetData sheetId="10082">
        <row r="2">
          <cell r="A2">
            <v>43462</v>
          </cell>
        </row>
      </sheetData>
      <sheetData sheetId="10083">
        <row r="2">
          <cell r="A2">
            <v>43462</v>
          </cell>
        </row>
      </sheetData>
      <sheetData sheetId="10084">
        <row r="2">
          <cell r="A2">
            <v>43462</v>
          </cell>
        </row>
      </sheetData>
      <sheetData sheetId="10085">
        <row r="2">
          <cell r="A2" t="str">
            <v>Complete</v>
          </cell>
        </row>
      </sheetData>
      <sheetData sheetId="10086">
        <row r="2">
          <cell r="A2">
            <v>43462</v>
          </cell>
        </row>
      </sheetData>
      <sheetData sheetId="10087">
        <row r="2">
          <cell r="A2" t="str">
            <v>Complete</v>
          </cell>
        </row>
      </sheetData>
      <sheetData sheetId="10088">
        <row r="2">
          <cell r="A2">
            <v>43462</v>
          </cell>
        </row>
      </sheetData>
      <sheetData sheetId="10089">
        <row r="2">
          <cell r="A2" t="str">
            <v>Complete</v>
          </cell>
        </row>
      </sheetData>
      <sheetData sheetId="10090">
        <row r="2">
          <cell r="A2">
            <v>43462</v>
          </cell>
        </row>
      </sheetData>
      <sheetData sheetId="10091">
        <row r="2">
          <cell r="A2" t="str">
            <v>Complete</v>
          </cell>
        </row>
      </sheetData>
      <sheetData sheetId="10092">
        <row r="2">
          <cell r="A2">
            <v>43462</v>
          </cell>
        </row>
      </sheetData>
      <sheetData sheetId="10093">
        <row r="2">
          <cell r="A2" t="str">
            <v>Complete</v>
          </cell>
        </row>
      </sheetData>
      <sheetData sheetId="10094">
        <row r="2">
          <cell r="A2">
            <v>43462</v>
          </cell>
        </row>
      </sheetData>
      <sheetData sheetId="10095">
        <row r="2">
          <cell r="A2" t="str">
            <v>Complete</v>
          </cell>
        </row>
      </sheetData>
      <sheetData sheetId="10096">
        <row r="2">
          <cell r="A2">
            <v>43462</v>
          </cell>
        </row>
      </sheetData>
      <sheetData sheetId="10097">
        <row r="2">
          <cell r="A2" t="str">
            <v>Complete</v>
          </cell>
        </row>
      </sheetData>
      <sheetData sheetId="10098">
        <row r="2">
          <cell r="A2">
            <v>43462</v>
          </cell>
        </row>
      </sheetData>
      <sheetData sheetId="10099">
        <row r="2">
          <cell r="A2" t="str">
            <v>Complete</v>
          </cell>
        </row>
      </sheetData>
      <sheetData sheetId="10100">
        <row r="2">
          <cell r="A2">
            <v>43462</v>
          </cell>
        </row>
      </sheetData>
      <sheetData sheetId="10101">
        <row r="2">
          <cell r="A2" t="str">
            <v>Complete</v>
          </cell>
        </row>
      </sheetData>
      <sheetData sheetId="10102">
        <row r="2">
          <cell r="A2">
            <v>43462</v>
          </cell>
        </row>
      </sheetData>
      <sheetData sheetId="10103">
        <row r="2">
          <cell r="A2" t="str">
            <v>Complete</v>
          </cell>
        </row>
      </sheetData>
      <sheetData sheetId="10104">
        <row r="2">
          <cell r="A2">
            <v>43462</v>
          </cell>
        </row>
      </sheetData>
      <sheetData sheetId="10105">
        <row r="2">
          <cell r="A2" t="str">
            <v>Complete</v>
          </cell>
        </row>
      </sheetData>
      <sheetData sheetId="10106">
        <row r="2">
          <cell r="A2" t="str">
            <v>Complete</v>
          </cell>
        </row>
      </sheetData>
      <sheetData sheetId="10107">
        <row r="2">
          <cell r="A2" t="str">
            <v>Complete</v>
          </cell>
        </row>
      </sheetData>
      <sheetData sheetId="10108">
        <row r="2">
          <cell r="A2">
            <v>43462</v>
          </cell>
        </row>
      </sheetData>
      <sheetData sheetId="10109">
        <row r="2">
          <cell r="A2" t="str">
            <v>Complete</v>
          </cell>
        </row>
      </sheetData>
      <sheetData sheetId="10110">
        <row r="2">
          <cell r="A2">
            <v>43462</v>
          </cell>
        </row>
      </sheetData>
      <sheetData sheetId="10111">
        <row r="2">
          <cell r="A2" t="str">
            <v>Complete</v>
          </cell>
        </row>
      </sheetData>
      <sheetData sheetId="10112">
        <row r="2">
          <cell r="A2">
            <v>43462</v>
          </cell>
        </row>
      </sheetData>
      <sheetData sheetId="10113">
        <row r="2">
          <cell r="A2" t="str">
            <v>Complete</v>
          </cell>
        </row>
      </sheetData>
      <sheetData sheetId="10114">
        <row r="2">
          <cell r="A2" t="str">
            <v>Complete</v>
          </cell>
        </row>
      </sheetData>
      <sheetData sheetId="10115">
        <row r="2">
          <cell r="A2" t="str">
            <v>Complete</v>
          </cell>
        </row>
      </sheetData>
      <sheetData sheetId="10116">
        <row r="2">
          <cell r="A2" t="str">
            <v>Complete</v>
          </cell>
        </row>
      </sheetData>
      <sheetData sheetId="10117">
        <row r="2">
          <cell r="A2" t="str">
            <v>Complete</v>
          </cell>
        </row>
      </sheetData>
      <sheetData sheetId="10118">
        <row r="2">
          <cell r="A2" t="str">
            <v>Complete</v>
          </cell>
        </row>
      </sheetData>
      <sheetData sheetId="10119">
        <row r="2">
          <cell r="A2" t="str">
            <v>Complete</v>
          </cell>
        </row>
      </sheetData>
      <sheetData sheetId="10120">
        <row r="2">
          <cell r="A2" t="str">
            <v>Complete</v>
          </cell>
        </row>
      </sheetData>
      <sheetData sheetId="10121">
        <row r="2">
          <cell r="A2" t="str">
            <v>Complete</v>
          </cell>
        </row>
      </sheetData>
      <sheetData sheetId="10122">
        <row r="2">
          <cell r="A2" t="str">
            <v>Complete</v>
          </cell>
        </row>
      </sheetData>
      <sheetData sheetId="10123">
        <row r="2">
          <cell r="A2" t="str">
            <v>Complete</v>
          </cell>
        </row>
      </sheetData>
      <sheetData sheetId="10124">
        <row r="2">
          <cell r="A2" t="str">
            <v>Complete</v>
          </cell>
        </row>
      </sheetData>
      <sheetData sheetId="10125">
        <row r="2">
          <cell r="A2">
            <v>43462</v>
          </cell>
        </row>
      </sheetData>
      <sheetData sheetId="10126">
        <row r="2">
          <cell r="A2">
            <v>43462</v>
          </cell>
        </row>
      </sheetData>
      <sheetData sheetId="10127">
        <row r="2">
          <cell r="A2">
            <v>43462</v>
          </cell>
        </row>
      </sheetData>
      <sheetData sheetId="10128">
        <row r="2">
          <cell r="A2">
            <v>43462</v>
          </cell>
        </row>
      </sheetData>
      <sheetData sheetId="10129">
        <row r="2">
          <cell r="A2">
            <v>43462</v>
          </cell>
        </row>
      </sheetData>
      <sheetData sheetId="10130">
        <row r="2">
          <cell r="A2">
            <v>43462</v>
          </cell>
        </row>
      </sheetData>
      <sheetData sheetId="10131">
        <row r="2">
          <cell r="A2">
            <v>43462</v>
          </cell>
        </row>
      </sheetData>
      <sheetData sheetId="10132">
        <row r="2">
          <cell r="A2">
            <v>43462</v>
          </cell>
        </row>
      </sheetData>
      <sheetData sheetId="10133">
        <row r="2">
          <cell r="A2">
            <v>43462</v>
          </cell>
        </row>
      </sheetData>
      <sheetData sheetId="10134">
        <row r="2">
          <cell r="A2">
            <v>43462</v>
          </cell>
        </row>
      </sheetData>
      <sheetData sheetId="10135">
        <row r="2">
          <cell r="A2">
            <v>43462</v>
          </cell>
        </row>
      </sheetData>
      <sheetData sheetId="10136">
        <row r="2">
          <cell r="A2">
            <v>43462</v>
          </cell>
        </row>
      </sheetData>
      <sheetData sheetId="10137">
        <row r="2">
          <cell r="A2">
            <v>43462</v>
          </cell>
        </row>
      </sheetData>
      <sheetData sheetId="10138">
        <row r="2">
          <cell r="A2">
            <v>43462</v>
          </cell>
        </row>
      </sheetData>
      <sheetData sheetId="10139">
        <row r="2">
          <cell r="A2">
            <v>43462</v>
          </cell>
        </row>
      </sheetData>
      <sheetData sheetId="10140">
        <row r="2">
          <cell r="A2">
            <v>43462</v>
          </cell>
        </row>
      </sheetData>
      <sheetData sheetId="10141">
        <row r="2">
          <cell r="A2">
            <v>43462</v>
          </cell>
        </row>
      </sheetData>
      <sheetData sheetId="10142">
        <row r="2">
          <cell r="A2" t="str">
            <v>Complete</v>
          </cell>
        </row>
      </sheetData>
      <sheetData sheetId="10143">
        <row r="2">
          <cell r="A2">
            <v>43462</v>
          </cell>
        </row>
      </sheetData>
      <sheetData sheetId="10144">
        <row r="2">
          <cell r="A2" t="str">
            <v>Complete</v>
          </cell>
        </row>
      </sheetData>
      <sheetData sheetId="10145">
        <row r="2">
          <cell r="A2">
            <v>43462</v>
          </cell>
        </row>
      </sheetData>
      <sheetData sheetId="10146">
        <row r="2">
          <cell r="A2" t="str">
            <v>Complete</v>
          </cell>
        </row>
      </sheetData>
      <sheetData sheetId="10147">
        <row r="2">
          <cell r="A2">
            <v>43462</v>
          </cell>
        </row>
      </sheetData>
      <sheetData sheetId="10148">
        <row r="2">
          <cell r="A2" t="str">
            <v>Complete</v>
          </cell>
        </row>
      </sheetData>
      <sheetData sheetId="10149">
        <row r="2">
          <cell r="A2">
            <v>43462</v>
          </cell>
        </row>
      </sheetData>
      <sheetData sheetId="10150">
        <row r="2">
          <cell r="A2" t="str">
            <v>Complete</v>
          </cell>
        </row>
      </sheetData>
      <sheetData sheetId="10151">
        <row r="2">
          <cell r="A2">
            <v>43462</v>
          </cell>
        </row>
      </sheetData>
      <sheetData sheetId="10152">
        <row r="2">
          <cell r="A2" t="str">
            <v>Complete</v>
          </cell>
        </row>
      </sheetData>
      <sheetData sheetId="10153">
        <row r="2">
          <cell r="A2">
            <v>43462</v>
          </cell>
        </row>
      </sheetData>
      <sheetData sheetId="10154">
        <row r="2">
          <cell r="A2" t="str">
            <v>Complete</v>
          </cell>
        </row>
      </sheetData>
      <sheetData sheetId="10155">
        <row r="2">
          <cell r="A2">
            <v>43462</v>
          </cell>
        </row>
      </sheetData>
      <sheetData sheetId="10156">
        <row r="2">
          <cell r="A2" t="str">
            <v>Complete</v>
          </cell>
        </row>
      </sheetData>
      <sheetData sheetId="10157">
        <row r="2">
          <cell r="A2">
            <v>43462</v>
          </cell>
        </row>
      </sheetData>
      <sheetData sheetId="10158">
        <row r="2">
          <cell r="A2" t="str">
            <v>Complete</v>
          </cell>
        </row>
      </sheetData>
      <sheetData sheetId="10159">
        <row r="2">
          <cell r="A2">
            <v>43462</v>
          </cell>
        </row>
      </sheetData>
      <sheetData sheetId="10160">
        <row r="2">
          <cell r="A2" t="str">
            <v>Complete</v>
          </cell>
        </row>
      </sheetData>
      <sheetData sheetId="10161">
        <row r="2">
          <cell r="A2">
            <v>43462</v>
          </cell>
        </row>
      </sheetData>
      <sheetData sheetId="10162">
        <row r="2">
          <cell r="A2" t="str">
            <v>Complete</v>
          </cell>
        </row>
      </sheetData>
      <sheetData sheetId="10163">
        <row r="2">
          <cell r="A2">
            <v>43462</v>
          </cell>
        </row>
      </sheetData>
      <sheetData sheetId="10164">
        <row r="2">
          <cell r="A2" t="str">
            <v>Complete</v>
          </cell>
        </row>
      </sheetData>
      <sheetData sheetId="10165">
        <row r="2">
          <cell r="A2">
            <v>43462</v>
          </cell>
        </row>
      </sheetData>
      <sheetData sheetId="10166">
        <row r="2">
          <cell r="A2" t="str">
            <v>Complete</v>
          </cell>
        </row>
      </sheetData>
      <sheetData sheetId="10167">
        <row r="2">
          <cell r="A2" t="str">
            <v>Complete</v>
          </cell>
        </row>
      </sheetData>
      <sheetData sheetId="10168">
        <row r="2">
          <cell r="A2" t="str">
            <v>Complete</v>
          </cell>
        </row>
      </sheetData>
      <sheetData sheetId="10169">
        <row r="2">
          <cell r="A2" t="str">
            <v>Complete</v>
          </cell>
        </row>
      </sheetData>
      <sheetData sheetId="10170">
        <row r="2">
          <cell r="A2" t="str">
            <v>Complete</v>
          </cell>
        </row>
      </sheetData>
      <sheetData sheetId="10171">
        <row r="2">
          <cell r="A2" t="str">
            <v>Complete</v>
          </cell>
        </row>
      </sheetData>
      <sheetData sheetId="10172">
        <row r="2">
          <cell r="A2" t="str">
            <v>Complete</v>
          </cell>
        </row>
      </sheetData>
      <sheetData sheetId="10173">
        <row r="2">
          <cell r="A2" t="str">
            <v>Complete</v>
          </cell>
        </row>
      </sheetData>
      <sheetData sheetId="10174">
        <row r="2">
          <cell r="A2" t="str">
            <v>Complete</v>
          </cell>
        </row>
      </sheetData>
      <sheetData sheetId="10175">
        <row r="2">
          <cell r="A2" t="str">
            <v>Complete</v>
          </cell>
        </row>
      </sheetData>
      <sheetData sheetId="10176">
        <row r="2">
          <cell r="A2" t="str">
            <v>Complete</v>
          </cell>
        </row>
      </sheetData>
      <sheetData sheetId="10177">
        <row r="2">
          <cell r="A2" t="str">
            <v>Complete</v>
          </cell>
        </row>
      </sheetData>
      <sheetData sheetId="10178">
        <row r="2">
          <cell r="A2" t="str">
            <v>Complete</v>
          </cell>
        </row>
      </sheetData>
      <sheetData sheetId="10179">
        <row r="2">
          <cell r="A2" t="str">
            <v>Complete</v>
          </cell>
        </row>
      </sheetData>
      <sheetData sheetId="10180">
        <row r="2">
          <cell r="A2" t="str">
            <v>Complete</v>
          </cell>
        </row>
      </sheetData>
      <sheetData sheetId="10181">
        <row r="2">
          <cell r="A2" t="str">
            <v>Complete</v>
          </cell>
        </row>
      </sheetData>
      <sheetData sheetId="10182">
        <row r="2">
          <cell r="A2" t="str">
            <v>Complete</v>
          </cell>
        </row>
      </sheetData>
      <sheetData sheetId="10183">
        <row r="2">
          <cell r="A2" t="str">
            <v>Complete</v>
          </cell>
        </row>
      </sheetData>
      <sheetData sheetId="10184">
        <row r="2">
          <cell r="A2" t="str">
            <v>Complete</v>
          </cell>
        </row>
      </sheetData>
      <sheetData sheetId="10185">
        <row r="2">
          <cell r="A2" t="str">
            <v>Complete</v>
          </cell>
        </row>
      </sheetData>
      <sheetData sheetId="10186">
        <row r="2">
          <cell r="A2" t="str">
            <v>Complete</v>
          </cell>
        </row>
      </sheetData>
      <sheetData sheetId="10187">
        <row r="2">
          <cell r="A2" t="str">
            <v>Complete</v>
          </cell>
        </row>
      </sheetData>
      <sheetData sheetId="10188">
        <row r="2">
          <cell r="A2" t="str">
            <v>Complete</v>
          </cell>
        </row>
      </sheetData>
      <sheetData sheetId="10189">
        <row r="2">
          <cell r="A2" t="str">
            <v>Complete</v>
          </cell>
        </row>
      </sheetData>
      <sheetData sheetId="10190">
        <row r="2">
          <cell r="A2" t="str">
            <v>Complete</v>
          </cell>
        </row>
      </sheetData>
      <sheetData sheetId="10191">
        <row r="2">
          <cell r="A2" t="str">
            <v>Complete</v>
          </cell>
        </row>
      </sheetData>
      <sheetData sheetId="10192">
        <row r="2">
          <cell r="A2" t="str">
            <v>Complete</v>
          </cell>
        </row>
      </sheetData>
      <sheetData sheetId="10193">
        <row r="2">
          <cell r="A2" t="str">
            <v>Complete</v>
          </cell>
        </row>
      </sheetData>
      <sheetData sheetId="10194">
        <row r="2">
          <cell r="A2" t="str">
            <v>Complete</v>
          </cell>
        </row>
      </sheetData>
      <sheetData sheetId="10195">
        <row r="2">
          <cell r="A2" t="str">
            <v>Complete</v>
          </cell>
        </row>
      </sheetData>
      <sheetData sheetId="10196">
        <row r="2">
          <cell r="A2" t="str">
            <v>Complete</v>
          </cell>
        </row>
      </sheetData>
      <sheetData sheetId="10197">
        <row r="2">
          <cell r="A2" t="str">
            <v>Complete</v>
          </cell>
        </row>
      </sheetData>
      <sheetData sheetId="10198">
        <row r="2">
          <cell r="A2" t="str">
            <v>Complete</v>
          </cell>
        </row>
      </sheetData>
      <sheetData sheetId="10199">
        <row r="2">
          <cell r="A2" t="str">
            <v>Complete</v>
          </cell>
        </row>
      </sheetData>
      <sheetData sheetId="10200">
        <row r="2">
          <cell r="A2" t="str">
            <v>Complete</v>
          </cell>
        </row>
      </sheetData>
      <sheetData sheetId="10201">
        <row r="2">
          <cell r="A2" t="str">
            <v>Complete</v>
          </cell>
        </row>
      </sheetData>
      <sheetData sheetId="10202">
        <row r="2">
          <cell r="A2" t="str">
            <v>Complete</v>
          </cell>
        </row>
      </sheetData>
      <sheetData sheetId="10203">
        <row r="2">
          <cell r="A2" t="str">
            <v>Complete</v>
          </cell>
        </row>
      </sheetData>
      <sheetData sheetId="10204">
        <row r="2">
          <cell r="A2" t="str">
            <v>Complete</v>
          </cell>
        </row>
      </sheetData>
      <sheetData sheetId="10205">
        <row r="2">
          <cell r="A2" t="str">
            <v>Complete</v>
          </cell>
        </row>
      </sheetData>
      <sheetData sheetId="10206">
        <row r="2">
          <cell r="A2" t="str">
            <v>Complete</v>
          </cell>
        </row>
      </sheetData>
      <sheetData sheetId="10207">
        <row r="2">
          <cell r="A2" t="str">
            <v>Complete</v>
          </cell>
        </row>
      </sheetData>
      <sheetData sheetId="10208">
        <row r="2">
          <cell r="A2" t="str">
            <v>Complete</v>
          </cell>
        </row>
      </sheetData>
      <sheetData sheetId="10209">
        <row r="2">
          <cell r="A2" t="str">
            <v>Complete</v>
          </cell>
        </row>
      </sheetData>
      <sheetData sheetId="10210">
        <row r="2">
          <cell r="A2" t="str">
            <v>Complete</v>
          </cell>
        </row>
      </sheetData>
      <sheetData sheetId="10211">
        <row r="2">
          <cell r="A2" t="str">
            <v>Complete</v>
          </cell>
        </row>
      </sheetData>
      <sheetData sheetId="10212">
        <row r="2">
          <cell r="A2" t="str">
            <v>Complete</v>
          </cell>
        </row>
      </sheetData>
      <sheetData sheetId="10213">
        <row r="2">
          <cell r="A2" t="str">
            <v>Complete</v>
          </cell>
        </row>
      </sheetData>
      <sheetData sheetId="10214">
        <row r="2">
          <cell r="A2" t="str">
            <v>Complete</v>
          </cell>
        </row>
      </sheetData>
      <sheetData sheetId="10215">
        <row r="2">
          <cell r="A2" t="str">
            <v>Complete</v>
          </cell>
        </row>
      </sheetData>
      <sheetData sheetId="10216">
        <row r="2">
          <cell r="A2" t="str">
            <v>Complete</v>
          </cell>
        </row>
      </sheetData>
      <sheetData sheetId="10217">
        <row r="2">
          <cell r="A2" t="str">
            <v>Complete</v>
          </cell>
        </row>
      </sheetData>
      <sheetData sheetId="10218">
        <row r="2">
          <cell r="A2" t="str">
            <v>Complete</v>
          </cell>
        </row>
      </sheetData>
      <sheetData sheetId="10219">
        <row r="2">
          <cell r="A2" t="str">
            <v>Complete</v>
          </cell>
        </row>
      </sheetData>
      <sheetData sheetId="10220">
        <row r="2">
          <cell r="A2">
            <v>43462</v>
          </cell>
        </row>
      </sheetData>
      <sheetData sheetId="10221">
        <row r="2">
          <cell r="A2">
            <v>43462</v>
          </cell>
        </row>
      </sheetData>
      <sheetData sheetId="10222">
        <row r="2">
          <cell r="A2">
            <v>43462</v>
          </cell>
        </row>
      </sheetData>
      <sheetData sheetId="10223">
        <row r="2">
          <cell r="A2">
            <v>43462</v>
          </cell>
        </row>
      </sheetData>
      <sheetData sheetId="10224">
        <row r="2">
          <cell r="A2">
            <v>43462</v>
          </cell>
        </row>
      </sheetData>
      <sheetData sheetId="10225">
        <row r="2">
          <cell r="A2">
            <v>43462</v>
          </cell>
        </row>
      </sheetData>
      <sheetData sheetId="10226">
        <row r="2">
          <cell r="A2">
            <v>43462</v>
          </cell>
        </row>
      </sheetData>
      <sheetData sheetId="10227">
        <row r="2">
          <cell r="A2">
            <v>43462</v>
          </cell>
        </row>
      </sheetData>
      <sheetData sheetId="10228">
        <row r="2">
          <cell r="A2">
            <v>43462</v>
          </cell>
        </row>
      </sheetData>
      <sheetData sheetId="10229">
        <row r="2">
          <cell r="A2">
            <v>43462</v>
          </cell>
        </row>
      </sheetData>
      <sheetData sheetId="10230">
        <row r="2">
          <cell r="A2">
            <v>43462</v>
          </cell>
        </row>
      </sheetData>
      <sheetData sheetId="10231">
        <row r="2">
          <cell r="A2">
            <v>43462</v>
          </cell>
        </row>
      </sheetData>
      <sheetData sheetId="10232">
        <row r="2">
          <cell r="A2">
            <v>43462</v>
          </cell>
        </row>
      </sheetData>
      <sheetData sheetId="10233">
        <row r="2">
          <cell r="A2">
            <v>43462</v>
          </cell>
        </row>
      </sheetData>
      <sheetData sheetId="10234">
        <row r="2">
          <cell r="A2">
            <v>43462</v>
          </cell>
        </row>
      </sheetData>
      <sheetData sheetId="10235">
        <row r="2">
          <cell r="A2">
            <v>43462</v>
          </cell>
        </row>
      </sheetData>
      <sheetData sheetId="10236">
        <row r="2">
          <cell r="A2">
            <v>43462</v>
          </cell>
        </row>
      </sheetData>
      <sheetData sheetId="10237">
        <row r="2">
          <cell r="A2">
            <v>43462</v>
          </cell>
        </row>
      </sheetData>
      <sheetData sheetId="10238">
        <row r="2">
          <cell r="A2">
            <v>43462</v>
          </cell>
        </row>
      </sheetData>
      <sheetData sheetId="10239">
        <row r="2">
          <cell r="A2">
            <v>43462</v>
          </cell>
        </row>
      </sheetData>
      <sheetData sheetId="10240">
        <row r="2">
          <cell r="A2">
            <v>43462</v>
          </cell>
        </row>
      </sheetData>
      <sheetData sheetId="10241">
        <row r="2">
          <cell r="A2">
            <v>43462</v>
          </cell>
        </row>
      </sheetData>
      <sheetData sheetId="10242">
        <row r="2">
          <cell r="A2">
            <v>43462</v>
          </cell>
        </row>
      </sheetData>
      <sheetData sheetId="10243">
        <row r="2">
          <cell r="A2">
            <v>43462</v>
          </cell>
        </row>
      </sheetData>
      <sheetData sheetId="10244">
        <row r="2">
          <cell r="A2">
            <v>43462</v>
          </cell>
        </row>
      </sheetData>
      <sheetData sheetId="10245">
        <row r="2">
          <cell r="A2">
            <v>43462</v>
          </cell>
        </row>
      </sheetData>
      <sheetData sheetId="10246">
        <row r="2">
          <cell r="A2">
            <v>43462</v>
          </cell>
        </row>
      </sheetData>
      <sheetData sheetId="10247">
        <row r="2">
          <cell r="A2">
            <v>43462</v>
          </cell>
        </row>
      </sheetData>
      <sheetData sheetId="10248">
        <row r="2">
          <cell r="A2">
            <v>43462</v>
          </cell>
        </row>
      </sheetData>
      <sheetData sheetId="10249">
        <row r="2">
          <cell r="A2">
            <v>43462</v>
          </cell>
        </row>
      </sheetData>
      <sheetData sheetId="10250">
        <row r="2">
          <cell r="A2">
            <v>43462</v>
          </cell>
        </row>
      </sheetData>
      <sheetData sheetId="10251">
        <row r="2">
          <cell r="A2">
            <v>43462</v>
          </cell>
        </row>
      </sheetData>
      <sheetData sheetId="10252">
        <row r="2">
          <cell r="A2">
            <v>43462</v>
          </cell>
        </row>
      </sheetData>
      <sheetData sheetId="10253">
        <row r="2">
          <cell r="A2">
            <v>43462</v>
          </cell>
        </row>
      </sheetData>
      <sheetData sheetId="10254">
        <row r="2">
          <cell r="A2">
            <v>43462</v>
          </cell>
        </row>
      </sheetData>
      <sheetData sheetId="10255">
        <row r="2">
          <cell r="A2">
            <v>43462</v>
          </cell>
        </row>
      </sheetData>
      <sheetData sheetId="10256">
        <row r="2">
          <cell r="A2">
            <v>43462</v>
          </cell>
        </row>
      </sheetData>
      <sheetData sheetId="10257">
        <row r="2">
          <cell r="A2">
            <v>43462</v>
          </cell>
        </row>
      </sheetData>
      <sheetData sheetId="10258">
        <row r="2">
          <cell r="A2">
            <v>43462</v>
          </cell>
        </row>
      </sheetData>
      <sheetData sheetId="10259">
        <row r="2">
          <cell r="A2">
            <v>43462</v>
          </cell>
        </row>
      </sheetData>
      <sheetData sheetId="10260">
        <row r="2">
          <cell r="A2">
            <v>43462</v>
          </cell>
        </row>
      </sheetData>
      <sheetData sheetId="10261">
        <row r="2">
          <cell r="A2">
            <v>43462</v>
          </cell>
        </row>
      </sheetData>
      <sheetData sheetId="10262">
        <row r="2">
          <cell r="A2">
            <v>43462</v>
          </cell>
        </row>
      </sheetData>
      <sheetData sheetId="10263">
        <row r="2">
          <cell r="A2">
            <v>43462</v>
          </cell>
        </row>
      </sheetData>
      <sheetData sheetId="10264">
        <row r="2">
          <cell r="A2">
            <v>43462</v>
          </cell>
        </row>
      </sheetData>
      <sheetData sheetId="10265">
        <row r="2">
          <cell r="A2">
            <v>43462</v>
          </cell>
        </row>
      </sheetData>
      <sheetData sheetId="10266">
        <row r="2">
          <cell r="A2">
            <v>43462</v>
          </cell>
        </row>
      </sheetData>
      <sheetData sheetId="10267">
        <row r="2">
          <cell r="A2">
            <v>43462</v>
          </cell>
        </row>
      </sheetData>
      <sheetData sheetId="10268">
        <row r="2">
          <cell r="A2">
            <v>43462</v>
          </cell>
        </row>
      </sheetData>
      <sheetData sheetId="10269">
        <row r="2">
          <cell r="A2">
            <v>43462</v>
          </cell>
        </row>
      </sheetData>
      <sheetData sheetId="10270">
        <row r="2">
          <cell r="A2">
            <v>43462</v>
          </cell>
        </row>
      </sheetData>
      <sheetData sheetId="10271">
        <row r="2">
          <cell r="A2">
            <v>43462</v>
          </cell>
        </row>
      </sheetData>
      <sheetData sheetId="10272">
        <row r="2">
          <cell r="A2">
            <v>43462</v>
          </cell>
        </row>
      </sheetData>
      <sheetData sheetId="10273">
        <row r="2">
          <cell r="A2">
            <v>43462</v>
          </cell>
        </row>
      </sheetData>
      <sheetData sheetId="10274">
        <row r="2">
          <cell r="A2">
            <v>43462</v>
          </cell>
        </row>
      </sheetData>
      <sheetData sheetId="10275">
        <row r="2">
          <cell r="A2">
            <v>43462</v>
          </cell>
        </row>
      </sheetData>
      <sheetData sheetId="10276">
        <row r="2">
          <cell r="A2">
            <v>43462</v>
          </cell>
        </row>
      </sheetData>
      <sheetData sheetId="10277">
        <row r="2">
          <cell r="A2">
            <v>43462</v>
          </cell>
        </row>
      </sheetData>
      <sheetData sheetId="10278">
        <row r="2">
          <cell r="A2">
            <v>43462</v>
          </cell>
        </row>
      </sheetData>
      <sheetData sheetId="10279">
        <row r="2">
          <cell r="A2">
            <v>43462</v>
          </cell>
        </row>
      </sheetData>
      <sheetData sheetId="10280">
        <row r="2">
          <cell r="A2">
            <v>43462</v>
          </cell>
        </row>
      </sheetData>
      <sheetData sheetId="10281">
        <row r="2">
          <cell r="A2">
            <v>43462</v>
          </cell>
        </row>
      </sheetData>
      <sheetData sheetId="10282">
        <row r="2">
          <cell r="A2">
            <v>43462</v>
          </cell>
        </row>
      </sheetData>
      <sheetData sheetId="10283">
        <row r="2">
          <cell r="A2">
            <v>43462</v>
          </cell>
        </row>
      </sheetData>
      <sheetData sheetId="10284">
        <row r="2">
          <cell r="A2">
            <v>43462</v>
          </cell>
        </row>
      </sheetData>
      <sheetData sheetId="10285">
        <row r="2">
          <cell r="A2">
            <v>43462</v>
          </cell>
        </row>
      </sheetData>
      <sheetData sheetId="10286">
        <row r="2">
          <cell r="A2">
            <v>43462</v>
          </cell>
        </row>
      </sheetData>
      <sheetData sheetId="10287">
        <row r="2">
          <cell r="A2">
            <v>43462</v>
          </cell>
        </row>
      </sheetData>
      <sheetData sheetId="10288">
        <row r="2">
          <cell r="A2">
            <v>43462</v>
          </cell>
        </row>
      </sheetData>
      <sheetData sheetId="10289">
        <row r="2">
          <cell r="A2">
            <v>43462</v>
          </cell>
        </row>
      </sheetData>
      <sheetData sheetId="10290">
        <row r="2">
          <cell r="A2" t="str">
            <v>Complete</v>
          </cell>
        </row>
      </sheetData>
      <sheetData sheetId="10291">
        <row r="2">
          <cell r="A2">
            <v>43462</v>
          </cell>
        </row>
      </sheetData>
      <sheetData sheetId="10292">
        <row r="2">
          <cell r="A2" t="str">
            <v>Complete</v>
          </cell>
        </row>
      </sheetData>
      <sheetData sheetId="10293">
        <row r="2">
          <cell r="A2">
            <v>43462</v>
          </cell>
        </row>
      </sheetData>
      <sheetData sheetId="10294">
        <row r="2">
          <cell r="A2" t="str">
            <v>Complete</v>
          </cell>
        </row>
      </sheetData>
      <sheetData sheetId="10295">
        <row r="2">
          <cell r="A2">
            <v>43462</v>
          </cell>
        </row>
      </sheetData>
      <sheetData sheetId="10296">
        <row r="2">
          <cell r="A2" t="str">
            <v>Complete</v>
          </cell>
        </row>
      </sheetData>
      <sheetData sheetId="10297">
        <row r="2">
          <cell r="A2">
            <v>43462</v>
          </cell>
        </row>
      </sheetData>
      <sheetData sheetId="10298">
        <row r="2">
          <cell r="A2" t="str">
            <v>Complete</v>
          </cell>
        </row>
      </sheetData>
      <sheetData sheetId="10299">
        <row r="2">
          <cell r="A2">
            <v>43462</v>
          </cell>
        </row>
      </sheetData>
      <sheetData sheetId="10300">
        <row r="2">
          <cell r="A2" t="str">
            <v>Complete</v>
          </cell>
        </row>
      </sheetData>
      <sheetData sheetId="10301">
        <row r="2">
          <cell r="A2">
            <v>43462</v>
          </cell>
        </row>
      </sheetData>
      <sheetData sheetId="10302">
        <row r="2">
          <cell r="A2" t="str">
            <v>Complete</v>
          </cell>
        </row>
      </sheetData>
      <sheetData sheetId="10303">
        <row r="2">
          <cell r="A2">
            <v>43462</v>
          </cell>
        </row>
      </sheetData>
      <sheetData sheetId="10304">
        <row r="2">
          <cell r="A2" t="str">
            <v>Complete</v>
          </cell>
        </row>
      </sheetData>
      <sheetData sheetId="10305">
        <row r="2">
          <cell r="A2">
            <v>43462</v>
          </cell>
        </row>
      </sheetData>
      <sheetData sheetId="10306">
        <row r="2">
          <cell r="A2" t="str">
            <v>Complete</v>
          </cell>
        </row>
      </sheetData>
      <sheetData sheetId="10307">
        <row r="2">
          <cell r="A2">
            <v>43462</v>
          </cell>
        </row>
      </sheetData>
      <sheetData sheetId="10308">
        <row r="2">
          <cell r="A2" t="str">
            <v>Complete</v>
          </cell>
        </row>
      </sheetData>
      <sheetData sheetId="10309">
        <row r="2">
          <cell r="A2">
            <v>43462</v>
          </cell>
        </row>
      </sheetData>
      <sheetData sheetId="10310">
        <row r="2">
          <cell r="A2" t="str">
            <v>Complete</v>
          </cell>
        </row>
      </sheetData>
      <sheetData sheetId="10311">
        <row r="2">
          <cell r="A2" t="str">
            <v>Complete</v>
          </cell>
        </row>
      </sheetData>
      <sheetData sheetId="10312">
        <row r="2">
          <cell r="A2" t="str">
            <v>Complete</v>
          </cell>
        </row>
      </sheetData>
      <sheetData sheetId="10313">
        <row r="2">
          <cell r="A2">
            <v>43462</v>
          </cell>
        </row>
      </sheetData>
      <sheetData sheetId="10314">
        <row r="2">
          <cell r="A2" t="str">
            <v>Complete</v>
          </cell>
        </row>
      </sheetData>
      <sheetData sheetId="10315">
        <row r="2">
          <cell r="A2">
            <v>43462</v>
          </cell>
        </row>
      </sheetData>
      <sheetData sheetId="10316">
        <row r="2">
          <cell r="A2" t="str">
            <v>Complete</v>
          </cell>
        </row>
      </sheetData>
      <sheetData sheetId="10317">
        <row r="2">
          <cell r="A2">
            <v>43462</v>
          </cell>
        </row>
      </sheetData>
      <sheetData sheetId="10318">
        <row r="2">
          <cell r="A2" t="str">
            <v>Complete</v>
          </cell>
        </row>
      </sheetData>
      <sheetData sheetId="10319">
        <row r="2">
          <cell r="A2" t="str">
            <v>Complete</v>
          </cell>
        </row>
      </sheetData>
      <sheetData sheetId="10320">
        <row r="2">
          <cell r="A2" t="str">
            <v>Complete</v>
          </cell>
        </row>
      </sheetData>
      <sheetData sheetId="10321">
        <row r="2">
          <cell r="A2" t="str">
            <v>Complete</v>
          </cell>
        </row>
      </sheetData>
      <sheetData sheetId="10322">
        <row r="2">
          <cell r="A2" t="str">
            <v>Complete</v>
          </cell>
        </row>
      </sheetData>
      <sheetData sheetId="10323">
        <row r="2">
          <cell r="A2" t="str">
            <v>Complete</v>
          </cell>
        </row>
      </sheetData>
      <sheetData sheetId="10324">
        <row r="2">
          <cell r="A2" t="str">
            <v>Complete</v>
          </cell>
        </row>
      </sheetData>
      <sheetData sheetId="10325">
        <row r="2">
          <cell r="A2" t="str">
            <v>Complete</v>
          </cell>
        </row>
      </sheetData>
      <sheetData sheetId="10326">
        <row r="2">
          <cell r="A2" t="str">
            <v>Complete</v>
          </cell>
        </row>
      </sheetData>
      <sheetData sheetId="10327">
        <row r="2">
          <cell r="A2" t="str">
            <v>Complete</v>
          </cell>
        </row>
      </sheetData>
      <sheetData sheetId="10328">
        <row r="2">
          <cell r="A2" t="str">
            <v>Complete</v>
          </cell>
        </row>
      </sheetData>
      <sheetData sheetId="10329">
        <row r="2">
          <cell r="A2">
            <v>43462</v>
          </cell>
        </row>
      </sheetData>
      <sheetData sheetId="10330">
        <row r="2">
          <cell r="A2">
            <v>43462</v>
          </cell>
        </row>
      </sheetData>
      <sheetData sheetId="10331">
        <row r="2">
          <cell r="A2">
            <v>43462</v>
          </cell>
        </row>
      </sheetData>
      <sheetData sheetId="10332">
        <row r="2">
          <cell r="A2">
            <v>43462</v>
          </cell>
        </row>
      </sheetData>
      <sheetData sheetId="10333">
        <row r="2">
          <cell r="A2">
            <v>43462</v>
          </cell>
        </row>
      </sheetData>
      <sheetData sheetId="10334">
        <row r="2">
          <cell r="A2">
            <v>43462</v>
          </cell>
        </row>
      </sheetData>
      <sheetData sheetId="10335">
        <row r="2">
          <cell r="A2">
            <v>43462</v>
          </cell>
        </row>
      </sheetData>
      <sheetData sheetId="10336">
        <row r="2">
          <cell r="A2">
            <v>43462</v>
          </cell>
        </row>
      </sheetData>
      <sheetData sheetId="10337">
        <row r="2">
          <cell r="A2">
            <v>43462</v>
          </cell>
        </row>
      </sheetData>
      <sheetData sheetId="10338">
        <row r="2">
          <cell r="A2">
            <v>43462</v>
          </cell>
        </row>
      </sheetData>
      <sheetData sheetId="10339">
        <row r="2">
          <cell r="A2">
            <v>43462</v>
          </cell>
        </row>
      </sheetData>
      <sheetData sheetId="10340">
        <row r="2">
          <cell r="A2">
            <v>43462</v>
          </cell>
        </row>
      </sheetData>
      <sheetData sheetId="10341">
        <row r="2">
          <cell r="A2">
            <v>43462</v>
          </cell>
        </row>
      </sheetData>
      <sheetData sheetId="10342">
        <row r="2">
          <cell r="A2">
            <v>43462</v>
          </cell>
        </row>
      </sheetData>
      <sheetData sheetId="10343">
        <row r="2">
          <cell r="A2">
            <v>43462</v>
          </cell>
        </row>
      </sheetData>
      <sheetData sheetId="10344">
        <row r="2">
          <cell r="A2">
            <v>43462</v>
          </cell>
        </row>
      </sheetData>
      <sheetData sheetId="10345">
        <row r="2">
          <cell r="A2">
            <v>43462</v>
          </cell>
        </row>
      </sheetData>
      <sheetData sheetId="10346">
        <row r="2">
          <cell r="A2">
            <v>43462</v>
          </cell>
        </row>
      </sheetData>
      <sheetData sheetId="10347">
        <row r="2">
          <cell r="A2">
            <v>43462</v>
          </cell>
        </row>
      </sheetData>
      <sheetData sheetId="10348">
        <row r="2">
          <cell r="A2">
            <v>43462</v>
          </cell>
        </row>
      </sheetData>
      <sheetData sheetId="10349">
        <row r="2">
          <cell r="A2">
            <v>43462</v>
          </cell>
        </row>
      </sheetData>
      <sheetData sheetId="10350">
        <row r="2">
          <cell r="A2">
            <v>43462</v>
          </cell>
        </row>
      </sheetData>
      <sheetData sheetId="10351">
        <row r="2">
          <cell r="A2">
            <v>43462</v>
          </cell>
        </row>
      </sheetData>
      <sheetData sheetId="10352">
        <row r="2">
          <cell r="A2">
            <v>43462</v>
          </cell>
        </row>
      </sheetData>
      <sheetData sheetId="10353">
        <row r="2">
          <cell r="A2">
            <v>43462</v>
          </cell>
        </row>
      </sheetData>
      <sheetData sheetId="10354">
        <row r="2">
          <cell r="A2">
            <v>43462</v>
          </cell>
        </row>
      </sheetData>
      <sheetData sheetId="10355">
        <row r="2">
          <cell r="A2">
            <v>43462</v>
          </cell>
        </row>
      </sheetData>
      <sheetData sheetId="10356">
        <row r="2">
          <cell r="A2">
            <v>43462</v>
          </cell>
        </row>
      </sheetData>
      <sheetData sheetId="10357">
        <row r="2">
          <cell r="A2">
            <v>43462</v>
          </cell>
        </row>
      </sheetData>
      <sheetData sheetId="10358">
        <row r="2">
          <cell r="A2">
            <v>43462</v>
          </cell>
        </row>
      </sheetData>
      <sheetData sheetId="10359">
        <row r="2">
          <cell r="A2">
            <v>43462</v>
          </cell>
        </row>
      </sheetData>
      <sheetData sheetId="10360">
        <row r="2">
          <cell r="A2">
            <v>43462</v>
          </cell>
        </row>
      </sheetData>
      <sheetData sheetId="10361">
        <row r="2">
          <cell r="A2">
            <v>43462</v>
          </cell>
        </row>
      </sheetData>
      <sheetData sheetId="10362">
        <row r="2">
          <cell r="A2">
            <v>43462</v>
          </cell>
        </row>
      </sheetData>
      <sheetData sheetId="10363">
        <row r="2">
          <cell r="A2">
            <v>43462</v>
          </cell>
        </row>
      </sheetData>
      <sheetData sheetId="10364">
        <row r="2">
          <cell r="A2">
            <v>43462</v>
          </cell>
        </row>
      </sheetData>
      <sheetData sheetId="10365">
        <row r="2">
          <cell r="A2">
            <v>43462</v>
          </cell>
        </row>
      </sheetData>
      <sheetData sheetId="10366">
        <row r="2">
          <cell r="A2">
            <v>43462</v>
          </cell>
        </row>
      </sheetData>
      <sheetData sheetId="10367">
        <row r="2">
          <cell r="A2">
            <v>43462</v>
          </cell>
        </row>
      </sheetData>
      <sheetData sheetId="10368">
        <row r="2">
          <cell r="A2">
            <v>43462</v>
          </cell>
        </row>
      </sheetData>
      <sheetData sheetId="10369">
        <row r="2">
          <cell r="A2">
            <v>43462</v>
          </cell>
        </row>
      </sheetData>
      <sheetData sheetId="10370">
        <row r="2">
          <cell r="A2">
            <v>43462</v>
          </cell>
        </row>
      </sheetData>
      <sheetData sheetId="10371">
        <row r="2">
          <cell r="A2">
            <v>43462</v>
          </cell>
        </row>
      </sheetData>
      <sheetData sheetId="10372">
        <row r="2">
          <cell r="A2" t="str">
            <v>Complete</v>
          </cell>
        </row>
      </sheetData>
      <sheetData sheetId="10373">
        <row r="2">
          <cell r="A2">
            <v>43462</v>
          </cell>
        </row>
      </sheetData>
      <sheetData sheetId="10374">
        <row r="2">
          <cell r="A2" t="str">
            <v>Complete</v>
          </cell>
        </row>
      </sheetData>
      <sheetData sheetId="10375">
        <row r="2">
          <cell r="A2">
            <v>43462</v>
          </cell>
        </row>
      </sheetData>
      <sheetData sheetId="10376">
        <row r="2">
          <cell r="A2" t="str">
            <v>Complete</v>
          </cell>
        </row>
      </sheetData>
      <sheetData sheetId="10377">
        <row r="2">
          <cell r="A2">
            <v>43462</v>
          </cell>
        </row>
      </sheetData>
      <sheetData sheetId="10378">
        <row r="2">
          <cell r="A2" t="str">
            <v>Complete</v>
          </cell>
        </row>
      </sheetData>
      <sheetData sheetId="10379">
        <row r="2">
          <cell r="A2">
            <v>43462</v>
          </cell>
        </row>
      </sheetData>
      <sheetData sheetId="10380">
        <row r="2">
          <cell r="A2" t="str">
            <v>Complete</v>
          </cell>
        </row>
      </sheetData>
      <sheetData sheetId="10381">
        <row r="2">
          <cell r="A2">
            <v>43462</v>
          </cell>
        </row>
      </sheetData>
      <sheetData sheetId="10382">
        <row r="2">
          <cell r="A2" t="str">
            <v>Complete</v>
          </cell>
        </row>
      </sheetData>
      <sheetData sheetId="10383">
        <row r="2">
          <cell r="A2">
            <v>43462</v>
          </cell>
        </row>
      </sheetData>
      <sheetData sheetId="10384">
        <row r="2">
          <cell r="A2" t="str">
            <v>Complete</v>
          </cell>
        </row>
      </sheetData>
      <sheetData sheetId="10385">
        <row r="2">
          <cell r="A2">
            <v>43462</v>
          </cell>
        </row>
      </sheetData>
      <sheetData sheetId="10386">
        <row r="2">
          <cell r="A2" t="str">
            <v>Complete</v>
          </cell>
        </row>
      </sheetData>
      <sheetData sheetId="10387">
        <row r="2">
          <cell r="A2">
            <v>43462</v>
          </cell>
        </row>
      </sheetData>
      <sheetData sheetId="10388">
        <row r="2">
          <cell r="A2" t="str">
            <v>Complete</v>
          </cell>
        </row>
      </sheetData>
      <sheetData sheetId="10389">
        <row r="2">
          <cell r="A2">
            <v>43462</v>
          </cell>
        </row>
      </sheetData>
      <sheetData sheetId="10390">
        <row r="2">
          <cell r="A2" t="str">
            <v>Complete</v>
          </cell>
        </row>
      </sheetData>
      <sheetData sheetId="10391">
        <row r="2">
          <cell r="A2">
            <v>43462</v>
          </cell>
        </row>
      </sheetData>
      <sheetData sheetId="10392">
        <row r="2">
          <cell r="A2" t="str">
            <v>Complete</v>
          </cell>
        </row>
      </sheetData>
      <sheetData sheetId="10393">
        <row r="2">
          <cell r="A2" t="str">
            <v>Complete</v>
          </cell>
        </row>
      </sheetData>
      <sheetData sheetId="10394">
        <row r="2">
          <cell r="A2" t="str">
            <v>Complete</v>
          </cell>
        </row>
      </sheetData>
      <sheetData sheetId="10395">
        <row r="2">
          <cell r="A2">
            <v>43462</v>
          </cell>
        </row>
      </sheetData>
      <sheetData sheetId="10396">
        <row r="2">
          <cell r="A2" t="str">
            <v>Complete</v>
          </cell>
        </row>
      </sheetData>
      <sheetData sheetId="10397">
        <row r="2">
          <cell r="A2">
            <v>43462</v>
          </cell>
        </row>
      </sheetData>
      <sheetData sheetId="10398">
        <row r="2">
          <cell r="A2" t="str">
            <v>Complete</v>
          </cell>
        </row>
      </sheetData>
      <sheetData sheetId="10399">
        <row r="2">
          <cell r="A2">
            <v>43462</v>
          </cell>
        </row>
      </sheetData>
      <sheetData sheetId="10400">
        <row r="2">
          <cell r="A2" t="str">
            <v>Complete</v>
          </cell>
        </row>
      </sheetData>
      <sheetData sheetId="10401">
        <row r="2">
          <cell r="A2" t="str">
            <v>Complete</v>
          </cell>
        </row>
      </sheetData>
      <sheetData sheetId="10402">
        <row r="2">
          <cell r="A2" t="str">
            <v>Complete</v>
          </cell>
        </row>
      </sheetData>
      <sheetData sheetId="10403">
        <row r="2">
          <cell r="A2" t="str">
            <v>Complete</v>
          </cell>
        </row>
      </sheetData>
      <sheetData sheetId="10404">
        <row r="2">
          <cell r="A2" t="str">
            <v>Complete</v>
          </cell>
        </row>
      </sheetData>
      <sheetData sheetId="10405">
        <row r="2">
          <cell r="A2" t="str">
            <v>Complete</v>
          </cell>
        </row>
      </sheetData>
      <sheetData sheetId="10406">
        <row r="2">
          <cell r="A2" t="str">
            <v>Complete</v>
          </cell>
        </row>
      </sheetData>
      <sheetData sheetId="10407">
        <row r="2">
          <cell r="A2" t="str">
            <v>Complete</v>
          </cell>
        </row>
      </sheetData>
      <sheetData sheetId="10408">
        <row r="2">
          <cell r="A2" t="str">
            <v>Complete</v>
          </cell>
        </row>
      </sheetData>
      <sheetData sheetId="10409">
        <row r="2">
          <cell r="A2" t="str">
            <v>Complete</v>
          </cell>
        </row>
      </sheetData>
      <sheetData sheetId="10410">
        <row r="2">
          <cell r="A2" t="str">
            <v>Complete</v>
          </cell>
        </row>
      </sheetData>
      <sheetData sheetId="10411">
        <row r="2">
          <cell r="A2" t="str">
            <v>Complete</v>
          </cell>
        </row>
      </sheetData>
      <sheetData sheetId="10412">
        <row r="2">
          <cell r="A2" t="str">
            <v>Complete</v>
          </cell>
        </row>
      </sheetData>
      <sheetData sheetId="10413">
        <row r="2">
          <cell r="A2" t="str">
            <v>Complete</v>
          </cell>
        </row>
      </sheetData>
      <sheetData sheetId="10414">
        <row r="2">
          <cell r="A2" t="str">
            <v>Complete</v>
          </cell>
        </row>
      </sheetData>
      <sheetData sheetId="10415">
        <row r="2">
          <cell r="A2" t="str">
            <v>Complete</v>
          </cell>
        </row>
      </sheetData>
      <sheetData sheetId="10416">
        <row r="2">
          <cell r="A2" t="str">
            <v>Complete</v>
          </cell>
        </row>
      </sheetData>
      <sheetData sheetId="10417">
        <row r="2">
          <cell r="A2" t="str">
            <v>Complete</v>
          </cell>
        </row>
      </sheetData>
      <sheetData sheetId="10418">
        <row r="2">
          <cell r="A2" t="str">
            <v>Complete</v>
          </cell>
        </row>
      </sheetData>
      <sheetData sheetId="10419">
        <row r="2">
          <cell r="A2" t="str">
            <v>Complete</v>
          </cell>
        </row>
      </sheetData>
      <sheetData sheetId="10420">
        <row r="2">
          <cell r="A2" t="str">
            <v>Complete</v>
          </cell>
        </row>
      </sheetData>
      <sheetData sheetId="10421">
        <row r="2">
          <cell r="A2" t="str">
            <v>Complete</v>
          </cell>
        </row>
      </sheetData>
      <sheetData sheetId="10422">
        <row r="2">
          <cell r="A2" t="str">
            <v>Complete</v>
          </cell>
        </row>
      </sheetData>
      <sheetData sheetId="10423">
        <row r="2">
          <cell r="A2" t="str">
            <v>Complete</v>
          </cell>
        </row>
      </sheetData>
      <sheetData sheetId="10424">
        <row r="2">
          <cell r="A2" t="str">
            <v>Complete</v>
          </cell>
        </row>
      </sheetData>
      <sheetData sheetId="10425">
        <row r="2">
          <cell r="A2" t="str">
            <v>Complete</v>
          </cell>
        </row>
      </sheetData>
      <sheetData sheetId="10426">
        <row r="2">
          <cell r="A2" t="str">
            <v>Complete</v>
          </cell>
        </row>
      </sheetData>
      <sheetData sheetId="10427">
        <row r="2">
          <cell r="A2">
            <v>43462</v>
          </cell>
        </row>
      </sheetData>
      <sheetData sheetId="10428">
        <row r="2">
          <cell r="A2">
            <v>43462</v>
          </cell>
        </row>
      </sheetData>
      <sheetData sheetId="10429">
        <row r="2">
          <cell r="A2">
            <v>43462</v>
          </cell>
        </row>
      </sheetData>
      <sheetData sheetId="10430">
        <row r="2">
          <cell r="A2">
            <v>43462</v>
          </cell>
        </row>
      </sheetData>
      <sheetData sheetId="10431">
        <row r="2">
          <cell r="A2">
            <v>43462</v>
          </cell>
        </row>
      </sheetData>
      <sheetData sheetId="10432">
        <row r="2">
          <cell r="A2">
            <v>43462</v>
          </cell>
        </row>
      </sheetData>
      <sheetData sheetId="10433">
        <row r="2">
          <cell r="A2">
            <v>43462</v>
          </cell>
        </row>
      </sheetData>
      <sheetData sheetId="10434">
        <row r="2">
          <cell r="A2">
            <v>43462</v>
          </cell>
        </row>
      </sheetData>
      <sheetData sheetId="10435">
        <row r="2">
          <cell r="A2">
            <v>43462</v>
          </cell>
        </row>
      </sheetData>
      <sheetData sheetId="10436">
        <row r="2">
          <cell r="A2">
            <v>43462</v>
          </cell>
        </row>
      </sheetData>
      <sheetData sheetId="10437">
        <row r="2">
          <cell r="A2">
            <v>43462</v>
          </cell>
        </row>
      </sheetData>
      <sheetData sheetId="10438">
        <row r="2">
          <cell r="A2">
            <v>43462</v>
          </cell>
        </row>
      </sheetData>
      <sheetData sheetId="10439">
        <row r="2">
          <cell r="A2">
            <v>43462</v>
          </cell>
        </row>
      </sheetData>
      <sheetData sheetId="10440">
        <row r="2">
          <cell r="A2">
            <v>43462</v>
          </cell>
        </row>
      </sheetData>
      <sheetData sheetId="10441">
        <row r="2">
          <cell r="A2">
            <v>43462</v>
          </cell>
        </row>
      </sheetData>
      <sheetData sheetId="10442">
        <row r="2">
          <cell r="A2">
            <v>43462</v>
          </cell>
        </row>
      </sheetData>
      <sheetData sheetId="10443">
        <row r="2">
          <cell r="A2">
            <v>43462</v>
          </cell>
        </row>
      </sheetData>
      <sheetData sheetId="10444">
        <row r="2">
          <cell r="A2">
            <v>43462</v>
          </cell>
        </row>
      </sheetData>
      <sheetData sheetId="10445">
        <row r="2">
          <cell r="A2">
            <v>43462</v>
          </cell>
        </row>
      </sheetData>
      <sheetData sheetId="10446">
        <row r="2">
          <cell r="A2">
            <v>43462</v>
          </cell>
        </row>
      </sheetData>
      <sheetData sheetId="10447">
        <row r="2">
          <cell r="A2">
            <v>43462</v>
          </cell>
        </row>
      </sheetData>
      <sheetData sheetId="10448">
        <row r="2">
          <cell r="A2">
            <v>43462</v>
          </cell>
        </row>
      </sheetData>
      <sheetData sheetId="10449">
        <row r="2">
          <cell r="A2">
            <v>43462</v>
          </cell>
        </row>
      </sheetData>
      <sheetData sheetId="10450">
        <row r="2">
          <cell r="A2">
            <v>43462</v>
          </cell>
        </row>
      </sheetData>
      <sheetData sheetId="10451">
        <row r="2">
          <cell r="A2">
            <v>43462</v>
          </cell>
        </row>
      </sheetData>
      <sheetData sheetId="10452">
        <row r="2">
          <cell r="A2">
            <v>43462</v>
          </cell>
        </row>
      </sheetData>
      <sheetData sheetId="10453">
        <row r="2">
          <cell r="A2">
            <v>43462</v>
          </cell>
        </row>
      </sheetData>
      <sheetData sheetId="10454">
        <row r="2">
          <cell r="A2">
            <v>43462</v>
          </cell>
        </row>
      </sheetData>
      <sheetData sheetId="10455">
        <row r="2">
          <cell r="A2">
            <v>43462</v>
          </cell>
        </row>
      </sheetData>
      <sheetData sheetId="10456">
        <row r="2">
          <cell r="A2">
            <v>43462</v>
          </cell>
        </row>
      </sheetData>
      <sheetData sheetId="10457">
        <row r="2">
          <cell r="A2">
            <v>43462</v>
          </cell>
        </row>
      </sheetData>
      <sheetData sheetId="10458">
        <row r="2">
          <cell r="A2">
            <v>43462</v>
          </cell>
        </row>
      </sheetData>
      <sheetData sheetId="10459">
        <row r="2">
          <cell r="A2">
            <v>43462</v>
          </cell>
        </row>
      </sheetData>
      <sheetData sheetId="10460">
        <row r="2">
          <cell r="A2">
            <v>43462</v>
          </cell>
        </row>
      </sheetData>
      <sheetData sheetId="10461">
        <row r="2">
          <cell r="A2">
            <v>43462</v>
          </cell>
        </row>
      </sheetData>
      <sheetData sheetId="10462">
        <row r="2">
          <cell r="A2">
            <v>43462</v>
          </cell>
        </row>
      </sheetData>
      <sheetData sheetId="10463">
        <row r="2">
          <cell r="A2">
            <v>43462</v>
          </cell>
        </row>
      </sheetData>
      <sheetData sheetId="10464">
        <row r="2">
          <cell r="A2">
            <v>43462</v>
          </cell>
        </row>
      </sheetData>
      <sheetData sheetId="10465">
        <row r="2">
          <cell r="A2">
            <v>43462</v>
          </cell>
        </row>
      </sheetData>
      <sheetData sheetId="10466">
        <row r="2">
          <cell r="A2">
            <v>43462</v>
          </cell>
        </row>
      </sheetData>
      <sheetData sheetId="10467">
        <row r="2">
          <cell r="A2">
            <v>43462</v>
          </cell>
        </row>
      </sheetData>
      <sheetData sheetId="10468">
        <row r="2">
          <cell r="A2">
            <v>43462</v>
          </cell>
        </row>
      </sheetData>
      <sheetData sheetId="10469">
        <row r="2">
          <cell r="A2">
            <v>43462</v>
          </cell>
        </row>
      </sheetData>
      <sheetData sheetId="10470">
        <row r="2">
          <cell r="A2" t="str">
            <v>Complete</v>
          </cell>
        </row>
      </sheetData>
      <sheetData sheetId="10471">
        <row r="2">
          <cell r="A2">
            <v>43462</v>
          </cell>
        </row>
      </sheetData>
      <sheetData sheetId="10472">
        <row r="2">
          <cell r="A2" t="str">
            <v>Complete</v>
          </cell>
        </row>
      </sheetData>
      <sheetData sheetId="10473">
        <row r="2">
          <cell r="A2">
            <v>43462</v>
          </cell>
        </row>
      </sheetData>
      <sheetData sheetId="10474">
        <row r="2">
          <cell r="A2" t="str">
            <v>Complete</v>
          </cell>
        </row>
      </sheetData>
      <sheetData sheetId="10475">
        <row r="2">
          <cell r="A2">
            <v>43462</v>
          </cell>
        </row>
      </sheetData>
      <sheetData sheetId="10476">
        <row r="2">
          <cell r="A2" t="str">
            <v>Complete</v>
          </cell>
        </row>
      </sheetData>
      <sheetData sheetId="10477">
        <row r="2">
          <cell r="A2">
            <v>43462</v>
          </cell>
        </row>
      </sheetData>
      <sheetData sheetId="10478">
        <row r="2">
          <cell r="A2" t="str">
            <v>Complete</v>
          </cell>
        </row>
      </sheetData>
      <sheetData sheetId="10479">
        <row r="2">
          <cell r="A2">
            <v>43462</v>
          </cell>
        </row>
      </sheetData>
      <sheetData sheetId="10480">
        <row r="2">
          <cell r="A2" t="str">
            <v>Complete</v>
          </cell>
        </row>
      </sheetData>
      <sheetData sheetId="10481">
        <row r="2">
          <cell r="A2">
            <v>43462</v>
          </cell>
        </row>
      </sheetData>
      <sheetData sheetId="10482">
        <row r="2">
          <cell r="A2" t="str">
            <v>Complete</v>
          </cell>
        </row>
      </sheetData>
      <sheetData sheetId="10483">
        <row r="2">
          <cell r="A2">
            <v>43462</v>
          </cell>
        </row>
      </sheetData>
      <sheetData sheetId="10484">
        <row r="2">
          <cell r="A2" t="str">
            <v>Complete</v>
          </cell>
        </row>
      </sheetData>
      <sheetData sheetId="10485">
        <row r="2">
          <cell r="A2">
            <v>43462</v>
          </cell>
        </row>
      </sheetData>
      <sheetData sheetId="10486">
        <row r="2">
          <cell r="A2" t="str">
            <v>Complete</v>
          </cell>
        </row>
      </sheetData>
      <sheetData sheetId="10487">
        <row r="2">
          <cell r="A2">
            <v>43462</v>
          </cell>
        </row>
      </sheetData>
      <sheetData sheetId="10488">
        <row r="2">
          <cell r="A2" t="str">
            <v>Complete</v>
          </cell>
        </row>
      </sheetData>
      <sheetData sheetId="10489">
        <row r="2">
          <cell r="A2">
            <v>43462</v>
          </cell>
        </row>
      </sheetData>
      <sheetData sheetId="10490">
        <row r="2">
          <cell r="A2" t="str">
            <v>Complete</v>
          </cell>
        </row>
      </sheetData>
      <sheetData sheetId="10491">
        <row r="2">
          <cell r="A2">
            <v>43462</v>
          </cell>
        </row>
      </sheetData>
      <sheetData sheetId="10492">
        <row r="2">
          <cell r="A2" t="str">
            <v>Complete</v>
          </cell>
        </row>
      </sheetData>
      <sheetData sheetId="10493">
        <row r="2">
          <cell r="A2">
            <v>43462</v>
          </cell>
        </row>
      </sheetData>
      <sheetData sheetId="10494">
        <row r="2">
          <cell r="A2" t="str">
            <v>Complete</v>
          </cell>
        </row>
      </sheetData>
      <sheetData sheetId="10495">
        <row r="2">
          <cell r="A2" t="str">
            <v>Complete</v>
          </cell>
        </row>
      </sheetData>
      <sheetData sheetId="10496">
        <row r="2">
          <cell r="A2" t="str">
            <v>Complete</v>
          </cell>
        </row>
      </sheetData>
      <sheetData sheetId="10497">
        <row r="2">
          <cell r="A2" t="str">
            <v>Complete</v>
          </cell>
        </row>
      </sheetData>
      <sheetData sheetId="10498">
        <row r="2">
          <cell r="A2" t="str">
            <v>Complete</v>
          </cell>
        </row>
      </sheetData>
      <sheetData sheetId="10499">
        <row r="2">
          <cell r="A2" t="str">
            <v>Complete</v>
          </cell>
        </row>
      </sheetData>
      <sheetData sheetId="10500">
        <row r="2">
          <cell r="A2" t="str">
            <v>Complete</v>
          </cell>
        </row>
      </sheetData>
      <sheetData sheetId="10501">
        <row r="2">
          <cell r="A2" t="str">
            <v>Complete</v>
          </cell>
        </row>
      </sheetData>
      <sheetData sheetId="10502">
        <row r="2">
          <cell r="A2" t="str">
            <v>Complete</v>
          </cell>
        </row>
      </sheetData>
      <sheetData sheetId="10503">
        <row r="2">
          <cell r="A2" t="str">
            <v>Complete</v>
          </cell>
        </row>
      </sheetData>
      <sheetData sheetId="10504">
        <row r="2">
          <cell r="A2" t="str">
            <v>Complete</v>
          </cell>
        </row>
      </sheetData>
      <sheetData sheetId="10505">
        <row r="2">
          <cell r="A2" t="str">
            <v>Complete</v>
          </cell>
        </row>
      </sheetData>
      <sheetData sheetId="10506">
        <row r="2">
          <cell r="A2" t="str">
            <v>Complete</v>
          </cell>
        </row>
      </sheetData>
      <sheetData sheetId="10507">
        <row r="2">
          <cell r="A2" t="str">
            <v>Complete</v>
          </cell>
        </row>
      </sheetData>
      <sheetData sheetId="10508">
        <row r="2">
          <cell r="A2" t="str">
            <v>Complete</v>
          </cell>
        </row>
      </sheetData>
      <sheetData sheetId="10509">
        <row r="2">
          <cell r="A2" t="str">
            <v>Complete</v>
          </cell>
        </row>
      </sheetData>
      <sheetData sheetId="10510">
        <row r="2">
          <cell r="A2" t="str">
            <v>Complete</v>
          </cell>
        </row>
      </sheetData>
      <sheetData sheetId="10511">
        <row r="2">
          <cell r="A2" t="str">
            <v>Complete</v>
          </cell>
        </row>
      </sheetData>
      <sheetData sheetId="10512">
        <row r="2">
          <cell r="A2" t="str">
            <v>Complete</v>
          </cell>
        </row>
      </sheetData>
      <sheetData sheetId="10513">
        <row r="2">
          <cell r="A2" t="str">
            <v>Complete</v>
          </cell>
        </row>
      </sheetData>
      <sheetData sheetId="10514">
        <row r="2">
          <cell r="A2" t="str">
            <v>Complete</v>
          </cell>
        </row>
      </sheetData>
      <sheetData sheetId="10515">
        <row r="2">
          <cell r="A2" t="str">
            <v>Complete</v>
          </cell>
        </row>
      </sheetData>
      <sheetData sheetId="10516">
        <row r="2">
          <cell r="A2" t="str">
            <v>Complete</v>
          </cell>
        </row>
      </sheetData>
      <sheetData sheetId="10517">
        <row r="2">
          <cell r="A2" t="str">
            <v>Complete</v>
          </cell>
        </row>
      </sheetData>
      <sheetData sheetId="10518">
        <row r="2">
          <cell r="A2">
            <v>43462</v>
          </cell>
        </row>
      </sheetData>
      <sheetData sheetId="10519">
        <row r="2">
          <cell r="A2" t="str">
            <v>Complete</v>
          </cell>
        </row>
      </sheetData>
      <sheetData sheetId="10520">
        <row r="2">
          <cell r="A2">
            <v>43462</v>
          </cell>
        </row>
      </sheetData>
      <sheetData sheetId="10521">
        <row r="2">
          <cell r="A2" t="str">
            <v>Complete</v>
          </cell>
        </row>
      </sheetData>
      <sheetData sheetId="10522">
        <row r="2">
          <cell r="A2">
            <v>43462</v>
          </cell>
        </row>
      </sheetData>
      <sheetData sheetId="10523">
        <row r="2">
          <cell r="A2" t="str">
            <v>Complete</v>
          </cell>
        </row>
      </sheetData>
      <sheetData sheetId="10524">
        <row r="2">
          <cell r="A2">
            <v>43462</v>
          </cell>
        </row>
      </sheetData>
      <sheetData sheetId="10525">
        <row r="2">
          <cell r="A2" t="str">
            <v>Complete</v>
          </cell>
        </row>
      </sheetData>
      <sheetData sheetId="10526">
        <row r="2">
          <cell r="A2">
            <v>43462</v>
          </cell>
        </row>
      </sheetData>
      <sheetData sheetId="10527">
        <row r="2">
          <cell r="A2" t="str">
            <v>Complete</v>
          </cell>
        </row>
      </sheetData>
      <sheetData sheetId="10528">
        <row r="2">
          <cell r="A2">
            <v>43462</v>
          </cell>
        </row>
      </sheetData>
      <sheetData sheetId="10529">
        <row r="2">
          <cell r="A2" t="str">
            <v>Complete</v>
          </cell>
        </row>
      </sheetData>
      <sheetData sheetId="10530">
        <row r="2">
          <cell r="A2">
            <v>43462</v>
          </cell>
        </row>
      </sheetData>
      <sheetData sheetId="10531">
        <row r="2">
          <cell r="A2" t="str">
            <v>Complete</v>
          </cell>
        </row>
      </sheetData>
      <sheetData sheetId="10532">
        <row r="2">
          <cell r="A2">
            <v>43462</v>
          </cell>
        </row>
      </sheetData>
      <sheetData sheetId="10533">
        <row r="2">
          <cell r="A2" t="str">
            <v>Complete</v>
          </cell>
        </row>
      </sheetData>
      <sheetData sheetId="10534">
        <row r="2">
          <cell r="A2">
            <v>43462</v>
          </cell>
        </row>
      </sheetData>
      <sheetData sheetId="10535">
        <row r="2">
          <cell r="A2" t="str">
            <v>Complete</v>
          </cell>
        </row>
      </sheetData>
      <sheetData sheetId="10536">
        <row r="2">
          <cell r="A2" t="str">
            <v>Complete</v>
          </cell>
        </row>
      </sheetData>
      <sheetData sheetId="10537">
        <row r="2">
          <cell r="A2" t="str">
            <v>Complete</v>
          </cell>
        </row>
      </sheetData>
      <sheetData sheetId="10538">
        <row r="2">
          <cell r="A2" t="str">
            <v>Complete</v>
          </cell>
        </row>
      </sheetData>
      <sheetData sheetId="10539">
        <row r="2">
          <cell r="A2" t="str">
            <v>Complete</v>
          </cell>
        </row>
      </sheetData>
      <sheetData sheetId="10540">
        <row r="2">
          <cell r="A2" t="str">
            <v>Complete</v>
          </cell>
        </row>
      </sheetData>
      <sheetData sheetId="10541">
        <row r="2">
          <cell r="A2" t="str">
            <v>Complete</v>
          </cell>
        </row>
      </sheetData>
      <sheetData sheetId="10542">
        <row r="2">
          <cell r="A2" t="str">
            <v>Complete</v>
          </cell>
        </row>
      </sheetData>
      <sheetData sheetId="10543">
        <row r="2">
          <cell r="A2" t="str">
            <v>Complete</v>
          </cell>
        </row>
      </sheetData>
      <sheetData sheetId="10544">
        <row r="2">
          <cell r="A2" t="str">
            <v>Complete</v>
          </cell>
        </row>
      </sheetData>
      <sheetData sheetId="10545">
        <row r="2">
          <cell r="A2" t="str">
            <v>Complete</v>
          </cell>
        </row>
      </sheetData>
      <sheetData sheetId="10546">
        <row r="2">
          <cell r="A2" t="str">
            <v>Complete</v>
          </cell>
        </row>
      </sheetData>
      <sheetData sheetId="10547">
        <row r="2">
          <cell r="A2" t="str">
            <v>Complete</v>
          </cell>
        </row>
      </sheetData>
      <sheetData sheetId="10548">
        <row r="2">
          <cell r="A2" t="str">
            <v>Complete</v>
          </cell>
        </row>
      </sheetData>
      <sheetData sheetId="10549">
        <row r="2">
          <cell r="A2" t="str">
            <v>Complete</v>
          </cell>
        </row>
      </sheetData>
      <sheetData sheetId="10550">
        <row r="2">
          <cell r="A2" t="str">
            <v>Complete</v>
          </cell>
        </row>
      </sheetData>
      <sheetData sheetId="10551">
        <row r="2">
          <cell r="A2" t="str">
            <v>Complete</v>
          </cell>
        </row>
      </sheetData>
      <sheetData sheetId="10552">
        <row r="2">
          <cell r="A2" t="str">
            <v>Complete</v>
          </cell>
        </row>
      </sheetData>
      <sheetData sheetId="10553">
        <row r="2">
          <cell r="A2" t="str">
            <v>Complete</v>
          </cell>
        </row>
      </sheetData>
      <sheetData sheetId="10554">
        <row r="2">
          <cell r="A2" t="str">
            <v>Complete</v>
          </cell>
        </row>
      </sheetData>
      <sheetData sheetId="10555">
        <row r="2">
          <cell r="A2" t="str">
            <v>Complete</v>
          </cell>
        </row>
      </sheetData>
      <sheetData sheetId="10556">
        <row r="2">
          <cell r="A2" t="str">
            <v>Complete</v>
          </cell>
        </row>
      </sheetData>
      <sheetData sheetId="10557">
        <row r="2">
          <cell r="A2" t="str">
            <v>Complete</v>
          </cell>
        </row>
      </sheetData>
      <sheetData sheetId="10558">
        <row r="2">
          <cell r="A2" t="str">
            <v>Complete</v>
          </cell>
        </row>
      </sheetData>
      <sheetData sheetId="10559">
        <row r="2">
          <cell r="A2">
            <v>43462</v>
          </cell>
        </row>
      </sheetData>
      <sheetData sheetId="10560">
        <row r="2">
          <cell r="A2" t="str">
            <v>Complete</v>
          </cell>
        </row>
      </sheetData>
      <sheetData sheetId="10561">
        <row r="2">
          <cell r="A2">
            <v>43462</v>
          </cell>
        </row>
      </sheetData>
      <sheetData sheetId="10562">
        <row r="2">
          <cell r="A2" t="str">
            <v>Complete</v>
          </cell>
        </row>
      </sheetData>
      <sheetData sheetId="10563">
        <row r="2">
          <cell r="A2">
            <v>43462</v>
          </cell>
        </row>
      </sheetData>
      <sheetData sheetId="10564">
        <row r="2">
          <cell r="A2" t="str">
            <v>Complete</v>
          </cell>
        </row>
      </sheetData>
      <sheetData sheetId="10565">
        <row r="2">
          <cell r="A2">
            <v>43462</v>
          </cell>
        </row>
      </sheetData>
      <sheetData sheetId="10566">
        <row r="2">
          <cell r="A2" t="str">
            <v>Complete</v>
          </cell>
        </row>
      </sheetData>
      <sheetData sheetId="10567">
        <row r="2">
          <cell r="A2">
            <v>43462</v>
          </cell>
        </row>
      </sheetData>
      <sheetData sheetId="10568">
        <row r="2">
          <cell r="A2" t="str">
            <v>Complete</v>
          </cell>
        </row>
      </sheetData>
      <sheetData sheetId="10569">
        <row r="2">
          <cell r="A2">
            <v>43462</v>
          </cell>
        </row>
      </sheetData>
      <sheetData sheetId="10570">
        <row r="2">
          <cell r="A2" t="str">
            <v>Complete</v>
          </cell>
        </row>
      </sheetData>
      <sheetData sheetId="10571">
        <row r="2">
          <cell r="A2">
            <v>43462</v>
          </cell>
        </row>
      </sheetData>
      <sheetData sheetId="10572">
        <row r="2">
          <cell r="A2" t="str">
            <v>Complete</v>
          </cell>
        </row>
      </sheetData>
      <sheetData sheetId="10573">
        <row r="2">
          <cell r="A2">
            <v>43462</v>
          </cell>
        </row>
      </sheetData>
      <sheetData sheetId="10574">
        <row r="2">
          <cell r="A2" t="str">
            <v>Complete</v>
          </cell>
        </row>
      </sheetData>
      <sheetData sheetId="10575">
        <row r="2">
          <cell r="A2">
            <v>43462</v>
          </cell>
        </row>
      </sheetData>
      <sheetData sheetId="10576">
        <row r="2">
          <cell r="A2" t="str">
            <v>Complete</v>
          </cell>
        </row>
      </sheetData>
      <sheetData sheetId="10577">
        <row r="2">
          <cell r="A2" t="str">
            <v>Complete</v>
          </cell>
        </row>
      </sheetData>
      <sheetData sheetId="10578">
        <row r="2">
          <cell r="A2" t="str">
            <v>Complete</v>
          </cell>
        </row>
      </sheetData>
      <sheetData sheetId="10579">
        <row r="2">
          <cell r="A2" t="str">
            <v>Complete</v>
          </cell>
        </row>
      </sheetData>
      <sheetData sheetId="10580">
        <row r="2">
          <cell r="A2" t="str">
            <v>Complete</v>
          </cell>
        </row>
      </sheetData>
      <sheetData sheetId="10581">
        <row r="2">
          <cell r="A2" t="str">
            <v>Complete</v>
          </cell>
        </row>
      </sheetData>
      <sheetData sheetId="10582">
        <row r="2">
          <cell r="A2" t="str">
            <v>Complete</v>
          </cell>
        </row>
      </sheetData>
      <sheetData sheetId="10583">
        <row r="2">
          <cell r="A2" t="str">
            <v>Complete</v>
          </cell>
        </row>
      </sheetData>
      <sheetData sheetId="10584">
        <row r="2">
          <cell r="A2" t="str">
            <v>Complete</v>
          </cell>
        </row>
      </sheetData>
      <sheetData sheetId="10585">
        <row r="2">
          <cell r="A2" t="str">
            <v>Complete</v>
          </cell>
        </row>
      </sheetData>
      <sheetData sheetId="10586">
        <row r="2">
          <cell r="A2" t="str">
            <v>Complete</v>
          </cell>
        </row>
      </sheetData>
      <sheetData sheetId="10587">
        <row r="2">
          <cell r="A2" t="str">
            <v>Complete</v>
          </cell>
        </row>
      </sheetData>
      <sheetData sheetId="10588">
        <row r="2">
          <cell r="A2" t="str">
            <v>Complete</v>
          </cell>
        </row>
      </sheetData>
      <sheetData sheetId="10589">
        <row r="2">
          <cell r="A2" t="str">
            <v>Complete</v>
          </cell>
        </row>
      </sheetData>
      <sheetData sheetId="10590">
        <row r="2">
          <cell r="A2" t="str">
            <v>Complete</v>
          </cell>
        </row>
      </sheetData>
      <sheetData sheetId="10591">
        <row r="2">
          <cell r="A2" t="str">
            <v>Complete</v>
          </cell>
        </row>
      </sheetData>
      <sheetData sheetId="10592">
        <row r="2">
          <cell r="A2" t="str">
            <v>Complete</v>
          </cell>
        </row>
      </sheetData>
      <sheetData sheetId="10593">
        <row r="2">
          <cell r="A2" t="str">
            <v>Complete</v>
          </cell>
        </row>
      </sheetData>
      <sheetData sheetId="10594">
        <row r="2">
          <cell r="A2" t="str">
            <v>Complete</v>
          </cell>
        </row>
      </sheetData>
      <sheetData sheetId="10595">
        <row r="2">
          <cell r="A2" t="str">
            <v>Complete</v>
          </cell>
        </row>
      </sheetData>
      <sheetData sheetId="10596">
        <row r="2">
          <cell r="A2" t="str">
            <v>Complete</v>
          </cell>
        </row>
      </sheetData>
      <sheetData sheetId="10597">
        <row r="2">
          <cell r="A2" t="str">
            <v>Complete</v>
          </cell>
        </row>
      </sheetData>
      <sheetData sheetId="10598">
        <row r="2">
          <cell r="A2">
            <v>43462</v>
          </cell>
        </row>
      </sheetData>
      <sheetData sheetId="10599">
        <row r="2">
          <cell r="A2">
            <v>43462</v>
          </cell>
        </row>
      </sheetData>
      <sheetData sheetId="10600">
        <row r="2">
          <cell r="A2">
            <v>43462</v>
          </cell>
        </row>
      </sheetData>
      <sheetData sheetId="10601">
        <row r="2">
          <cell r="A2">
            <v>43462</v>
          </cell>
        </row>
      </sheetData>
      <sheetData sheetId="10602">
        <row r="2">
          <cell r="A2">
            <v>43462</v>
          </cell>
        </row>
      </sheetData>
      <sheetData sheetId="10603">
        <row r="2">
          <cell r="A2">
            <v>43462</v>
          </cell>
        </row>
      </sheetData>
      <sheetData sheetId="10604">
        <row r="2">
          <cell r="A2">
            <v>43462</v>
          </cell>
        </row>
      </sheetData>
      <sheetData sheetId="10605">
        <row r="2">
          <cell r="A2">
            <v>43462</v>
          </cell>
        </row>
      </sheetData>
      <sheetData sheetId="10606">
        <row r="2">
          <cell r="A2">
            <v>43462</v>
          </cell>
        </row>
      </sheetData>
      <sheetData sheetId="10607">
        <row r="2">
          <cell r="A2">
            <v>43462</v>
          </cell>
        </row>
      </sheetData>
      <sheetData sheetId="10608">
        <row r="2">
          <cell r="A2">
            <v>43462</v>
          </cell>
        </row>
      </sheetData>
      <sheetData sheetId="10609">
        <row r="2">
          <cell r="A2">
            <v>43462</v>
          </cell>
        </row>
      </sheetData>
      <sheetData sheetId="10610">
        <row r="2">
          <cell r="A2">
            <v>43462</v>
          </cell>
        </row>
      </sheetData>
      <sheetData sheetId="10611">
        <row r="2">
          <cell r="A2">
            <v>43462</v>
          </cell>
        </row>
      </sheetData>
      <sheetData sheetId="10612">
        <row r="2">
          <cell r="A2">
            <v>43462</v>
          </cell>
        </row>
      </sheetData>
      <sheetData sheetId="10613">
        <row r="2">
          <cell r="A2">
            <v>43462</v>
          </cell>
        </row>
      </sheetData>
      <sheetData sheetId="10614">
        <row r="2">
          <cell r="A2">
            <v>43462</v>
          </cell>
        </row>
      </sheetData>
      <sheetData sheetId="10615">
        <row r="2">
          <cell r="A2">
            <v>43462</v>
          </cell>
        </row>
      </sheetData>
      <sheetData sheetId="10616">
        <row r="2">
          <cell r="A2">
            <v>43462</v>
          </cell>
        </row>
      </sheetData>
      <sheetData sheetId="10617">
        <row r="2">
          <cell r="A2">
            <v>43462</v>
          </cell>
        </row>
      </sheetData>
      <sheetData sheetId="10618">
        <row r="2">
          <cell r="A2" t="str">
            <v>Complete</v>
          </cell>
        </row>
      </sheetData>
      <sheetData sheetId="10619">
        <row r="2">
          <cell r="A2">
            <v>43462</v>
          </cell>
        </row>
      </sheetData>
      <sheetData sheetId="10620">
        <row r="2">
          <cell r="A2" t="str">
            <v>Complete</v>
          </cell>
        </row>
      </sheetData>
      <sheetData sheetId="10621">
        <row r="2">
          <cell r="A2">
            <v>43462</v>
          </cell>
        </row>
      </sheetData>
      <sheetData sheetId="10622">
        <row r="2">
          <cell r="A2" t="str">
            <v>Complete</v>
          </cell>
        </row>
      </sheetData>
      <sheetData sheetId="10623">
        <row r="2">
          <cell r="A2">
            <v>43462</v>
          </cell>
        </row>
      </sheetData>
      <sheetData sheetId="10624">
        <row r="2">
          <cell r="A2" t="str">
            <v>Complete</v>
          </cell>
        </row>
      </sheetData>
      <sheetData sheetId="10625">
        <row r="2">
          <cell r="A2">
            <v>43462</v>
          </cell>
        </row>
      </sheetData>
      <sheetData sheetId="10626">
        <row r="2">
          <cell r="A2" t="str">
            <v>Complete</v>
          </cell>
        </row>
      </sheetData>
      <sheetData sheetId="10627" refreshError="1"/>
      <sheetData sheetId="10628" refreshError="1"/>
      <sheetData sheetId="10629">
        <row r="2">
          <cell r="A2">
            <v>43462</v>
          </cell>
        </row>
      </sheetData>
      <sheetData sheetId="10630">
        <row r="2">
          <cell r="A2" t="str">
            <v>Complete</v>
          </cell>
        </row>
      </sheetData>
      <sheetData sheetId="10631">
        <row r="2">
          <cell r="A2">
            <v>43462</v>
          </cell>
        </row>
      </sheetData>
      <sheetData sheetId="10632">
        <row r="2">
          <cell r="A2" t="str">
            <v>Complete</v>
          </cell>
        </row>
      </sheetData>
      <sheetData sheetId="10633">
        <row r="2">
          <cell r="A2">
            <v>43462</v>
          </cell>
        </row>
      </sheetData>
      <sheetData sheetId="10634">
        <row r="2">
          <cell r="A2" t="str">
            <v>Complete</v>
          </cell>
        </row>
      </sheetData>
      <sheetData sheetId="10635">
        <row r="2">
          <cell r="A2">
            <v>43462</v>
          </cell>
        </row>
      </sheetData>
      <sheetData sheetId="10636">
        <row r="2">
          <cell r="A2" t="str">
            <v>Complete</v>
          </cell>
        </row>
      </sheetData>
      <sheetData sheetId="10637">
        <row r="2">
          <cell r="A2">
            <v>43462</v>
          </cell>
        </row>
      </sheetData>
      <sheetData sheetId="10638">
        <row r="2">
          <cell r="A2" t="str">
            <v>Complete</v>
          </cell>
        </row>
      </sheetData>
      <sheetData sheetId="10639">
        <row r="2">
          <cell r="A2">
            <v>43462</v>
          </cell>
        </row>
      </sheetData>
      <sheetData sheetId="10640">
        <row r="2">
          <cell r="A2" t="str">
            <v>Complete</v>
          </cell>
        </row>
      </sheetData>
      <sheetData sheetId="10641">
        <row r="2">
          <cell r="A2" t="str">
            <v>Complete</v>
          </cell>
        </row>
      </sheetData>
      <sheetData sheetId="10642">
        <row r="2">
          <cell r="A2" t="str">
            <v>Complete</v>
          </cell>
        </row>
      </sheetData>
      <sheetData sheetId="10643">
        <row r="2">
          <cell r="A2">
            <v>43462</v>
          </cell>
        </row>
      </sheetData>
      <sheetData sheetId="10644">
        <row r="2">
          <cell r="A2" t="str">
            <v>Complete</v>
          </cell>
        </row>
      </sheetData>
      <sheetData sheetId="10645">
        <row r="2">
          <cell r="A2">
            <v>43462</v>
          </cell>
        </row>
      </sheetData>
      <sheetData sheetId="10646">
        <row r="2">
          <cell r="A2" t="str">
            <v>Complete</v>
          </cell>
        </row>
      </sheetData>
      <sheetData sheetId="10647">
        <row r="2">
          <cell r="A2">
            <v>43462</v>
          </cell>
        </row>
      </sheetData>
      <sheetData sheetId="10648">
        <row r="2">
          <cell r="A2" t="str">
            <v>Complete</v>
          </cell>
        </row>
      </sheetData>
      <sheetData sheetId="10649">
        <row r="2">
          <cell r="A2">
            <v>43462</v>
          </cell>
        </row>
      </sheetData>
      <sheetData sheetId="10650">
        <row r="2">
          <cell r="A2" t="str">
            <v>Complete</v>
          </cell>
        </row>
      </sheetData>
      <sheetData sheetId="10651">
        <row r="2">
          <cell r="A2">
            <v>43462</v>
          </cell>
        </row>
      </sheetData>
      <sheetData sheetId="10652">
        <row r="2">
          <cell r="A2" t="str">
            <v>Complete</v>
          </cell>
        </row>
      </sheetData>
      <sheetData sheetId="10653">
        <row r="2">
          <cell r="A2">
            <v>43462</v>
          </cell>
        </row>
      </sheetData>
      <sheetData sheetId="10654">
        <row r="2">
          <cell r="A2" t="str">
            <v>Complete</v>
          </cell>
        </row>
      </sheetData>
      <sheetData sheetId="10655">
        <row r="2">
          <cell r="A2">
            <v>43462</v>
          </cell>
        </row>
      </sheetData>
      <sheetData sheetId="10656">
        <row r="2">
          <cell r="A2" t="str">
            <v>Complete</v>
          </cell>
        </row>
      </sheetData>
      <sheetData sheetId="10657">
        <row r="2">
          <cell r="A2">
            <v>43462</v>
          </cell>
        </row>
      </sheetData>
      <sheetData sheetId="10658">
        <row r="2">
          <cell r="A2" t="str">
            <v>Complete</v>
          </cell>
        </row>
      </sheetData>
      <sheetData sheetId="10659">
        <row r="2">
          <cell r="A2">
            <v>43462</v>
          </cell>
        </row>
      </sheetData>
      <sheetData sheetId="10660">
        <row r="2">
          <cell r="A2" t="str">
            <v>Complete</v>
          </cell>
        </row>
      </sheetData>
      <sheetData sheetId="10661">
        <row r="2">
          <cell r="A2" t="str">
            <v>Complete</v>
          </cell>
        </row>
      </sheetData>
      <sheetData sheetId="10662">
        <row r="2">
          <cell r="A2" t="str">
            <v>Complete</v>
          </cell>
        </row>
      </sheetData>
      <sheetData sheetId="10663">
        <row r="2">
          <cell r="A2" t="str">
            <v>Complete</v>
          </cell>
        </row>
      </sheetData>
      <sheetData sheetId="10664">
        <row r="2">
          <cell r="A2" t="str">
            <v>Complete</v>
          </cell>
        </row>
      </sheetData>
      <sheetData sheetId="10665">
        <row r="2">
          <cell r="A2" t="str">
            <v>Complete</v>
          </cell>
        </row>
      </sheetData>
      <sheetData sheetId="10666">
        <row r="2">
          <cell r="A2" t="str">
            <v>Complete</v>
          </cell>
        </row>
      </sheetData>
      <sheetData sheetId="10667">
        <row r="2">
          <cell r="A2" t="str">
            <v>Complete</v>
          </cell>
        </row>
      </sheetData>
      <sheetData sheetId="10668">
        <row r="2">
          <cell r="A2" t="str">
            <v>Complete</v>
          </cell>
        </row>
      </sheetData>
      <sheetData sheetId="10669">
        <row r="2">
          <cell r="A2" t="str">
            <v>Complete</v>
          </cell>
        </row>
      </sheetData>
      <sheetData sheetId="10670">
        <row r="2">
          <cell r="A2" t="str">
            <v>Complete</v>
          </cell>
        </row>
      </sheetData>
      <sheetData sheetId="10671">
        <row r="2">
          <cell r="A2" t="str">
            <v>Complete</v>
          </cell>
        </row>
      </sheetData>
      <sheetData sheetId="10672">
        <row r="2">
          <cell r="A2" t="str">
            <v>Complete</v>
          </cell>
        </row>
      </sheetData>
      <sheetData sheetId="10673">
        <row r="2">
          <cell r="A2" t="str">
            <v>Complete</v>
          </cell>
        </row>
      </sheetData>
      <sheetData sheetId="10674">
        <row r="2">
          <cell r="A2" t="str">
            <v>Complete</v>
          </cell>
        </row>
      </sheetData>
      <sheetData sheetId="10675">
        <row r="2">
          <cell r="A2" t="str">
            <v>Complete</v>
          </cell>
        </row>
      </sheetData>
      <sheetData sheetId="10676">
        <row r="2">
          <cell r="A2" t="str">
            <v>Complete</v>
          </cell>
        </row>
      </sheetData>
      <sheetData sheetId="10677">
        <row r="2">
          <cell r="A2" t="str">
            <v>Complete</v>
          </cell>
        </row>
      </sheetData>
      <sheetData sheetId="10678">
        <row r="2">
          <cell r="A2" t="str">
            <v>Complete</v>
          </cell>
        </row>
      </sheetData>
      <sheetData sheetId="10679">
        <row r="2">
          <cell r="A2" t="str">
            <v>Complete</v>
          </cell>
        </row>
      </sheetData>
      <sheetData sheetId="10680">
        <row r="2">
          <cell r="A2" t="str">
            <v>Complete</v>
          </cell>
        </row>
      </sheetData>
      <sheetData sheetId="10681">
        <row r="2">
          <cell r="A2" t="str">
            <v>Complete</v>
          </cell>
        </row>
      </sheetData>
      <sheetData sheetId="10682">
        <row r="2">
          <cell r="A2">
            <v>43462</v>
          </cell>
        </row>
      </sheetData>
      <sheetData sheetId="10683">
        <row r="2">
          <cell r="A2">
            <v>43462</v>
          </cell>
        </row>
      </sheetData>
      <sheetData sheetId="10684">
        <row r="2">
          <cell r="A2">
            <v>43462</v>
          </cell>
        </row>
      </sheetData>
      <sheetData sheetId="10685">
        <row r="2">
          <cell r="A2">
            <v>43462</v>
          </cell>
        </row>
      </sheetData>
      <sheetData sheetId="10686">
        <row r="2">
          <cell r="A2">
            <v>43462</v>
          </cell>
        </row>
      </sheetData>
      <sheetData sheetId="10687">
        <row r="2">
          <cell r="A2">
            <v>43462</v>
          </cell>
        </row>
      </sheetData>
      <sheetData sheetId="10688">
        <row r="2">
          <cell r="A2">
            <v>43462</v>
          </cell>
        </row>
      </sheetData>
      <sheetData sheetId="10689">
        <row r="2">
          <cell r="A2">
            <v>43462</v>
          </cell>
        </row>
      </sheetData>
      <sheetData sheetId="10690">
        <row r="2">
          <cell r="A2">
            <v>43462</v>
          </cell>
        </row>
      </sheetData>
      <sheetData sheetId="10691">
        <row r="2">
          <cell r="A2">
            <v>43462</v>
          </cell>
        </row>
      </sheetData>
      <sheetData sheetId="10692">
        <row r="2">
          <cell r="A2">
            <v>43462</v>
          </cell>
        </row>
      </sheetData>
      <sheetData sheetId="10693">
        <row r="2">
          <cell r="A2">
            <v>43462</v>
          </cell>
        </row>
      </sheetData>
      <sheetData sheetId="10694">
        <row r="2">
          <cell r="A2">
            <v>43462</v>
          </cell>
        </row>
      </sheetData>
      <sheetData sheetId="10695">
        <row r="2">
          <cell r="A2">
            <v>43462</v>
          </cell>
        </row>
      </sheetData>
      <sheetData sheetId="10696">
        <row r="2">
          <cell r="A2">
            <v>43462</v>
          </cell>
        </row>
      </sheetData>
      <sheetData sheetId="10697">
        <row r="2">
          <cell r="A2">
            <v>43462</v>
          </cell>
        </row>
      </sheetData>
      <sheetData sheetId="10698">
        <row r="2">
          <cell r="A2">
            <v>43462</v>
          </cell>
        </row>
      </sheetData>
      <sheetData sheetId="10699">
        <row r="2">
          <cell r="A2">
            <v>43462</v>
          </cell>
        </row>
      </sheetData>
      <sheetData sheetId="10700">
        <row r="2">
          <cell r="A2">
            <v>43462</v>
          </cell>
        </row>
      </sheetData>
      <sheetData sheetId="10701">
        <row r="2">
          <cell r="A2">
            <v>43462</v>
          </cell>
        </row>
      </sheetData>
      <sheetData sheetId="10702">
        <row r="2">
          <cell r="A2" t="str">
            <v>Complete</v>
          </cell>
        </row>
      </sheetData>
      <sheetData sheetId="10703">
        <row r="2">
          <cell r="A2">
            <v>43462</v>
          </cell>
        </row>
      </sheetData>
      <sheetData sheetId="10704">
        <row r="2">
          <cell r="A2" t="str">
            <v>Complete</v>
          </cell>
        </row>
      </sheetData>
      <sheetData sheetId="10705">
        <row r="2">
          <cell r="A2">
            <v>43462</v>
          </cell>
        </row>
      </sheetData>
      <sheetData sheetId="10706">
        <row r="2">
          <cell r="A2" t="str">
            <v>Complete</v>
          </cell>
        </row>
      </sheetData>
      <sheetData sheetId="10707">
        <row r="2">
          <cell r="A2">
            <v>43462</v>
          </cell>
        </row>
      </sheetData>
      <sheetData sheetId="10708">
        <row r="2">
          <cell r="A2" t="str">
            <v>Complete</v>
          </cell>
        </row>
      </sheetData>
      <sheetData sheetId="10709">
        <row r="2">
          <cell r="A2">
            <v>43462</v>
          </cell>
        </row>
      </sheetData>
      <sheetData sheetId="10710">
        <row r="2">
          <cell r="A2" t="str">
            <v>Complete</v>
          </cell>
        </row>
      </sheetData>
      <sheetData sheetId="10711">
        <row r="2">
          <cell r="A2">
            <v>43462</v>
          </cell>
        </row>
      </sheetData>
      <sheetData sheetId="10712" refreshError="1"/>
      <sheetData sheetId="10713">
        <row r="2">
          <cell r="A2">
            <v>43462</v>
          </cell>
        </row>
      </sheetData>
      <sheetData sheetId="10714">
        <row r="2">
          <cell r="A2">
            <v>43462</v>
          </cell>
        </row>
      </sheetData>
      <sheetData sheetId="10715">
        <row r="2">
          <cell r="A2">
            <v>43462</v>
          </cell>
        </row>
      </sheetData>
      <sheetData sheetId="10716">
        <row r="2">
          <cell r="A2">
            <v>43462</v>
          </cell>
        </row>
      </sheetData>
      <sheetData sheetId="10717">
        <row r="2">
          <cell r="A2">
            <v>43462</v>
          </cell>
        </row>
      </sheetData>
      <sheetData sheetId="10718">
        <row r="2">
          <cell r="A2">
            <v>43462</v>
          </cell>
        </row>
      </sheetData>
      <sheetData sheetId="10719">
        <row r="2">
          <cell r="A2">
            <v>43462</v>
          </cell>
        </row>
      </sheetData>
      <sheetData sheetId="10720">
        <row r="2">
          <cell r="A2">
            <v>43462</v>
          </cell>
        </row>
      </sheetData>
      <sheetData sheetId="10721">
        <row r="2">
          <cell r="A2">
            <v>43462</v>
          </cell>
        </row>
      </sheetData>
      <sheetData sheetId="10722">
        <row r="2">
          <cell r="A2">
            <v>43462</v>
          </cell>
        </row>
      </sheetData>
      <sheetData sheetId="10723">
        <row r="2">
          <cell r="A2">
            <v>43462</v>
          </cell>
        </row>
      </sheetData>
      <sheetData sheetId="10724">
        <row r="2">
          <cell r="A2">
            <v>43462</v>
          </cell>
        </row>
      </sheetData>
      <sheetData sheetId="10725">
        <row r="2">
          <cell r="A2">
            <v>43462</v>
          </cell>
        </row>
      </sheetData>
      <sheetData sheetId="10726">
        <row r="2">
          <cell r="A2">
            <v>43462</v>
          </cell>
        </row>
      </sheetData>
      <sheetData sheetId="10727">
        <row r="2">
          <cell r="A2">
            <v>43462</v>
          </cell>
        </row>
      </sheetData>
      <sheetData sheetId="10728">
        <row r="2">
          <cell r="A2">
            <v>43462</v>
          </cell>
        </row>
      </sheetData>
      <sheetData sheetId="10729">
        <row r="2">
          <cell r="A2">
            <v>43462</v>
          </cell>
        </row>
      </sheetData>
      <sheetData sheetId="10730">
        <row r="2">
          <cell r="A2">
            <v>43462</v>
          </cell>
        </row>
      </sheetData>
      <sheetData sheetId="10731">
        <row r="2">
          <cell r="A2">
            <v>43462</v>
          </cell>
        </row>
      </sheetData>
      <sheetData sheetId="10732">
        <row r="2">
          <cell r="A2">
            <v>43462</v>
          </cell>
        </row>
      </sheetData>
      <sheetData sheetId="10733">
        <row r="2">
          <cell r="A2">
            <v>43462</v>
          </cell>
        </row>
      </sheetData>
      <sheetData sheetId="10734">
        <row r="2">
          <cell r="A2">
            <v>43462</v>
          </cell>
        </row>
      </sheetData>
      <sheetData sheetId="10735">
        <row r="2">
          <cell r="A2">
            <v>43462</v>
          </cell>
        </row>
      </sheetData>
      <sheetData sheetId="10736">
        <row r="2">
          <cell r="A2">
            <v>43462</v>
          </cell>
        </row>
      </sheetData>
      <sheetData sheetId="10737">
        <row r="2">
          <cell r="A2">
            <v>43462</v>
          </cell>
        </row>
      </sheetData>
      <sheetData sheetId="10738">
        <row r="2">
          <cell r="A2">
            <v>43462</v>
          </cell>
        </row>
      </sheetData>
      <sheetData sheetId="10739">
        <row r="2">
          <cell r="A2" t="str">
            <v>Complete</v>
          </cell>
        </row>
      </sheetData>
      <sheetData sheetId="10740">
        <row r="2">
          <cell r="A2">
            <v>43462</v>
          </cell>
        </row>
      </sheetData>
      <sheetData sheetId="10741">
        <row r="2">
          <cell r="A2">
            <v>43462</v>
          </cell>
        </row>
      </sheetData>
      <sheetData sheetId="10742">
        <row r="2">
          <cell r="A2">
            <v>43462</v>
          </cell>
        </row>
      </sheetData>
      <sheetData sheetId="10743">
        <row r="2">
          <cell r="A2">
            <v>43462</v>
          </cell>
        </row>
      </sheetData>
      <sheetData sheetId="10744">
        <row r="2">
          <cell r="A2" t="str">
            <v>Complete</v>
          </cell>
        </row>
      </sheetData>
      <sheetData sheetId="10745">
        <row r="2">
          <cell r="A2" t="str">
            <v>Complete</v>
          </cell>
        </row>
      </sheetData>
      <sheetData sheetId="10746">
        <row r="2">
          <cell r="A2" t="str">
            <v>Complete</v>
          </cell>
        </row>
      </sheetData>
      <sheetData sheetId="10747">
        <row r="2">
          <cell r="A2" t="str">
            <v>Complete</v>
          </cell>
        </row>
      </sheetData>
      <sheetData sheetId="10748">
        <row r="2">
          <cell r="A2" t="str">
            <v>Complete</v>
          </cell>
        </row>
      </sheetData>
      <sheetData sheetId="10749">
        <row r="2">
          <cell r="A2" t="str">
            <v>Complete</v>
          </cell>
        </row>
      </sheetData>
      <sheetData sheetId="10750">
        <row r="2">
          <cell r="A2">
            <v>43462</v>
          </cell>
        </row>
      </sheetData>
      <sheetData sheetId="10751">
        <row r="2">
          <cell r="A2">
            <v>43462</v>
          </cell>
        </row>
      </sheetData>
      <sheetData sheetId="10752">
        <row r="2">
          <cell r="A2">
            <v>43462</v>
          </cell>
        </row>
      </sheetData>
      <sheetData sheetId="10753">
        <row r="2">
          <cell r="A2">
            <v>43462</v>
          </cell>
        </row>
      </sheetData>
      <sheetData sheetId="10754">
        <row r="2">
          <cell r="A2">
            <v>43462</v>
          </cell>
        </row>
      </sheetData>
      <sheetData sheetId="10755">
        <row r="2">
          <cell r="A2">
            <v>43462</v>
          </cell>
        </row>
      </sheetData>
      <sheetData sheetId="10756">
        <row r="2">
          <cell r="A2">
            <v>43462</v>
          </cell>
        </row>
      </sheetData>
      <sheetData sheetId="10757">
        <row r="2">
          <cell r="A2">
            <v>43462</v>
          </cell>
        </row>
      </sheetData>
      <sheetData sheetId="10758">
        <row r="2">
          <cell r="A2">
            <v>43462</v>
          </cell>
        </row>
      </sheetData>
      <sheetData sheetId="10759">
        <row r="2">
          <cell r="A2">
            <v>43462</v>
          </cell>
        </row>
      </sheetData>
      <sheetData sheetId="10760">
        <row r="2">
          <cell r="A2">
            <v>43462</v>
          </cell>
        </row>
      </sheetData>
      <sheetData sheetId="10761">
        <row r="2">
          <cell r="A2">
            <v>43462</v>
          </cell>
        </row>
      </sheetData>
      <sheetData sheetId="10762">
        <row r="2">
          <cell r="A2">
            <v>43462</v>
          </cell>
        </row>
      </sheetData>
      <sheetData sheetId="10763">
        <row r="2">
          <cell r="A2">
            <v>43462</v>
          </cell>
        </row>
      </sheetData>
      <sheetData sheetId="10764">
        <row r="2">
          <cell r="A2">
            <v>43462</v>
          </cell>
        </row>
      </sheetData>
      <sheetData sheetId="10765">
        <row r="2">
          <cell r="A2">
            <v>43462</v>
          </cell>
        </row>
      </sheetData>
      <sheetData sheetId="10766">
        <row r="2">
          <cell r="A2">
            <v>43462</v>
          </cell>
        </row>
      </sheetData>
      <sheetData sheetId="10767">
        <row r="2">
          <cell r="A2">
            <v>43462</v>
          </cell>
        </row>
      </sheetData>
      <sheetData sheetId="10768">
        <row r="2">
          <cell r="A2">
            <v>43462</v>
          </cell>
        </row>
      </sheetData>
      <sheetData sheetId="10769">
        <row r="2">
          <cell r="A2">
            <v>43462</v>
          </cell>
        </row>
      </sheetData>
      <sheetData sheetId="10770">
        <row r="2">
          <cell r="A2">
            <v>43462</v>
          </cell>
        </row>
      </sheetData>
      <sheetData sheetId="10771">
        <row r="2">
          <cell r="A2">
            <v>43462</v>
          </cell>
        </row>
      </sheetData>
      <sheetData sheetId="10772">
        <row r="2">
          <cell r="A2">
            <v>43462</v>
          </cell>
        </row>
      </sheetData>
      <sheetData sheetId="10773">
        <row r="2">
          <cell r="A2">
            <v>43462</v>
          </cell>
        </row>
      </sheetData>
      <sheetData sheetId="10774">
        <row r="2">
          <cell r="A2">
            <v>43462</v>
          </cell>
        </row>
      </sheetData>
      <sheetData sheetId="10775">
        <row r="2">
          <cell r="A2">
            <v>43462</v>
          </cell>
        </row>
      </sheetData>
      <sheetData sheetId="10776">
        <row r="2">
          <cell r="A2">
            <v>43462</v>
          </cell>
        </row>
      </sheetData>
      <sheetData sheetId="10777">
        <row r="2">
          <cell r="A2">
            <v>43462</v>
          </cell>
        </row>
      </sheetData>
      <sheetData sheetId="10778">
        <row r="2">
          <cell r="A2">
            <v>43462</v>
          </cell>
        </row>
      </sheetData>
      <sheetData sheetId="10779">
        <row r="2">
          <cell r="A2">
            <v>43462</v>
          </cell>
        </row>
      </sheetData>
      <sheetData sheetId="10780">
        <row r="2">
          <cell r="A2" t="str">
            <v>Complete</v>
          </cell>
        </row>
      </sheetData>
      <sheetData sheetId="10781">
        <row r="2">
          <cell r="A2">
            <v>43462</v>
          </cell>
        </row>
      </sheetData>
      <sheetData sheetId="10782">
        <row r="2">
          <cell r="A2">
            <v>43462</v>
          </cell>
        </row>
      </sheetData>
      <sheetData sheetId="10783">
        <row r="2">
          <cell r="A2">
            <v>43462</v>
          </cell>
        </row>
      </sheetData>
      <sheetData sheetId="10784">
        <row r="2">
          <cell r="A2">
            <v>43462</v>
          </cell>
        </row>
      </sheetData>
      <sheetData sheetId="10785">
        <row r="2">
          <cell r="A2" t="str">
            <v>Complete</v>
          </cell>
        </row>
      </sheetData>
      <sheetData sheetId="10786">
        <row r="2">
          <cell r="A2" t="str">
            <v>Complete</v>
          </cell>
        </row>
      </sheetData>
      <sheetData sheetId="10787">
        <row r="2">
          <cell r="A2" t="str">
            <v>Complete</v>
          </cell>
        </row>
      </sheetData>
      <sheetData sheetId="10788">
        <row r="2">
          <cell r="A2" t="str">
            <v>Complete</v>
          </cell>
        </row>
      </sheetData>
      <sheetData sheetId="10789">
        <row r="2">
          <cell r="A2" t="str">
            <v>Complete</v>
          </cell>
        </row>
      </sheetData>
      <sheetData sheetId="10790">
        <row r="2">
          <cell r="A2" t="str">
            <v>Complete</v>
          </cell>
        </row>
      </sheetData>
      <sheetData sheetId="10791">
        <row r="2">
          <cell r="A2">
            <v>43462</v>
          </cell>
        </row>
      </sheetData>
      <sheetData sheetId="10792">
        <row r="2">
          <cell r="A2">
            <v>43462</v>
          </cell>
        </row>
      </sheetData>
      <sheetData sheetId="10793">
        <row r="2">
          <cell r="A2">
            <v>43462</v>
          </cell>
        </row>
      </sheetData>
      <sheetData sheetId="10794">
        <row r="2">
          <cell r="A2">
            <v>43462</v>
          </cell>
        </row>
      </sheetData>
      <sheetData sheetId="10795">
        <row r="2">
          <cell r="A2">
            <v>43462</v>
          </cell>
        </row>
      </sheetData>
      <sheetData sheetId="10796">
        <row r="2">
          <cell r="A2">
            <v>43462</v>
          </cell>
        </row>
      </sheetData>
      <sheetData sheetId="10797">
        <row r="2">
          <cell r="A2">
            <v>43462</v>
          </cell>
        </row>
      </sheetData>
      <sheetData sheetId="10798">
        <row r="2">
          <cell r="A2">
            <v>43462</v>
          </cell>
        </row>
      </sheetData>
      <sheetData sheetId="10799">
        <row r="2">
          <cell r="A2">
            <v>43462</v>
          </cell>
        </row>
      </sheetData>
      <sheetData sheetId="10800">
        <row r="2">
          <cell r="A2">
            <v>43462</v>
          </cell>
        </row>
      </sheetData>
      <sheetData sheetId="10801">
        <row r="2">
          <cell r="A2">
            <v>43462</v>
          </cell>
        </row>
      </sheetData>
      <sheetData sheetId="10802">
        <row r="2">
          <cell r="A2">
            <v>43462</v>
          </cell>
        </row>
      </sheetData>
      <sheetData sheetId="10803">
        <row r="2">
          <cell r="A2">
            <v>43462</v>
          </cell>
        </row>
      </sheetData>
      <sheetData sheetId="10804">
        <row r="2">
          <cell r="A2">
            <v>43462</v>
          </cell>
        </row>
      </sheetData>
      <sheetData sheetId="10805">
        <row r="2">
          <cell r="A2">
            <v>43462</v>
          </cell>
        </row>
      </sheetData>
      <sheetData sheetId="10806">
        <row r="2">
          <cell r="A2">
            <v>43462</v>
          </cell>
        </row>
      </sheetData>
      <sheetData sheetId="10807">
        <row r="2">
          <cell r="A2">
            <v>43462</v>
          </cell>
        </row>
      </sheetData>
      <sheetData sheetId="10808">
        <row r="2">
          <cell r="A2">
            <v>43462</v>
          </cell>
        </row>
      </sheetData>
      <sheetData sheetId="10809">
        <row r="2">
          <cell r="A2">
            <v>43462</v>
          </cell>
        </row>
      </sheetData>
      <sheetData sheetId="10810">
        <row r="2">
          <cell r="A2">
            <v>43462</v>
          </cell>
        </row>
      </sheetData>
      <sheetData sheetId="10811">
        <row r="2">
          <cell r="A2">
            <v>43462</v>
          </cell>
        </row>
      </sheetData>
      <sheetData sheetId="10812">
        <row r="2">
          <cell r="A2">
            <v>43462</v>
          </cell>
        </row>
      </sheetData>
      <sheetData sheetId="10813">
        <row r="2">
          <cell r="A2">
            <v>43462</v>
          </cell>
        </row>
      </sheetData>
      <sheetData sheetId="10814">
        <row r="2">
          <cell r="A2">
            <v>43462</v>
          </cell>
        </row>
      </sheetData>
      <sheetData sheetId="10815">
        <row r="2">
          <cell r="A2">
            <v>43462</v>
          </cell>
        </row>
      </sheetData>
      <sheetData sheetId="10816">
        <row r="2">
          <cell r="A2">
            <v>43462</v>
          </cell>
        </row>
      </sheetData>
      <sheetData sheetId="10817">
        <row r="2">
          <cell r="A2">
            <v>43462</v>
          </cell>
        </row>
      </sheetData>
      <sheetData sheetId="10818">
        <row r="2">
          <cell r="A2">
            <v>43462</v>
          </cell>
        </row>
      </sheetData>
      <sheetData sheetId="10819">
        <row r="2">
          <cell r="A2">
            <v>43462</v>
          </cell>
        </row>
      </sheetData>
      <sheetData sheetId="10820">
        <row r="2">
          <cell r="A2">
            <v>43462</v>
          </cell>
        </row>
      </sheetData>
      <sheetData sheetId="10821">
        <row r="2">
          <cell r="A2" t="str">
            <v>Complete</v>
          </cell>
        </row>
      </sheetData>
      <sheetData sheetId="10822">
        <row r="2">
          <cell r="A2">
            <v>43462</v>
          </cell>
        </row>
      </sheetData>
      <sheetData sheetId="10823">
        <row r="2">
          <cell r="A2">
            <v>43462</v>
          </cell>
        </row>
      </sheetData>
      <sheetData sheetId="10824">
        <row r="2">
          <cell r="A2">
            <v>43462</v>
          </cell>
        </row>
      </sheetData>
      <sheetData sheetId="10825">
        <row r="2">
          <cell r="A2">
            <v>43462</v>
          </cell>
        </row>
      </sheetData>
      <sheetData sheetId="10826">
        <row r="2">
          <cell r="A2" t="str">
            <v>Complete</v>
          </cell>
        </row>
      </sheetData>
      <sheetData sheetId="10827">
        <row r="2">
          <cell r="A2" t="str">
            <v>Complete</v>
          </cell>
        </row>
      </sheetData>
      <sheetData sheetId="10828">
        <row r="2">
          <cell r="A2" t="str">
            <v>Complete</v>
          </cell>
        </row>
      </sheetData>
      <sheetData sheetId="10829">
        <row r="2">
          <cell r="A2" t="str">
            <v>Complete</v>
          </cell>
        </row>
      </sheetData>
      <sheetData sheetId="10830">
        <row r="2">
          <cell r="A2" t="str">
            <v>Complete</v>
          </cell>
        </row>
      </sheetData>
      <sheetData sheetId="10831">
        <row r="2">
          <cell r="A2" t="str">
            <v>Complete</v>
          </cell>
        </row>
      </sheetData>
      <sheetData sheetId="10832">
        <row r="2">
          <cell r="A2">
            <v>43462</v>
          </cell>
        </row>
      </sheetData>
      <sheetData sheetId="10833">
        <row r="2">
          <cell r="A2">
            <v>43462</v>
          </cell>
        </row>
      </sheetData>
      <sheetData sheetId="10834">
        <row r="2">
          <cell r="A2">
            <v>43462</v>
          </cell>
        </row>
      </sheetData>
      <sheetData sheetId="10835">
        <row r="2">
          <cell r="A2">
            <v>43462</v>
          </cell>
        </row>
      </sheetData>
      <sheetData sheetId="10836">
        <row r="2">
          <cell r="A2">
            <v>43462</v>
          </cell>
        </row>
      </sheetData>
      <sheetData sheetId="10837">
        <row r="2">
          <cell r="A2">
            <v>43462</v>
          </cell>
        </row>
      </sheetData>
      <sheetData sheetId="10838">
        <row r="2">
          <cell r="A2">
            <v>43462</v>
          </cell>
        </row>
      </sheetData>
      <sheetData sheetId="10839">
        <row r="2">
          <cell r="A2">
            <v>43462</v>
          </cell>
        </row>
      </sheetData>
      <sheetData sheetId="10840">
        <row r="2">
          <cell r="A2">
            <v>43462</v>
          </cell>
        </row>
      </sheetData>
      <sheetData sheetId="10841">
        <row r="2">
          <cell r="A2">
            <v>43462</v>
          </cell>
        </row>
      </sheetData>
      <sheetData sheetId="10842">
        <row r="2">
          <cell r="A2">
            <v>43462</v>
          </cell>
        </row>
      </sheetData>
      <sheetData sheetId="10843">
        <row r="2">
          <cell r="A2">
            <v>43462</v>
          </cell>
        </row>
      </sheetData>
      <sheetData sheetId="10844">
        <row r="2">
          <cell r="A2">
            <v>43462</v>
          </cell>
        </row>
      </sheetData>
      <sheetData sheetId="10845">
        <row r="2">
          <cell r="A2">
            <v>43462</v>
          </cell>
        </row>
      </sheetData>
      <sheetData sheetId="10846">
        <row r="2">
          <cell r="A2">
            <v>43462</v>
          </cell>
        </row>
      </sheetData>
      <sheetData sheetId="10847">
        <row r="2">
          <cell r="A2">
            <v>43462</v>
          </cell>
        </row>
      </sheetData>
      <sheetData sheetId="10848">
        <row r="2">
          <cell r="A2">
            <v>43462</v>
          </cell>
        </row>
      </sheetData>
      <sheetData sheetId="10849">
        <row r="2">
          <cell r="A2">
            <v>43462</v>
          </cell>
        </row>
      </sheetData>
      <sheetData sheetId="10850">
        <row r="2">
          <cell r="A2">
            <v>43462</v>
          </cell>
        </row>
      </sheetData>
      <sheetData sheetId="10851">
        <row r="2">
          <cell r="A2">
            <v>43462</v>
          </cell>
        </row>
      </sheetData>
      <sheetData sheetId="10852">
        <row r="2">
          <cell r="A2">
            <v>43462</v>
          </cell>
        </row>
      </sheetData>
      <sheetData sheetId="10853">
        <row r="2">
          <cell r="A2">
            <v>43462</v>
          </cell>
        </row>
      </sheetData>
      <sheetData sheetId="10854">
        <row r="2">
          <cell r="A2">
            <v>43462</v>
          </cell>
        </row>
      </sheetData>
      <sheetData sheetId="10855">
        <row r="2">
          <cell r="A2">
            <v>43462</v>
          </cell>
        </row>
      </sheetData>
      <sheetData sheetId="10856">
        <row r="2">
          <cell r="A2">
            <v>43462</v>
          </cell>
        </row>
      </sheetData>
      <sheetData sheetId="10857">
        <row r="2">
          <cell r="A2">
            <v>43462</v>
          </cell>
        </row>
      </sheetData>
      <sheetData sheetId="10858">
        <row r="2">
          <cell r="A2">
            <v>43462</v>
          </cell>
        </row>
      </sheetData>
      <sheetData sheetId="10859">
        <row r="2">
          <cell r="A2">
            <v>43462</v>
          </cell>
        </row>
      </sheetData>
      <sheetData sheetId="10860">
        <row r="2">
          <cell r="A2">
            <v>43462</v>
          </cell>
        </row>
      </sheetData>
      <sheetData sheetId="10861">
        <row r="2">
          <cell r="A2">
            <v>43462</v>
          </cell>
        </row>
      </sheetData>
      <sheetData sheetId="10862">
        <row r="2">
          <cell r="A2">
            <v>43462</v>
          </cell>
        </row>
      </sheetData>
      <sheetData sheetId="10863">
        <row r="2">
          <cell r="A2">
            <v>43462</v>
          </cell>
        </row>
      </sheetData>
      <sheetData sheetId="10864">
        <row r="2">
          <cell r="A2">
            <v>43462</v>
          </cell>
        </row>
      </sheetData>
      <sheetData sheetId="10865">
        <row r="2">
          <cell r="A2">
            <v>43462</v>
          </cell>
        </row>
      </sheetData>
      <sheetData sheetId="10866">
        <row r="2">
          <cell r="A2">
            <v>43462</v>
          </cell>
        </row>
      </sheetData>
      <sheetData sheetId="10867">
        <row r="2">
          <cell r="A2" t="str">
            <v>Complete</v>
          </cell>
        </row>
      </sheetData>
      <sheetData sheetId="10868">
        <row r="2">
          <cell r="A2" t="str">
            <v>Complete</v>
          </cell>
        </row>
      </sheetData>
      <sheetData sheetId="10869">
        <row r="2">
          <cell r="A2" t="str">
            <v>Complete</v>
          </cell>
        </row>
      </sheetData>
      <sheetData sheetId="10870">
        <row r="2">
          <cell r="A2" t="str">
            <v>Complete</v>
          </cell>
        </row>
      </sheetData>
      <sheetData sheetId="10871">
        <row r="2">
          <cell r="A2" t="str">
            <v>Complete</v>
          </cell>
        </row>
      </sheetData>
      <sheetData sheetId="10872">
        <row r="2">
          <cell r="A2" t="str">
            <v>Complete</v>
          </cell>
        </row>
      </sheetData>
      <sheetData sheetId="10873">
        <row r="2">
          <cell r="A2" t="str">
            <v>Complete</v>
          </cell>
        </row>
      </sheetData>
      <sheetData sheetId="10874">
        <row r="2">
          <cell r="A2">
            <v>43462</v>
          </cell>
        </row>
      </sheetData>
      <sheetData sheetId="10875">
        <row r="2">
          <cell r="A2">
            <v>43462</v>
          </cell>
        </row>
      </sheetData>
      <sheetData sheetId="10876">
        <row r="2">
          <cell r="A2">
            <v>43462</v>
          </cell>
        </row>
      </sheetData>
      <sheetData sheetId="10877">
        <row r="2">
          <cell r="A2">
            <v>43462</v>
          </cell>
        </row>
      </sheetData>
      <sheetData sheetId="10878">
        <row r="2">
          <cell r="A2">
            <v>43462</v>
          </cell>
        </row>
      </sheetData>
      <sheetData sheetId="10879">
        <row r="2">
          <cell r="A2">
            <v>43462</v>
          </cell>
        </row>
      </sheetData>
      <sheetData sheetId="10880">
        <row r="2">
          <cell r="A2">
            <v>43462</v>
          </cell>
        </row>
      </sheetData>
      <sheetData sheetId="10881">
        <row r="2">
          <cell r="A2">
            <v>43462</v>
          </cell>
        </row>
      </sheetData>
      <sheetData sheetId="10882">
        <row r="2">
          <cell r="A2">
            <v>43462</v>
          </cell>
        </row>
      </sheetData>
      <sheetData sheetId="10883">
        <row r="2">
          <cell r="A2">
            <v>43462</v>
          </cell>
        </row>
      </sheetData>
      <sheetData sheetId="10884">
        <row r="2">
          <cell r="A2">
            <v>43462</v>
          </cell>
        </row>
      </sheetData>
      <sheetData sheetId="10885">
        <row r="2">
          <cell r="A2">
            <v>43462</v>
          </cell>
        </row>
      </sheetData>
      <sheetData sheetId="10886">
        <row r="2">
          <cell r="A2">
            <v>43462</v>
          </cell>
        </row>
      </sheetData>
      <sheetData sheetId="10887">
        <row r="2">
          <cell r="A2">
            <v>43462</v>
          </cell>
        </row>
      </sheetData>
      <sheetData sheetId="10888">
        <row r="2">
          <cell r="A2">
            <v>43462</v>
          </cell>
        </row>
      </sheetData>
      <sheetData sheetId="10889">
        <row r="2">
          <cell r="A2">
            <v>43462</v>
          </cell>
        </row>
      </sheetData>
      <sheetData sheetId="10890">
        <row r="2">
          <cell r="A2">
            <v>43462</v>
          </cell>
        </row>
      </sheetData>
      <sheetData sheetId="10891">
        <row r="2">
          <cell r="A2">
            <v>43462</v>
          </cell>
        </row>
      </sheetData>
      <sheetData sheetId="10892">
        <row r="2">
          <cell r="A2">
            <v>43462</v>
          </cell>
        </row>
      </sheetData>
      <sheetData sheetId="10893">
        <row r="2">
          <cell r="A2">
            <v>43462</v>
          </cell>
        </row>
      </sheetData>
      <sheetData sheetId="10894">
        <row r="2">
          <cell r="A2">
            <v>43462</v>
          </cell>
        </row>
      </sheetData>
      <sheetData sheetId="10895">
        <row r="2">
          <cell r="A2">
            <v>43462</v>
          </cell>
        </row>
      </sheetData>
      <sheetData sheetId="10896">
        <row r="2">
          <cell r="A2">
            <v>43462</v>
          </cell>
        </row>
      </sheetData>
      <sheetData sheetId="10897">
        <row r="2">
          <cell r="A2">
            <v>43462</v>
          </cell>
        </row>
      </sheetData>
      <sheetData sheetId="10898">
        <row r="2">
          <cell r="A2">
            <v>43462</v>
          </cell>
        </row>
      </sheetData>
      <sheetData sheetId="10899">
        <row r="2">
          <cell r="A2">
            <v>43462</v>
          </cell>
        </row>
      </sheetData>
      <sheetData sheetId="10900">
        <row r="2">
          <cell r="A2">
            <v>43462</v>
          </cell>
        </row>
      </sheetData>
      <sheetData sheetId="10901">
        <row r="2">
          <cell r="A2">
            <v>43462</v>
          </cell>
        </row>
      </sheetData>
      <sheetData sheetId="10902">
        <row r="2">
          <cell r="A2">
            <v>43462</v>
          </cell>
        </row>
      </sheetData>
      <sheetData sheetId="10903">
        <row r="2">
          <cell r="A2">
            <v>43462</v>
          </cell>
        </row>
      </sheetData>
      <sheetData sheetId="10904">
        <row r="2">
          <cell r="A2">
            <v>43462</v>
          </cell>
        </row>
      </sheetData>
      <sheetData sheetId="10905">
        <row r="2">
          <cell r="A2">
            <v>43462</v>
          </cell>
        </row>
      </sheetData>
      <sheetData sheetId="10906">
        <row r="2">
          <cell r="A2">
            <v>43462</v>
          </cell>
        </row>
      </sheetData>
      <sheetData sheetId="10907">
        <row r="2">
          <cell r="A2">
            <v>43462</v>
          </cell>
        </row>
      </sheetData>
      <sheetData sheetId="10908">
        <row r="2">
          <cell r="A2" t="str">
            <v>Complete</v>
          </cell>
        </row>
      </sheetData>
      <sheetData sheetId="10909">
        <row r="2">
          <cell r="A2" t="str">
            <v>Complete</v>
          </cell>
        </row>
      </sheetData>
      <sheetData sheetId="10910">
        <row r="2">
          <cell r="A2" t="str">
            <v>Complete</v>
          </cell>
        </row>
      </sheetData>
      <sheetData sheetId="10911">
        <row r="2">
          <cell r="A2" t="str">
            <v>Complete</v>
          </cell>
        </row>
      </sheetData>
      <sheetData sheetId="10912">
        <row r="2">
          <cell r="A2" t="str">
            <v>Complete</v>
          </cell>
        </row>
      </sheetData>
      <sheetData sheetId="10913">
        <row r="2">
          <cell r="A2" t="str">
            <v>Complete</v>
          </cell>
        </row>
      </sheetData>
      <sheetData sheetId="10914">
        <row r="2">
          <cell r="A2" t="str">
            <v>Complete</v>
          </cell>
        </row>
      </sheetData>
      <sheetData sheetId="10915">
        <row r="2">
          <cell r="A2">
            <v>43462</v>
          </cell>
        </row>
      </sheetData>
      <sheetData sheetId="10916">
        <row r="2">
          <cell r="A2">
            <v>43462</v>
          </cell>
        </row>
      </sheetData>
      <sheetData sheetId="10917">
        <row r="2">
          <cell r="A2">
            <v>43462</v>
          </cell>
        </row>
      </sheetData>
      <sheetData sheetId="10918">
        <row r="2">
          <cell r="A2">
            <v>43462</v>
          </cell>
        </row>
      </sheetData>
      <sheetData sheetId="10919">
        <row r="2">
          <cell r="A2">
            <v>43462</v>
          </cell>
        </row>
      </sheetData>
      <sheetData sheetId="10920">
        <row r="2">
          <cell r="A2">
            <v>43462</v>
          </cell>
        </row>
      </sheetData>
      <sheetData sheetId="10921">
        <row r="2">
          <cell r="A2">
            <v>43462</v>
          </cell>
        </row>
      </sheetData>
      <sheetData sheetId="10922">
        <row r="2">
          <cell r="A2">
            <v>43462</v>
          </cell>
        </row>
      </sheetData>
      <sheetData sheetId="10923">
        <row r="2">
          <cell r="A2">
            <v>43462</v>
          </cell>
        </row>
      </sheetData>
      <sheetData sheetId="10924">
        <row r="2">
          <cell r="A2">
            <v>43462</v>
          </cell>
        </row>
      </sheetData>
      <sheetData sheetId="10925">
        <row r="2">
          <cell r="A2">
            <v>43462</v>
          </cell>
        </row>
      </sheetData>
      <sheetData sheetId="10926">
        <row r="2">
          <cell r="A2">
            <v>43462</v>
          </cell>
        </row>
      </sheetData>
      <sheetData sheetId="10927">
        <row r="2">
          <cell r="A2">
            <v>43462</v>
          </cell>
        </row>
      </sheetData>
      <sheetData sheetId="10928">
        <row r="2">
          <cell r="A2">
            <v>43462</v>
          </cell>
        </row>
      </sheetData>
      <sheetData sheetId="10929">
        <row r="2">
          <cell r="A2">
            <v>43462</v>
          </cell>
        </row>
      </sheetData>
      <sheetData sheetId="10930">
        <row r="2">
          <cell r="A2">
            <v>43462</v>
          </cell>
        </row>
      </sheetData>
      <sheetData sheetId="10931">
        <row r="2">
          <cell r="A2">
            <v>43462</v>
          </cell>
        </row>
      </sheetData>
      <sheetData sheetId="10932">
        <row r="2">
          <cell r="A2">
            <v>43462</v>
          </cell>
        </row>
      </sheetData>
      <sheetData sheetId="10933">
        <row r="2">
          <cell r="A2">
            <v>43462</v>
          </cell>
        </row>
      </sheetData>
      <sheetData sheetId="10934">
        <row r="2">
          <cell r="A2">
            <v>43462</v>
          </cell>
        </row>
      </sheetData>
      <sheetData sheetId="10935">
        <row r="2">
          <cell r="A2">
            <v>43462</v>
          </cell>
        </row>
      </sheetData>
      <sheetData sheetId="10936">
        <row r="2">
          <cell r="A2">
            <v>43462</v>
          </cell>
        </row>
      </sheetData>
      <sheetData sheetId="10937">
        <row r="2">
          <cell r="A2">
            <v>43462</v>
          </cell>
        </row>
      </sheetData>
      <sheetData sheetId="10938">
        <row r="2">
          <cell r="A2">
            <v>43462</v>
          </cell>
        </row>
      </sheetData>
      <sheetData sheetId="10939">
        <row r="2">
          <cell r="A2">
            <v>43462</v>
          </cell>
        </row>
      </sheetData>
      <sheetData sheetId="10940">
        <row r="2">
          <cell r="A2">
            <v>43462</v>
          </cell>
        </row>
      </sheetData>
      <sheetData sheetId="10941">
        <row r="2">
          <cell r="A2">
            <v>43462</v>
          </cell>
        </row>
      </sheetData>
      <sheetData sheetId="10942">
        <row r="2">
          <cell r="A2">
            <v>43462</v>
          </cell>
        </row>
      </sheetData>
      <sheetData sheetId="10943">
        <row r="2">
          <cell r="A2">
            <v>43462</v>
          </cell>
        </row>
      </sheetData>
      <sheetData sheetId="10944">
        <row r="2">
          <cell r="A2">
            <v>43462</v>
          </cell>
        </row>
      </sheetData>
      <sheetData sheetId="10945">
        <row r="2">
          <cell r="A2">
            <v>43462</v>
          </cell>
        </row>
      </sheetData>
      <sheetData sheetId="10946">
        <row r="2">
          <cell r="A2">
            <v>43462</v>
          </cell>
        </row>
      </sheetData>
      <sheetData sheetId="10947">
        <row r="2">
          <cell r="A2">
            <v>43462</v>
          </cell>
        </row>
      </sheetData>
      <sheetData sheetId="10948">
        <row r="2">
          <cell r="A2">
            <v>43462</v>
          </cell>
        </row>
      </sheetData>
      <sheetData sheetId="10949">
        <row r="2">
          <cell r="A2" t="str">
            <v>Complete</v>
          </cell>
        </row>
      </sheetData>
      <sheetData sheetId="10950">
        <row r="2">
          <cell r="A2" t="str">
            <v>Complete</v>
          </cell>
        </row>
      </sheetData>
      <sheetData sheetId="10951">
        <row r="2">
          <cell r="A2" t="str">
            <v>Complete</v>
          </cell>
        </row>
      </sheetData>
      <sheetData sheetId="10952">
        <row r="2">
          <cell r="A2" t="str">
            <v>Complete</v>
          </cell>
        </row>
      </sheetData>
      <sheetData sheetId="10953">
        <row r="2">
          <cell r="A2" t="str">
            <v>Complete</v>
          </cell>
        </row>
      </sheetData>
      <sheetData sheetId="10954">
        <row r="2">
          <cell r="A2" t="str">
            <v>Complete</v>
          </cell>
        </row>
      </sheetData>
      <sheetData sheetId="10955">
        <row r="2">
          <cell r="A2" t="str">
            <v>Complete</v>
          </cell>
        </row>
      </sheetData>
      <sheetData sheetId="10956">
        <row r="2">
          <cell r="A2" t="str">
            <v>Complete</v>
          </cell>
        </row>
      </sheetData>
      <sheetData sheetId="10957">
        <row r="2">
          <cell r="A2">
            <v>43462</v>
          </cell>
        </row>
      </sheetData>
      <sheetData sheetId="10958">
        <row r="2">
          <cell r="A2">
            <v>43462</v>
          </cell>
        </row>
      </sheetData>
      <sheetData sheetId="10959">
        <row r="2">
          <cell r="A2">
            <v>43462</v>
          </cell>
        </row>
      </sheetData>
      <sheetData sheetId="10960">
        <row r="2">
          <cell r="A2">
            <v>43462</v>
          </cell>
        </row>
      </sheetData>
      <sheetData sheetId="10961">
        <row r="2">
          <cell r="A2">
            <v>43462</v>
          </cell>
        </row>
      </sheetData>
      <sheetData sheetId="10962">
        <row r="2">
          <cell r="A2">
            <v>43462</v>
          </cell>
        </row>
      </sheetData>
      <sheetData sheetId="10963">
        <row r="2">
          <cell r="A2">
            <v>43462</v>
          </cell>
        </row>
      </sheetData>
      <sheetData sheetId="10964">
        <row r="2">
          <cell r="A2">
            <v>43462</v>
          </cell>
        </row>
      </sheetData>
      <sheetData sheetId="10965">
        <row r="2">
          <cell r="A2">
            <v>43462</v>
          </cell>
        </row>
      </sheetData>
      <sheetData sheetId="10966">
        <row r="2">
          <cell r="A2">
            <v>43462</v>
          </cell>
        </row>
      </sheetData>
      <sheetData sheetId="10967">
        <row r="2">
          <cell r="A2">
            <v>43462</v>
          </cell>
        </row>
      </sheetData>
      <sheetData sheetId="10968">
        <row r="2">
          <cell r="A2">
            <v>43462</v>
          </cell>
        </row>
      </sheetData>
      <sheetData sheetId="10969">
        <row r="2">
          <cell r="A2">
            <v>43462</v>
          </cell>
        </row>
      </sheetData>
      <sheetData sheetId="10970">
        <row r="2">
          <cell r="A2">
            <v>43462</v>
          </cell>
        </row>
      </sheetData>
      <sheetData sheetId="10971">
        <row r="2">
          <cell r="A2">
            <v>43462</v>
          </cell>
        </row>
      </sheetData>
      <sheetData sheetId="10972">
        <row r="2">
          <cell r="A2">
            <v>43462</v>
          </cell>
        </row>
      </sheetData>
      <sheetData sheetId="10973">
        <row r="2">
          <cell r="A2">
            <v>43462</v>
          </cell>
        </row>
      </sheetData>
      <sheetData sheetId="10974">
        <row r="2">
          <cell r="A2">
            <v>43462</v>
          </cell>
        </row>
      </sheetData>
      <sheetData sheetId="10975">
        <row r="2">
          <cell r="A2">
            <v>43462</v>
          </cell>
        </row>
      </sheetData>
      <sheetData sheetId="10976">
        <row r="2">
          <cell r="A2">
            <v>43462</v>
          </cell>
        </row>
      </sheetData>
      <sheetData sheetId="10977">
        <row r="2">
          <cell r="A2">
            <v>43462</v>
          </cell>
        </row>
      </sheetData>
      <sheetData sheetId="10978">
        <row r="2">
          <cell r="A2">
            <v>43462</v>
          </cell>
        </row>
      </sheetData>
      <sheetData sheetId="10979">
        <row r="2">
          <cell r="A2">
            <v>43462</v>
          </cell>
        </row>
      </sheetData>
      <sheetData sheetId="10980">
        <row r="2">
          <cell r="A2">
            <v>43462</v>
          </cell>
        </row>
      </sheetData>
      <sheetData sheetId="10981">
        <row r="2">
          <cell r="A2">
            <v>43462</v>
          </cell>
        </row>
      </sheetData>
      <sheetData sheetId="10982">
        <row r="2">
          <cell r="A2">
            <v>43462</v>
          </cell>
        </row>
      </sheetData>
      <sheetData sheetId="10983">
        <row r="2">
          <cell r="A2">
            <v>43462</v>
          </cell>
        </row>
      </sheetData>
      <sheetData sheetId="10984">
        <row r="2">
          <cell r="A2">
            <v>43462</v>
          </cell>
        </row>
      </sheetData>
      <sheetData sheetId="10985">
        <row r="2">
          <cell r="A2">
            <v>43462</v>
          </cell>
        </row>
      </sheetData>
      <sheetData sheetId="10986">
        <row r="2">
          <cell r="A2">
            <v>43462</v>
          </cell>
        </row>
      </sheetData>
      <sheetData sheetId="10987">
        <row r="2">
          <cell r="A2">
            <v>43462</v>
          </cell>
        </row>
      </sheetData>
      <sheetData sheetId="10988">
        <row r="2">
          <cell r="A2">
            <v>43462</v>
          </cell>
        </row>
      </sheetData>
      <sheetData sheetId="10989">
        <row r="2">
          <cell r="A2">
            <v>43462</v>
          </cell>
        </row>
      </sheetData>
      <sheetData sheetId="10990">
        <row r="2">
          <cell r="A2" t="str">
            <v>Complete</v>
          </cell>
        </row>
      </sheetData>
      <sheetData sheetId="10991">
        <row r="2">
          <cell r="A2" t="str">
            <v>Complete</v>
          </cell>
        </row>
      </sheetData>
      <sheetData sheetId="10992">
        <row r="2">
          <cell r="A2" t="str">
            <v>Complete</v>
          </cell>
        </row>
      </sheetData>
      <sheetData sheetId="10993">
        <row r="2">
          <cell r="A2" t="str">
            <v>Complete</v>
          </cell>
        </row>
      </sheetData>
      <sheetData sheetId="10994">
        <row r="2">
          <cell r="A2" t="str">
            <v>Complete</v>
          </cell>
        </row>
      </sheetData>
      <sheetData sheetId="10995">
        <row r="2">
          <cell r="A2" t="str">
            <v>Complete</v>
          </cell>
        </row>
      </sheetData>
      <sheetData sheetId="10996">
        <row r="2">
          <cell r="A2" t="str">
            <v>Complete</v>
          </cell>
        </row>
      </sheetData>
      <sheetData sheetId="10997">
        <row r="2">
          <cell r="A2" t="str">
            <v>Complete</v>
          </cell>
        </row>
      </sheetData>
      <sheetData sheetId="10998">
        <row r="2">
          <cell r="A2">
            <v>43462</v>
          </cell>
        </row>
      </sheetData>
      <sheetData sheetId="10999">
        <row r="2">
          <cell r="A2">
            <v>43462</v>
          </cell>
        </row>
      </sheetData>
      <sheetData sheetId="11000">
        <row r="2">
          <cell r="A2">
            <v>43462</v>
          </cell>
        </row>
      </sheetData>
      <sheetData sheetId="11001">
        <row r="2">
          <cell r="A2">
            <v>43462</v>
          </cell>
        </row>
      </sheetData>
      <sheetData sheetId="11002">
        <row r="2">
          <cell r="A2">
            <v>43462</v>
          </cell>
        </row>
      </sheetData>
      <sheetData sheetId="11003">
        <row r="2">
          <cell r="A2">
            <v>43462</v>
          </cell>
        </row>
      </sheetData>
      <sheetData sheetId="11004">
        <row r="2">
          <cell r="A2">
            <v>43462</v>
          </cell>
        </row>
      </sheetData>
      <sheetData sheetId="11005">
        <row r="2">
          <cell r="A2">
            <v>43462</v>
          </cell>
        </row>
      </sheetData>
      <sheetData sheetId="11006">
        <row r="2">
          <cell r="A2">
            <v>43462</v>
          </cell>
        </row>
      </sheetData>
      <sheetData sheetId="11007">
        <row r="2">
          <cell r="A2">
            <v>43462</v>
          </cell>
        </row>
      </sheetData>
      <sheetData sheetId="11008">
        <row r="2">
          <cell r="A2">
            <v>43462</v>
          </cell>
        </row>
      </sheetData>
      <sheetData sheetId="11009">
        <row r="2">
          <cell r="A2">
            <v>43462</v>
          </cell>
        </row>
      </sheetData>
      <sheetData sheetId="11010">
        <row r="2">
          <cell r="A2">
            <v>43462</v>
          </cell>
        </row>
      </sheetData>
      <sheetData sheetId="11011">
        <row r="2">
          <cell r="A2">
            <v>43462</v>
          </cell>
        </row>
      </sheetData>
      <sheetData sheetId="11012">
        <row r="2">
          <cell r="A2">
            <v>43462</v>
          </cell>
        </row>
      </sheetData>
      <sheetData sheetId="11013">
        <row r="2">
          <cell r="A2">
            <v>43462</v>
          </cell>
        </row>
      </sheetData>
      <sheetData sheetId="11014">
        <row r="2">
          <cell r="A2">
            <v>43462</v>
          </cell>
        </row>
      </sheetData>
      <sheetData sheetId="11015">
        <row r="2">
          <cell r="A2">
            <v>43462</v>
          </cell>
        </row>
      </sheetData>
      <sheetData sheetId="11016">
        <row r="2">
          <cell r="A2">
            <v>43462</v>
          </cell>
        </row>
      </sheetData>
      <sheetData sheetId="11017">
        <row r="2">
          <cell r="A2">
            <v>43462</v>
          </cell>
        </row>
      </sheetData>
      <sheetData sheetId="11018">
        <row r="2">
          <cell r="A2">
            <v>43462</v>
          </cell>
        </row>
      </sheetData>
      <sheetData sheetId="11019">
        <row r="2">
          <cell r="A2">
            <v>43462</v>
          </cell>
        </row>
      </sheetData>
      <sheetData sheetId="11020">
        <row r="2">
          <cell r="A2">
            <v>43462</v>
          </cell>
        </row>
      </sheetData>
      <sheetData sheetId="11021">
        <row r="2">
          <cell r="A2">
            <v>43462</v>
          </cell>
        </row>
      </sheetData>
      <sheetData sheetId="11022">
        <row r="2">
          <cell r="A2">
            <v>43462</v>
          </cell>
        </row>
      </sheetData>
      <sheetData sheetId="11023">
        <row r="2">
          <cell r="A2">
            <v>43462</v>
          </cell>
        </row>
      </sheetData>
      <sheetData sheetId="11024">
        <row r="2">
          <cell r="A2">
            <v>43462</v>
          </cell>
        </row>
      </sheetData>
      <sheetData sheetId="11025">
        <row r="2">
          <cell r="A2">
            <v>43462</v>
          </cell>
        </row>
      </sheetData>
      <sheetData sheetId="11026">
        <row r="2">
          <cell r="A2">
            <v>43462</v>
          </cell>
        </row>
      </sheetData>
      <sheetData sheetId="11027">
        <row r="2">
          <cell r="A2">
            <v>43462</v>
          </cell>
        </row>
      </sheetData>
      <sheetData sheetId="11028">
        <row r="2">
          <cell r="A2">
            <v>43462</v>
          </cell>
        </row>
      </sheetData>
      <sheetData sheetId="11029">
        <row r="2">
          <cell r="A2">
            <v>43462</v>
          </cell>
        </row>
      </sheetData>
      <sheetData sheetId="11030">
        <row r="2">
          <cell r="A2">
            <v>43462</v>
          </cell>
        </row>
      </sheetData>
      <sheetData sheetId="11031">
        <row r="2">
          <cell r="A2" t="str">
            <v>Complete</v>
          </cell>
        </row>
      </sheetData>
      <sheetData sheetId="11032">
        <row r="2">
          <cell r="A2" t="str">
            <v>Complete</v>
          </cell>
        </row>
      </sheetData>
      <sheetData sheetId="11033">
        <row r="2">
          <cell r="A2" t="str">
            <v>Complete</v>
          </cell>
        </row>
      </sheetData>
      <sheetData sheetId="11034">
        <row r="2">
          <cell r="A2" t="str">
            <v>Complete</v>
          </cell>
        </row>
      </sheetData>
      <sheetData sheetId="11035">
        <row r="2">
          <cell r="A2" t="str">
            <v>Complete</v>
          </cell>
        </row>
      </sheetData>
      <sheetData sheetId="11036">
        <row r="2">
          <cell r="A2" t="str">
            <v>Complete</v>
          </cell>
        </row>
      </sheetData>
      <sheetData sheetId="11037">
        <row r="2">
          <cell r="A2" t="str">
            <v>Complete</v>
          </cell>
        </row>
      </sheetData>
      <sheetData sheetId="11038">
        <row r="2">
          <cell r="A2" t="str">
            <v>Complete</v>
          </cell>
        </row>
      </sheetData>
      <sheetData sheetId="11039">
        <row r="2">
          <cell r="A2" t="str">
            <v>Complete</v>
          </cell>
        </row>
      </sheetData>
      <sheetData sheetId="11040">
        <row r="2">
          <cell r="A2">
            <v>43462</v>
          </cell>
        </row>
      </sheetData>
      <sheetData sheetId="11041">
        <row r="2">
          <cell r="A2">
            <v>43462</v>
          </cell>
        </row>
      </sheetData>
      <sheetData sheetId="11042">
        <row r="2">
          <cell r="A2">
            <v>43462</v>
          </cell>
        </row>
      </sheetData>
      <sheetData sheetId="11043">
        <row r="2">
          <cell r="A2">
            <v>43462</v>
          </cell>
        </row>
      </sheetData>
      <sheetData sheetId="11044">
        <row r="2">
          <cell r="A2">
            <v>43462</v>
          </cell>
        </row>
      </sheetData>
      <sheetData sheetId="11045">
        <row r="2">
          <cell r="A2">
            <v>43462</v>
          </cell>
        </row>
      </sheetData>
      <sheetData sheetId="11046">
        <row r="2">
          <cell r="A2">
            <v>43462</v>
          </cell>
        </row>
      </sheetData>
      <sheetData sheetId="11047">
        <row r="2">
          <cell r="A2">
            <v>43462</v>
          </cell>
        </row>
      </sheetData>
      <sheetData sheetId="11048">
        <row r="2">
          <cell r="A2">
            <v>43462</v>
          </cell>
        </row>
      </sheetData>
      <sheetData sheetId="11049">
        <row r="2">
          <cell r="A2">
            <v>43462</v>
          </cell>
        </row>
      </sheetData>
      <sheetData sheetId="11050">
        <row r="2">
          <cell r="A2">
            <v>43462</v>
          </cell>
        </row>
      </sheetData>
      <sheetData sheetId="11051">
        <row r="2">
          <cell r="A2">
            <v>43462</v>
          </cell>
        </row>
      </sheetData>
      <sheetData sheetId="11052">
        <row r="2">
          <cell r="A2">
            <v>43462</v>
          </cell>
        </row>
      </sheetData>
      <sheetData sheetId="11053">
        <row r="2">
          <cell r="A2">
            <v>43462</v>
          </cell>
        </row>
      </sheetData>
      <sheetData sheetId="11054">
        <row r="2">
          <cell r="A2">
            <v>43462</v>
          </cell>
        </row>
      </sheetData>
      <sheetData sheetId="11055">
        <row r="2">
          <cell r="A2">
            <v>43462</v>
          </cell>
        </row>
      </sheetData>
      <sheetData sheetId="11056">
        <row r="2">
          <cell r="A2">
            <v>43462</v>
          </cell>
        </row>
      </sheetData>
      <sheetData sheetId="11057">
        <row r="2">
          <cell r="A2">
            <v>43462</v>
          </cell>
        </row>
      </sheetData>
      <sheetData sheetId="11058">
        <row r="2">
          <cell r="A2">
            <v>43462</v>
          </cell>
        </row>
      </sheetData>
      <sheetData sheetId="11059">
        <row r="2">
          <cell r="A2">
            <v>43462</v>
          </cell>
        </row>
      </sheetData>
      <sheetData sheetId="11060">
        <row r="2">
          <cell r="A2">
            <v>43462</v>
          </cell>
        </row>
      </sheetData>
      <sheetData sheetId="11061">
        <row r="2">
          <cell r="A2">
            <v>43462</v>
          </cell>
        </row>
      </sheetData>
      <sheetData sheetId="11062">
        <row r="2">
          <cell r="A2">
            <v>43462</v>
          </cell>
        </row>
      </sheetData>
      <sheetData sheetId="11063">
        <row r="2">
          <cell r="A2">
            <v>43462</v>
          </cell>
        </row>
      </sheetData>
      <sheetData sheetId="11064">
        <row r="2">
          <cell r="A2">
            <v>43462</v>
          </cell>
        </row>
      </sheetData>
      <sheetData sheetId="11065">
        <row r="2">
          <cell r="A2">
            <v>43462</v>
          </cell>
        </row>
      </sheetData>
      <sheetData sheetId="11066">
        <row r="2">
          <cell r="A2">
            <v>43462</v>
          </cell>
        </row>
      </sheetData>
      <sheetData sheetId="11067">
        <row r="2">
          <cell r="A2">
            <v>43462</v>
          </cell>
        </row>
      </sheetData>
      <sheetData sheetId="11068">
        <row r="2">
          <cell r="A2">
            <v>43462</v>
          </cell>
        </row>
      </sheetData>
      <sheetData sheetId="11069">
        <row r="2">
          <cell r="A2">
            <v>43462</v>
          </cell>
        </row>
      </sheetData>
      <sheetData sheetId="11070">
        <row r="2">
          <cell r="A2">
            <v>43462</v>
          </cell>
        </row>
      </sheetData>
      <sheetData sheetId="11071">
        <row r="2">
          <cell r="A2">
            <v>43462</v>
          </cell>
        </row>
      </sheetData>
      <sheetData sheetId="11072">
        <row r="2">
          <cell r="A2" t="str">
            <v>Complete</v>
          </cell>
        </row>
      </sheetData>
      <sheetData sheetId="11073">
        <row r="2">
          <cell r="A2" t="str">
            <v>Complete</v>
          </cell>
        </row>
      </sheetData>
      <sheetData sheetId="11074">
        <row r="2">
          <cell r="A2" t="str">
            <v>Complete</v>
          </cell>
        </row>
      </sheetData>
      <sheetData sheetId="11075">
        <row r="2">
          <cell r="A2" t="str">
            <v>Complete</v>
          </cell>
        </row>
      </sheetData>
      <sheetData sheetId="11076">
        <row r="2">
          <cell r="A2" t="str">
            <v>Complete</v>
          </cell>
        </row>
      </sheetData>
      <sheetData sheetId="11077">
        <row r="2">
          <cell r="A2" t="str">
            <v>Complete</v>
          </cell>
        </row>
      </sheetData>
      <sheetData sheetId="11078">
        <row r="2">
          <cell r="A2" t="str">
            <v>Complete</v>
          </cell>
        </row>
      </sheetData>
      <sheetData sheetId="11079">
        <row r="2">
          <cell r="A2" t="str">
            <v>Complete</v>
          </cell>
        </row>
      </sheetData>
      <sheetData sheetId="11080">
        <row r="2">
          <cell r="A2" t="str">
            <v>Complete</v>
          </cell>
        </row>
      </sheetData>
      <sheetData sheetId="11081">
        <row r="2">
          <cell r="A2" t="str">
            <v>Complete</v>
          </cell>
        </row>
      </sheetData>
      <sheetData sheetId="11082">
        <row r="2">
          <cell r="A2" t="str">
            <v>Complete</v>
          </cell>
        </row>
      </sheetData>
      <sheetData sheetId="11083">
        <row r="2">
          <cell r="A2" t="str">
            <v>Complete</v>
          </cell>
        </row>
      </sheetData>
      <sheetData sheetId="11084">
        <row r="2">
          <cell r="A2" t="str">
            <v>Complete</v>
          </cell>
        </row>
      </sheetData>
      <sheetData sheetId="11085">
        <row r="2">
          <cell r="A2" t="str">
            <v>Complete</v>
          </cell>
        </row>
      </sheetData>
      <sheetData sheetId="11086">
        <row r="2">
          <cell r="A2" t="str">
            <v>Complete</v>
          </cell>
        </row>
      </sheetData>
      <sheetData sheetId="11087">
        <row r="2">
          <cell r="A2" t="str">
            <v>Complete</v>
          </cell>
        </row>
      </sheetData>
      <sheetData sheetId="11088">
        <row r="2">
          <cell r="A2" t="str">
            <v>Complete</v>
          </cell>
        </row>
      </sheetData>
      <sheetData sheetId="11089">
        <row r="2">
          <cell r="A2" t="str">
            <v>Complete</v>
          </cell>
        </row>
      </sheetData>
      <sheetData sheetId="11090">
        <row r="2">
          <cell r="A2" t="str">
            <v>Complete</v>
          </cell>
        </row>
      </sheetData>
      <sheetData sheetId="11091">
        <row r="2">
          <cell r="A2" t="str">
            <v>Complete</v>
          </cell>
        </row>
      </sheetData>
      <sheetData sheetId="11092">
        <row r="2">
          <cell r="A2">
            <v>43462</v>
          </cell>
        </row>
      </sheetData>
      <sheetData sheetId="11093">
        <row r="2">
          <cell r="A2">
            <v>43462</v>
          </cell>
        </row>
      </sheetData>
      <sheetData sheetId="11094">
        <row r="2">
          <cell r="A2">
            <v>43462</v>
          </cell>
        </row>
      </sheetData>
      <sheetData sheetId="11095">
        <row r="2">
          <cell r="A2">
            <v>43462</v>
          </cell>
        </row>
      </sheetData>
      <sheetData sheetId="11096">
        <row r="2">
          <cell r="A2">
            <v>43462</v>
          </cell>
        </row>
      </sheetData>
      <sheetData sheetId="11097">
        <row r="2">
          <cell r="A2">
            <v>43462</v>
          </cell>
        </row>
      </sheetData>
      <sheetData sheetId="11098">
        <row r="2">
          <cell r="A2">
            <v>43462</v>
          </cell>
        </row>
      </sheetData>
      <sheetData sheetId="11099">
        <row r="2">
          <cell r="A2">
            <v>43462</v>
          </cell>
        </row>
      </sheetData>
      <sheetData sheetId="11100">
        <row r="2">
          <cell r="A2">
            <v>43462</v>
          </cell>
        </row>
      </sheetData>
      <sheetData sheetId="11101">
        <row r="2">
          <cell r="A2">
            <v>43462</v>
          </cell>
        </row>
      </sheetData>
      <sheetData sheetId="11102">
        <row r="2">
          <cell r="A2">
            <v>43462</v>
          </cell>
        </row>
      </sheetData>
      <sheetData sheetId="11103">
        <row r="2">
          <cell r="A2">
            <v>43462</v>
          </cell>
        </row>
      </sheetData>
      <sheetData sheetId="11104">
        <row r="2">
          <cell r="A2">
            <v>43462</v>
          </cell>
        </row>
      </sheetData>
      <sheetData sheetId="11105">
        <row r="2">
          <cell r="A2">
            <v>43462</v>
          </cell>
        </row>
      </sheetData>
      <sheetData sheetId="11106">
        <row r="2">
          <cell r="A2">
            <v>43462</v>
          </cell>
        </row>
      </sheetData>
      <sheetData sheetId="11107">
        <row r="2">
          <cell r="A2">
            <v>43462</v>
          </cell>
        </row>
      </sheetData>
      <sheetData sheetId="11108">
        <row r="2">
          <cell r="A2">
            <v>43462</v>
          </cell>
        </row>
      </sheetData>
      <sheetData sheetId="11109">
        <row r="2">
          <cell r="A2">
            <v>43462</v>
          </cell>
        </row>
      </sheetData>
      <sheetData sheetId="11110">
        <row r="2">
          <cell r="A2">
            <v>43462</v>
          </cell>
        </row>
      </sheetData>
      <sheetData sheetId="11111">
        <row r="2">
          <cell r="A2">
            <v>43462</v>
          </cell>
        </row>
      </sheetData>
      <sheetData sheetId="11112">
        <row r="2">
          <cell r="A2">
            <v>43462</v>
          </cell>
        </row>
      </sheetData>
      <sheetData sheetId="11113">
        <row r="2">
          <cell r="A2" t="str">
            <v>Complete</v>
          </cell>
        </row>
      </sheetData>
      <sheetData sheetId="11114">
        <row r="2">
          <cell r="A2" t="str">
            <v>Complete</v>
          </cell>
        </row>
      </sheetData>
      <sheetData sheetId="11115">
        <row r="2">
          <cell r="A2" t="str">
            <v>Complete</v>
          </cell>
        </row>
      </sheetData>
      <sheetData sheetId="11116">
        <row r="2">
          <cell r="A2" t="str">
            <v>Complete</v>
          </cell>
        </row>
      </sheetData>
      <sheetData sheetId="11117">
        <row r="2">
          <cell r="A2" t="str">
            <v>Complete</v>
          </cell>
        </row>
      </sheetData>
      <sheetData sheetId="11118">
        <row r="2">
          <cell r="A2" t="str">
            <v>Complete</v>
          </cell>
        </row>
      </sheetData>
      <sheetData sheetId="11119">
        <row r="2">
          <cell r="A2" t="str">
            <v>Complete</v>
          </cell>
        </row>
      </sheetData>
      <sheetData sheetId="11120">
        <row r="2">
          <cell r="A2" t="str">
            <v>Complete</v>
          </cell>
        </row>
      </sheetData>
      <sheetData sheetId="11121">
        <row r="2">
          <cell r="A2" t="str">
            <v>Complete</v>
          </cell>
        </row>
      </sheetData>
      <sheetData sheetId="11122">
        <row r="2">
          <cell r="A2" t="str">
            <v>Complete</v>
          </cell>
        </row>
      </sheetData>
      <sheetData sheetId="11123">
        <row r="2">
          <cell r="A2" t="str">
            <v>Complete</v>
          </cell>
        </row>
      </sheetData>
      <sheetData sheetId="11124">
        <row r="2">
          <cell r="A2" t="str">
            <v>Complete</v>
          </cell>
        </row>
      </sheetData>
      <sheetData sheetId="11125">
        <row r="2">
          <cell r="A2" t="str">
            <v>Complete</v>
          </cell>
        </row>
      </sheetData>
      <sheetData sheetId="11126">
        <row r="2">
          <cell r="A2" t="str">
            <v>Complete</v>
          </cell>
        </row>
      </sheetData>
      <sheetData sheetId="11127">
        <row r="2">
          <cell r="A2" t="str">
            <v>Complete</v>
          </cell>
        </row>
      </sheetData>
      <sheetData sheetId="11128">
        <row r="2">
          <cell r="A2" t="str">
            <v>Complete</v>
          </cell>
        </row>
      </sheetData>
      <sheetData sheetId="11129">
        <row r="2">
          <cell r="A2" t="str">
            <v>Complete</v>
          </cell>
        </row>
      </sheetData>
      <sheetData sheetId="11130">
        <row r="2">
          <cell r="A2" t="str">
            <v>Complete</v>
          </cell>
        </row>
      </sheetData>
      <sheetData sheetId="11131">
        <row r="2">
          <cell r="A2" t="str">
            <v>Complete</v>
          </cell>
        </row>
      </sheetData>
      <sheetData sheetId="11132">
        <row r="2">
          <cell r="A2" t="str">
            <v>Complete</v>
          </cell>
        </row>
      </sheetData>
      <sheetData sheetId="11133">
        <row r="2">
          <cell r="A2" t="str">
            <v>Complete</v>
          </cell>
        </row>
      </sheetData>
      <sheetData sheetId="11134">
        <row r="2">
          <cell r="A2">
            <v>43462</v>
          </cell>
        </row>
      </sheetData>
      <sheetData sheetId="11135">
        <row r="2">
          <cell r="A2">
            <v>43462</v>
          </cell>
        </row>
      </sheetData>
      <sheetData sheetId="11136">
        <row r="2">
          <cell r="A2">
            <v>43462</v>
          </cell>
        </row>
      </sheetData>
      <sheetData sheetId="11137">
        <row r="2">
          <cell r="A2">
            <v>43462</v>
          </cell>
        </row>
      </sheetData>
      <sheetData sheetId="11138">
        <row r="2">
          <cell r="A2">
            <v>43462</v>
          </cell>
        </row>
      </sheetData>
      <sheetData sheetId="11139">
        <row r="2">
          <cell r="A2">
            <v>43462</v>
          </cell>
        </row>
      </sheetData>
      <sheetData sheetId="11140">
        <row r="2">
          <cell r="A2">
            <v>43462</v>
          </cell>
        </row>
      </sheetData>
      <sheetData sheetId="11141">
        <row r="2">
          <cell r="A2">
            <v>43462</v>
          </cell>
        </row>
      </sheetData>
      <sheetData sheetId="11142">
        <row r="2">
          <cell r="A2">
            <v>43462</v>
          </cell>
        </row>
      </sheetData>
      <sheetData sheetId="11143">
        <row r="2">
          <cell r="A2">
            <v>43462</v>
          </cell>
        </row>
      </sheetData>
      <sheetData sheetId="11144">
        <row r="2">
          <cell r="A2">
            <v>43462</v>
          </cell>
        </row>
      </sheetData>
      <sheetData sheetId="11145">
        <row r="2">
          <cell r="A2">
            <v>43462</v>
          </cell>
        </row>
      </sheetData>
      <sheetData sheetId="11146">
        <row r="2">
          <cell r="A2">
            <v>43462</v>
          </cell>
        </row>
      </sheetData>
      <sheetData sheetId="11147">
        <row r="2">
          <cell r="A2">
            <v>43462</v>
          </cell>
        </row>
      </sheetData>
      <sheetData sheetId="11148">
        <row r="2">
          <cell r="A2">
            <v>43462</v>
          </cell>
        </row>
      </sheetData>
      <sheetData sheetId="11149">
        <row r="2">
          <cell r="A2">
            <v>43462</v>
          </cell>
        </row>
      </sheetData>
      <sheetData sheetId="11150">
        <row r="2">
          <cell r="A2">
            <v>43462</v>
          </cell>
        </row>
      </sheetData>
      <sheetData sheetId="11151">
        <row r="2">
          <cell r="A2">
            <v>43462</v>
          </cell>
        </row>
      </sheetData>
      <sheetData sheetId="11152">
        <row r="2">
          <cell r="A2">
            <v>43462</v>
          </cell>
        </row>
      </sheetData>
      <sheetData sheetId="11153">
        <row r="2">
          <cell r="A2">
            <v>43462</v>
          </cell>
        </row>
      </sheetData>
      <sheetData sheetId="11154">
        <row r="2">
          <cell r="A2" t="str">
            <v>Complete</v>
          </cell>
        </row>
      </sheetData>
      <sheetData sheetId="11155">
        <row r="2">
          <cell r="A2" t="str">
            <v>Complete</v>
          </cell>
        </row>
      </sheetData>
      <sheetData sheetId="11156">
        <row r="2">
          <cell r="A2" t="str">
            <v>Complete</v>
          </cell>
        </row>
      </sheetData>
      <sheetData sheetId="11157">
        <row r="2">
          <cell r="A2" t="str">
            <v>Complete</v>
          </cell>
        </row>
      </sheetData>
      <sheetData sheetId="11158">
        <row r="2">
          <cell r="A2" t="str">
            <v>Complete</v>
          </cell>
        </row>
      </sheetData>
      <sheetData sheetId="11159">
        <row r="2">
          <cell r="A2" t="str">
            <v>Complete</v>
          </cell>
        </row>
      </sheetData>
      <sheetData sheetId="11160">
        <row r="2">
          <cell r="A2" t="str">
            <v>Complete</v>
          </cell>
        </row>
      </sheetData>
      <sheetData sheetId="11161">
        <row r="2">
          <cell r="A2" t="str">
            <v>Complete</v>
          </cell>
        </row>
      </sheetData>
      <sheetData sheetId="11162">
        <row r="2">
          <cell r="A2" t="str">
            <v>Complete</v>
          </cell>
        </row>
      </sheetData>
      <sheetData sheetId="11163">
        <row r="2">
          <cell r="A2" t="str">
            <v>Complete</v>
          </cell>
        </row>
      </sheetData>
      <sheetData sheetId="11164">
        <row r="2">
          <cell r="A2" t="str">
            <v>Complete</v>
          </cell>
        </row>
      </sheetData>
      <sheetData sheetId="11165">
        <row r="2">
          <cell r="A2" t="str">
            <v>Complete</v>
          </cell>
        </row>
      </sheetData>
      <sheetData sheetId="11166">
        <row r="2">
          <cell r="A2" t="str">
            <v>Complete</v>
          </cell>
        </row>
      </sheetData>
      <sheetData sheetId="11167">
        <row r="2">
          <cell r="A2" t="str">
            <v>Complete</v>
          </cell>
        </row>
      </sheetData>
      <sheetData sheetId="11168">
        <row r="2">
          <cell r="A2" t="str">
            <v>Complete</v>
          </cell>
        </row>
      </sheetData>
      <sheetData sheetId="11169">
        <row r="2">
          <cell r="A2" t="str">
            <v>Complete</v>
          </cell>
        </row>
      </sheetData>
      <sheetData sheetId="11170">
        <row r="2">
          <cell r="A2" t="str">
            <v>Complete</v>
          </cell>
        </row>
      </sheetData>
      <sheetData sheetId="11171">
        <row r="2">
          <cell r="A2" t="str">
            <v>Complete</v>
          </cell>
        </row>
      </sheetData>
      <sheetData sheetId="11172">
        <row r="2">
          <cell r="A2" t="str">
            <v>Complete</v>
          </cell>
        </row>
      </sheetData>
      <sheetData sheetId="11173">
        <row r="2">
          <cell r="A2" t="str">
            <v>Complete</v>
          </cell>
        </row>
      </sheetData>
      <sheetData sheetId="11174">
        <row r="2">
          <cell r="A2" t="str">
            <v>Complete</v>
          </cell>
        </row>
      </sheetData>
      <sheetData sheetId="11175">
        <row r="2">
          <cell r="A2" t="str">
            <v>Complete</v>
          </cell>
        </row>
      </sheetData>
      <sheetData sheetId="11176">
        <row r="2">
          <cell r="A2">
            <v>43462</v>
          </cell>
        </row>
      </sheetData>
      <sheetData sheetId="11177">
        <row r="2">
          <cell r="A2">
            <v>43462</v>
          </cell>
        </row>
      </sheetData>
      <sheetData sheetId="11178">
        <row r="2">
          <cell r="A2">
            <v>43462</v>
          </cell>
        </row>
      </sheetData>
      <sheetData sheetId="11179">
        <row r="2">
          <cell r="A2">
            <v>43462</v>
          </cell>
        </row>
      </sheetData>
      <sheetData sheetId="11180">
        <row r="2">
          <cell r="A2">
            <v>43462</v>
          </cell>
        </row>
      </sheetData>
      <sheetData sheetId="11181">
        <row r="2">
          <cell r="A2">
            <v>43462</v>
          </cell>
        </row>
      </sheetData>
      <sheetData sheetId="11182">
        <row r="2">
          <cell r="A2">
            <v>43462</v>
          </cell>
        </row>
      </sheetData>
      <sheetData sheetId="11183">
        <row r="2">
          <cell r="A2">
            <v>43462</v>
          </cell>
        </row>
      </sheetData>
      <sheetData sheetId="11184">
        <row r="2">
          <cell r="A2">
            <v>43462</v>
          </cell>
        </row>
      </sheetData>
      <sheetData sheetId="11185">
        <row r="2">
          <cell r="A2">
            <v>43462</v>
          </cell>
        </row>
      </sheetData>
      <sheetData sheetId="11186">
        <row r="2">
          <cell r="A2">
            <v>43462</v>
          </cell>
        </row>
      </sheetData>
      <sheetData sheetId="11187">
        <row r="2">
          <cell r="A2">
            <v>43462</v>
          </cell>
        </row>
      </sheetData>
      <sheetData sheetId="11188">
        <row r="2">
          <cell r="A2">
            <v>43462</v>
          </cell>
        </row>
      </sheetData>
      <sheetData sheetId="11189">
        <row r="2">
          <cell r="A2">
            <v>43462</v>
          </cell>
        </row>
      </sheetData>
      <sheetData sheetId="11190">
        <row r="2">
          <cell r="A2">
            <v>43462</v>
          </cell>
        </row>
      </sheetData>
      <sheetData sheetId="11191">
        <row r="2">
          <cell r="A2">
            <v>43462</v>
          </cell>
        </row>
      </sheetData>
      <sheetData sheetId="11192">
        <row r="2">
          <cell r="A2">
            <v>43462</v>
          </cell>
        </row>
      </sheetData>
      <sheetData sheetId="11193">
        <row r="2">
          <cell r="A2">
            <v>43462</v>
          </cell>
        </row>
      </sheetData>
      <sheetData sheetId="11194">
        <row r="2">
          <cell r="A2">
            <v>43462</v>
          </cell>
        </row>
      </sheetData>
      <sheetData sheetId="11195">
        <row r="2">
          <cell r="A2" t="str">
            <v>Complete</v>
          </cell>
        </row>
      </sheetData>
      <sheetData sheetId="11196">
        <row r="2">
          <cell r="A2" t="str">
            <v>Complete</v>
          </cell>
        </row>
      </sheetData>
      <sheetData sheetId="11197">
        <row r="2">
          <cell r="A2" t="str">
            <v>Complete</v>
          </cell>
        </row>
      </sheetData>
      <sheetData sheetId="11198">
        <row r="2">
          <cell r="A2" t="str">
            <v>Complete</v>
          </cell>
        </row>
      </sheetData>
      <sheetData sheetId="11199">
        <row r="2">
          <cell r="A2" t="str">
            <v>Complete</v>
          </cell>
        </row>
      </sheetData>
      <sheetData sheetId="11200">
        <row r="2">
          <cell r="A2" t="str">
            <v>Complete</v>
          </cell>
        </row>
      </sheetData>
      <sheetData sheetId="11201">
        <row r="2">
          <cell r="A2" t="str">
            <v>Complete</v>
          </cell>
        </row>
      </sheetData>
      <sheetData sheetId="11202">
        <row r="2">
          <cell r="A2" t="str">
            <v>Complete</v>
          </cell>
        </row>
      </sheetData>
      <sheetData sheetId="11203">
        <row r="2">
          <cell r="A2" t="str">
            <v>Complete</v>
          </cell>
        </row>
      </sheetData>
      <sheetData sheetId="11204">
        <row r="2">
          <cell r="A2" t="str">
            <v>Complete</v>
          </cell>
        </row>
      </sheetData>
      <sheetData sheetId="11205">
        <row r="2">
          <cell r="A2" t="str">
            <v>Complete</v>
          </cell>
        </row>
      </sheetData>
      <sheetData sheetId="11206">
        <row r="2">
          <cell r="A2" t="str">
            <v>Complete</v>
          </cell>
        </row>
      </sheetData>
      <sheetData sheetId="11207">
        <row r="2">
          <cell r="A2" t="str">
            <v>Complete</v>
          </cell>
        </row>
      </sheetData>
      <sheetData sheetId="11208">
        <row r="2">
          <cell r="A2" t="str">
            <v>Complete</v>
          </cell>
        </row>
      </sheetData>
      <sheetData sheetId="11209">
        <row r="2">
          <cell r="A2" t="str">
            <v>Complete</v>
          </cell>
        </row>
      </sheetData>
      <sheetData sheetId="11210">
        <row r="2">
          <cell r="A2" t="str">
            <v>Complete</v>
          </cell>
        </row>
      </sheetData>
      <sheetData sheetId="11211">
        <row r="2">
          <cell r="A2" t="str">
            <v>Complete</v>
          </cell>
        </row>
      </sheetData>
      <sheetData sheetId="11212">
        <row r="2">
          <cell r="A2" t="str">
            <v>Complete</v>
          </cell>
        </row>
      </sheetData>
      <sheetData sheetId="11213">
        <row r="2">
          <cell r="A2" t="str">
            <v>Complete</v>
          </cell>
        </row>
      </sheetData>
      <sheetData sheetId="11214">
        <row r="2">
          <cell r="A2" t="str">
            <v>Complete</v>
          </cell>
        </row>
      </sheetData>
      <sheetData sheetId="11215">
        <row r="2">
          <cell r="A2" t="str">
            <v>Complete</v>
          </cell>
        </row>
      </sheetData>
      <sheetData sheetId="11216">
        <row r="2">
          <cell r="A2" t="str">
            <v>Complete</v>
          </cell>
        </row>
      </sheetData>
      <sheetData sheetId="11217">
        <row r="2">
          <cell r="A2">
            <v>43462</v>
          </cell>
        </row>
      </sheetData>
      <sheetData sheetId="11218">
        <row r="2">
          <cell r="A2">
            <v>43462</v>
          </cell>
        </row>
      </sheetData>
      <sheetData sheetId="11219">
        <row r="2">
          <cell r="A2">
            <v>43462</v>
          </cell>
        </row>
      </sheetData>
      <sheetData sheetId="11220">
        <row r="2">
          <cell r="A2">
            <v>43462</v>
          </cell>
        </row>
      </sheetData>
      <sheetData sheetId="11221">
        <row r="2">
          <cell r="A2">
            <v>43462</v>
          </cell>
        </row>
      </sheetData>
      <sheetData sheetId="11222">
        <row r="2">
          <cell r="A2">
            <v>43462</v>
          </cell>
        </row>
      </sheetData>
      <sheetData sheetId="11223">
        <row r="2">
          <cell r="A2">
            <v>43462</v>
          </cell>
        </row>
      </sheetData>
      <sheetData sheetId="11224">
        <row r="2">
          <cell r="A2">
            <v>43462</v>
          </cell>
        </row>
      </sheetData>
      <sheetData sheetId="11225">
        <row r="2">
          <cell r="A2">
            <v>43462</v>
          </cell>
        </row>
      </sheetData>
      <sheetData sheetId="11226">
        <row r="2">
          <cell r="A2">
            <v>43462</v>
          </cell>
        </row>
      </sheetData>
      <sheetData sheetId="11227">
        <row r="2">
          <cell r="A2">
            <v>43462</v>
          </cell>
        </row>
      </sheetData>
      <sheetData sheetId="11228">
        <row r="2">
          <cell r="A2">
            <v>43462</v>
          </cell>
        </row>
      </sheetData>
      <sheetData sheetId="11229">
        <row r="2">
          <cell r="A2">
            <v>43462</v>
          </cell>
        </row>
      </sheetData>
      <sheetData sheetId="11230">
        <row r="2">
          <cell r="A2">
            <v>43462</v>
          </cell>
        </row>
      </sheetData>
      <sheetData sheetId="11231">
        <row r="2">
          <cell r="A2">
            <v>43462</v>
          </cell>
        </row>
      </sheetData>
      <sheetData sheetId="11232">
        <row r="2">
          <cell r="A2">
            <v>43462</v>
          </cell>
        </row>
      </sheetData>
      <sheetData sheetId="11233">
        <row r="2">
          <cell r="A2">
            <v>43462</v>
          </cell>
        </row>
      </sheetData>
      <sheetData sheetId="11234">
        <row r="2">
          <cell r="A2">
            <v>43462</v>
          </cell>
        </row>
      </sheetData>
      <sheetData sheetId="11235">
        <row r="2">
          <cell r="A2">
            <v>43462</v>
          </cell>
        </row>
      </sheetData>
      <sheetData sheetId="11236">
        <row r="2">
          <cell r="A2">
            <v>43462</v>
          </cell>
        </row>
      </sheetData>
      <sheetData sheetId="11237">
        <row r="2">
          <cell r="A2">
            <v>43462</v>
          </cell>
        </row>
      </sheetData>
      <sheetData sheetId="11238">
        <row r="2">
          <cell r="A2" t="str">
            <v>Complete</v>
          </cell>
        </row>
      </sheetData>
      <sheetData sheetId="11239">
        <row r="2">
          <cell r="A2" t="str">
            <v>Complete</v>
          </cell>
        </row>
      </sheetData>
      <sheetData sheetId="11240">
        <row r="2">
          <cell r="A2" t="str">
            <v>Complete</v>
          </cell>
        </row>
      </sheetData>
      <sheetData sheetId="11241">
        <row r="2">
          <cell r="A2" t="str">
            <v>Complete</v>
          </cell>
        </row>
      </sheetData>
      <sheetData sheetId="11242">
        <row r="2">
          <cell r="A2" t="str">
            <v>Complete</v>
          </cell>
        </row>
      </sheetData>
      <sheetData sheetId="11243">
        <row r="2">
          <cell r="A2" t="str">
            <v>Complete</v>
          </cell>
        </row>
      </sheetData>
      <sheetData sheetId="11244">
        <row r="2">
          <cell r="A2" t="str">
            <v>Complete</v>
          </cell>
        </row>
      </sheetData>
      <sheetData sheetId="11245">
        <row r="2">
          <cell r="A2" t="str">
            <v>Complete</v>
          </cell>
        </row>
      </sheetData>
      <sheetData sheetId="11246">
        <row r="2">
          <cell r="A2" t="str">
            <v>Complete</v>
          </cell>
        </row>
      </sheetData>
      <sheetData sheetId="11247">
        <row r="2">
          <cell r="A2" t="str">
            <v>Complete</v>
          </cell>
        </row>
      </sheetData>
      <sheetData sheetId="11248">
        <row r="2">
          <cell r="A2" t="str">
            <v>Complete</v>
          </cell>
        </row>
      </sheetData>
      <sheetData sheetId="11249">
        <row r="2">
          <cell r="A2" t="str">
            <v>Complete</v>
          </cell>
        </row>
      </sheetData>
      <sheetData sheetId="11250">
        <row r="2">
          <cell r="A2" t="str">
            <v>Complete</v>
          </cell>
        </row>
      </sheetData>
      <sheetData sheetId="11251">
        <row r="2">
          <cell r="A2" t="str">
            <v>Complete</v>
          </cell>
        </row>
      </sheetData>
      <sheetData sheetId="11252">
        <row r="2">
          <cell r="A2" t="str">
            <v>Complete</v>
          </cell>
        </row>
      </sheetData>
      <sheetData sheetId="11253">
        <row r="2">
          <cell r="A2" t="str">
            <v>Complete</v>
          </cell>
        </row>
      </sheetData>
      <sheetData sheetId="11254">
        <row r="2">
          <cell r="A2" t="str">
            <v>Complete</v>
          </cell>
        </row>
      </sheetData>
      <sheetData sheetId="11255">
        <row r="2">
          <cell r="A2" t="str">
            <v>Complete</v>
          </cell>
        </row>
      </sheetData>
      <sheetData sheetId="11256">
        <row r="2">
          <cell r="A2" t="str">
            <v>Complete</v>
          </cell>
        </row>
      </sheetData>
      <sheetData sheetId="11257">
        <row r="2">
          <cell r="A2" t="str">
            <v>Complete</v>
          </cell>
        </row>
      </sheetData>
      <sheetData sheetId="11258">
        <row r="2">
          <cell r="A2" t="str">
            <v>Complete</v>
          </cell>
        </row>
      </sheetData>
      <sheetData sheetId="11259">
        <row r="2">
          <cell r="A2" t="str">
            <v>Complete</v>
          </cell>
        </row>
      </sheetData>
      <sheetData sheetId="11260">
        <row r="2">
          <cell r="A2" t="str">
            <v>Complete</v>
          </cell>
        </row>
      </sheetData>
      <sheetData sheetId="11261">
        <row r="2">
          <cell r="A2" t="str">
            <v>Complete</v>
          </cell>
        </row>
      </sheetData>
      <sheetData sheetId="11262">
        <row r="2">
          <cell r="A2" t="str">
            <v>Complete</v>
          </cell>
        </row>
      </sheetData>
      <sheetData sheetId="11263">
        <row r="2">
          <cell r="A2" t="str">
            <v>Complete</v>
          </cell>
        </row>
      </sheetData>
      <sheetData sheetId="11264">
        <row r="2">
          <cell r="A2" t="str">
            <v>Complete</v>
          </cell>
        </row>
      </sheetData>
      <sheetData sheetId="11265">
        <row r="2">
          <cell r="A2" t="str">
            <v>Complete</v>
          </cell>
        </row>
      </sheetData>
      <sheetData sheetId="11266">
        <row r="2">
          <cell r="A2" t="str">
            <v>Complete</v>
          </cell>
        </row>
      </sheetData>
      <sheetData sheetId="11267">
        <row r="2">
          <cell r="A2">
            <v>43462</v>
          </cell>
        </row>
      </sheetData>
      <sheetData sheetId="11268">
        <row r="2">
          <cell r="A2">
            <v>43462</v>
          </cell>
        </row>
      </sheetData>
      <sheetData sheetId="11269">
        <row r="2">
          <cell r="A2">
            <v>43462</v>
          </cell>
        </row>
      </sheetData>
      <sheetData sheetId="11270">
        <row r="2">
          <cell r="A2">
            <v>43462</v>
          </cell>
        </row>
      </sheetData>
      <sheetData sheetId="11271">
        <row r="2">
          <cell r="A2">
            <v>43462</v>
          </cell>
        </row>
      </sheetData>
      <sheetData sheetId="11272">
        <row r="2">
          <cell r="A2">
            <v>43462</v>
          </cell>
        </row>
      </sheetData>
      <sheetData sheetId="11273">
        <row r="2">
          <cell r="A2">
            <v>43462</v>
          </cell>
        </row>
      </sheetData>
      <sheetData sheetId="11274">
        <row r="2">
          <cell r="A2">
            <v>43462</v>
          </cell>
        </row>
      </sheetData>
      <sheetData sheetId="11275">
        <row r="2">
          <cell r="A2">
            <v>43462</v>
          </cell>
        </row>
      </sheetData>
      <sheetData sheetId="11276">
        <row r="2">
          <cell r="A2">
            <v>43462</v>
          </cell>
        </row>
      </sheetData>
      <sheetData sheetId="11277">
        <row r="2">
          <cell r="A2">
            <v>43462</v>
          </cell>
        </row>
      </sheetData>
      <sheetData sheetId="11278">
        <row r="2">
          <cell r="A2">
            <v>43462</v>
          </cell>
        </row>
      </sheetData>
      <sheetData sheetId="11279">
        <row r="2">
          <cell r="A2">
            <v>43462</v>
          </cell>
        </row>
      </sheetData>
      <sheetData sheetId="11280">
        <row r="2">
          <cell r="A2" t="str">
            <v>Complete</v>
          </cell>
        </row>
      </sheetData>
      <sheetData sheetId="11281">
        <row r="2">
          <cell r="A2" t="str">
            <v>Complete</v>
          </cell>
        </row>
      </sheetData>
      <sheetData sheetId="11282">
        <row r="2">
          <cell r="A2" t="str">
            <v>Complete</v>
          </cell>
        </row>
      </sheetData>
      <sheetData sheetId="11283">
        <row r="2">
          <cell r="A2" t="str">
            <v>Complete</v>
          </cell>
        </row>
      </sheetData>
      <sheetData sheetId="11284">
        <row r="2">
          <cell r="A2" t="str">
            <v>Complete</v>
          </cell>
        </row>
      </sheetData>
      <sheetData sheetId="11285">
        <row r="2">
          <cell r="A2" t="str">
            <v>Complete</v>
          </cell>
        </row>
      </sheetData>
      <sheetData sheetId="11286">
        <row r="2">
          <cell r="A2" t="str">
            <v>Complete</v>
          </cell>
        </row>
      </sheetData>
      <sheetData sheetId="11287">
        <row r="2">
          <cell r="A2" t="str">
            <v>Complete</v>
          </cell>
        </row>
      </sheetData>
      <sheetData sheetId="11288">
        <row r="2">
          <cell r="A2" t="str">
            <v>Complete</v>
          </cell>
        </row>
      </sheetData>
      <sheetData sheetId="11289">
        <row r="2">
          <cell r="A2" t="str">
            <v>Complete</v>
          </cell>
        </row>
      </sheetData>
      <sheetData sheetId="11290">
        <row r="2">
          <cell r="A2" t="str">
            <v>Complete</v>
          </cell>
        </row>
      </sheetData>
      <sheetData sheetId="11291">
        <row r="2">
          <cell r="A2" t="str">
            <v>Complete</v>
          </cell>
        </row>
      </sheetData>
      <sheetData sheetId="11292">
        <row r="2">
          <cell r="A2" t="str">
            <v>Complete</v>
          </cell>
        </row>
      </sheetData>
      <sheetData sheetId="11293">
        <row r="2">
          <cell r="A2" t="str">
            <v>Complete</v>
          </cell>
        </row>
      </sheetData>
      <sheetData sheetId="11294">
        <row r="2">
          <cell r="A2" t="str">
            <v>Complete</v>
          </cell>
        </row>
      </sheetData>
      <sheetData sheetId="11295">
        <row r="2">
          <cell r="A2" t="str">
            <v>Complete</v>
          </cell>
        </row>
      </sheetData>
      <sheetData sheetId="11296">
        <row r="2">
          <cell r="A2" t="str">
            <v>Complete</v>
          </cell>
        </row>
      </sheetData>
      <sheetData sheetId="11297">
        <row r="2">
          <cell r="A2" t="str">
            <v>Complete</v>
          </cell>
        </row>
      </sheetData>
      <sheetData sheetId="11298">
        <row r="2">
          <cell r="A2" t="str">
            <v>Complete</v>
          </cell>
        </row>
      </sheetData>
      <sheetData sheetId="11299">
        <row r="2">
          <cell r="A2">
            <v>43462</v>
          </cell>
        </row>
      </sheetData>
      <sheetData sheetId="11300">
        <row r="2">
          <cell r="A2">
            <v>43462</v>
          </cell>
        </row>
      </sheetData>
      <sheetData sheetId="11301">
        <row r="2">
          <cell r="A2">
            <v>43462</v>
          </cell>
        </row>
      </sheetData>
      <sheetData sheetId="11302">
        <row r="2">
          <cell r="A2">
            <v>43462</v>
          </cell>
        </row>
      </sheetData>
      <sheetData sheetId="11303">
        <row r="2">
          <cell r="A2" t="str">
            <v>Complete</v>
          </cell>
        </row>
      </sheetData>
      <sheetData sheetId="11304">
        <row r="2">
          <cell r="A2" t="str">
            <v>Complete</v>
          </cell>
        </row>
      </sheetData>
      <sheetData sheetId="11305">
        <row r="2">
          <cell r="A2" t="str">
            <v>Complete</v>
          </cell>
        </row>
      </sheetData>
      <sheetData sheetId="11306">
        <row r="2">
          <cell r="A2">
            <v>43462</v>
          </cell>
        </row>
      </sheetData>
      <sheetData sheetId="11307">
        <row r="2">
          <cell r="A2">
            <v>43462</v>
          </cell>
        </row>
      </sheetData>
      <sheetData sheetId="11308">
        <row r="2">
          <cell r="A2">
            <v>43462</v>
          </cell>
        </row>
      </sheetData>
      <sheetData sheetId="11309">
        <row r="2">
          <cell r="A2">
            <v>43462</v>
          </cell>
        </row>
      </sheetData>
      <sheetData sheetId="11310">
        <row r="2">
          <cell r="A2">
            <v>43462</v>
          </cell>
        </row>
      </sheetData>
      <sheetData sheetId="11311">
        <row r="2">
          <cell r="A2">
            <v>43462</v>
          </cell>
        </row>
      </sheetData>
      <sheetData sheetId="11312">
        <row r="2">
          <cell r="A2">
            <v>43462</v>
          </cell>
        </row>
      </sheetData>
      <sheetData sheetId="11313">
        <row r="2">
          <cell r="A2">
            <v>43462</v>
          </cell>
        </row>
      </sheetData>
      <sheetData sheetId="11314">
        <row r="2">
          <cell r="A2">
            <v>43462</v>
          </cell>
        </row>
      </sheetData>
      <sheetData sheetId="11315">
        <row r="2">
          <cell r="A2">
            <v>43462</v>
          </cell>
        </row>
      </sheetData>
      <sheetData sheetId="11316">
        <row r="2">
          <cell r="A2">
            <v>43462</v>
          </cell>
        </row>
      </sheetData>
      <sheetData sheetId="11317">
        <row r="2">
          <cell r="A2">
            <v>43462</v>
          </cell>
        </row>
      </sheetData>
      <sheetData sheetId="11318">
        <row r="2">
          <cell r="A2">
            <v>43462</v>
          </cell>
        </row>
      </sheetData>
      <sheetData sheetId="11319">
        <row r="2">
          <cell r="A2">
            <v>43462</v>
          </cell>
        </row>
      </sheetData>
      <sheetData sheetId="11320">
        <row r="2">
          <cell r="A2">
            <v>43462</v>
          </cell>
        </row>
      </sheetData>
      <sheetData sheetId="11321">
        <row r="2">
          <cell r="A2">
            <v>43462</v>
          </cell>
        </row>
      </sheetData>
      <sheetData sheetId="11322">
        <row r="2">
          <cell r="A2" t="str">
            <v>Complete</v>
          </cell>
        </row>
      </sheetData>
      <sheetData sheetId="11323">
        <row r="2">
          <cell r="A2" t="str">
            <v>Complete</v>
          </cell>
        </row>
      </sheetData>
      <sheetData sheetId="11324">
        <row r="2">
          <cell r="A2" t="str">
            <v>Complete</v>
          </cell>
        </row>
      </sheetData>
      <sheetData sheetId="11325">
        <row r="2">
          <cell r="A2" t="str">
            <v>Complete</v>
          </cell>
        </row>
      </sheetData>
      <sheetData sheetId="11326">
        <row r="2">
          <cell r="A2" t="str">
            <v>Complete</v>
          </cell>
        </row>
      </sheetData>
      <sheetData sheetId="11327">
        <row r="2">
          <cell r="A2" t="str">
            <v>Complete</v>
          </cell>
        </row>
      </sheetData>
      <sheetData sheetId="11328">
        <row r="2">
          <cell r="A2" t="str">
            <v>Complete</v>
          </cell>
        </row>
      </sheetData>
      <sheetData sheetId="11329">
        <row r="2">
          <cell r="A2" t="str">
            <v>Complete</v>
          </cell>
        </row>
      </sheetData>
      <sheetData sheetId="11330">
        <row r="2">
          <cell r="A2" t="str">
            <v>Complete</v>
          </cell>
        </row>
      </sheetData>
      <sheetData sheetId="11331">
        <row r="2">
          <cell r="A2" t="str">
            <v>Complete</v>
          </cell>
        </row>
      </sheetData>
      <sheetData sheetId="11332">
        <row r="2">
          <cell r="A2" t="str">
            <v>Complete</v>
          </cell>
        </row>
      </sheetData>
      <sheetData sheetId="11333">
        <row r="2">
          <cell r="A2" t="str">
            <v>Complete</v>
          </cell>
        </row>
      </sheetData>
      <sheetData sheetId="11334">
        <row r="2">
          <cell r="A2" t="str">
            <v>Complete</v>
          </cell>
        </row>
      </sheetData>
      <sheetData sheetId="11335">
        <row r="2">
          <cell r="A2" t="str">
            <v>Complete</v>
          </cell>
        </row>
      </sheetData>
      <sheetData sheetId="11336">
        <row r="2">
          <cell r="A2" t="str">
            <v>Complete</v>
          </cell>
        </row>
      </sheetData>
      <sheetData sheetId="11337">
        <row r="2">
          <cell r="A2" t="str">
            <v>Complete</v>
          </cell>
        </row>
      </sheetData>
      <sheetData sheetId="11338">
        <row r="2">
          <cell r="A2" t="str">
            <v>Complete</v>
          </cell>
        </row>
      </sheetData>
      <sheetData sheetId="11339">
        <row r="2">
          <cell r="A2" t="str">
            <v>Complete</v>
          </cell>
        </row>
      </sheetData>
      <sheetData sheetId="11340">
        <row r="2">
          <cell r="A2" t="str">
            <v>Complete</v>
          </cell>
        </row>
      </sheetData>
      <sheetData sheetId="11341">
        <row r="2">
          <cell r="A2" t="str">
            <v>Complete</v>
          </cell>
        </row>
      </sheetData>
      <sheetData sheetId="11342">
        <row r="2">
          <cell r="A2">
            <v>43462</v>
          </cell>
        </row>
      </sheetData>
      <sheetData sheetId="11343">
        <row r="2">
          <cell r="A2">
            <v>43462</v>
          </cell>
        </row>
      </sheetData>
      <sheetData sheetId="11344">
        <row r="2">
          <cell r="A2">
            <v>43462</v>
          </cell>
        </row>
      </sheetData>
      <sheetData sheetId="11345">
        <row r="2">
          <cell r="A2" t="str">
            <v>Complete</v>
          </cell>
        </row>
      </sheetData>
      <sheetData sheetId="11346">
        <row r="2">
          <cell r="A2" t="str">
            <v>Complete</v>
          </cell>
        </row>
      </sheetData>
      <sheetData sheetId="11347">
        <row r="2">
          <cell r="A2" t="str">
            <v>Complete</v>
          </cell>
        </row>
      </sheetData>
      <sheetData sheetId="11348">
        <row r="2">
          <cell r="A2" t="str">
            <v>Complete</v>
          </cell>
        </row>
      </sheetData>
      <sheetData sheetId="11349">
        <row r="2">
          <cell r="A2" t="str">
            <v>Complete</v>
          </cell>
        </row>
      </sheetData>
      <sheetData sheetId="11350">
        <row r="2">
          <cell r="A2">
            <v>43462</v>
          </cell>
        </row>
      </sheetData>
      <sheetData sheetId="11351">
        <row r="2">
          <cell r="A2">
            <v>43462</v>
          </cell>
        </row>
      </sheetData>
      <sheetData sheetId="11352">
        <row r="2">
          <cell r="A2">
            <v>43462</v>
          </cell>
        </row>
      </sheetData>
      <sheetData sheetId="11353">
        <row r="2">
          <cell r="A2">
            <v>43462</v>
          </cell>
        </row>
      </sheetData>
      <sheetData sheetId="11354">
        <row r="2">
          <cell r="A2">
            <v>43462</v>
          </cell>
        </row>
      </sheetData>
      <sheetData sheetId="11355">
        <row r="2">
          <cell r="A2">
            <v>43462</v>
          </cell>
        </row>
      </sheetData>
      <sheetData sheetId="11356">
        <row r="2">
          <cell r="A2">
            <v>43462</v>
          </cell>
        </row>
      </sheetData>
      <sheetData sheetId="11357">
        <row r="2">
          <cell r="A2">
            <v>43462</v>
          </cell>
        </row>
      </sheetData>
      <sheetData sheetId="11358">
        <row r="2">
          <cell r="A2">
            <v>43462</v>
          </cell>
        </row>
      </sheetData>
      <sheetData sheetId="11359">
        <row r="2">
          <cell r="A2">
            <v>43462</v>
          </cell>
        </row>
      </sheetData>
      <sheetData sheetId="11360">
        <row r="2">
          <cell r="A2">
            <v>43462</v>
          </cell>
        </row>
      </sheetData>
      <sheetData sheetId="11361">
        <row r="2">
          <cell r="A2">
            <v>43462</v>
          </cell>
        </row>
      </sheetData>
      <sheetData sheetId="11362">
        <row r="2">
          <cell r="A2">
            <v>43462</v>
          </cell>
        </row>
      </sheetData>
      <sheetData sheetId="11363">
        <row r="2">
          <cell r="A2">
            <v>43462</v>
          </cell>
        </row>
      </sheetData>
      <sheetData sheetId="11364">
        <row r="2">
          <cell r="A2" t="str">
            <v>Complete</v>
          </cell>
        </row>
      </sheetData>
      <sheetData sheetId="11365">
        <row r="2">
          <cell r="A2" t="str">
            <v>Complete</v>
          </cell>
        </row>
      </sheetData>
      <sheetData sheetId="11366">
        <row r="2">
          <cell r="A2" t="str">
            <v>Complete</v>
          </cell>
        </row>
      </sheetData>
      <sheetData sheetId="11367">
        <row r="2">
          <cell r="A2" t="str">
            <v>Complete</v>
          </cell>
        </row>
      </sheetData>
      <sheetData sheetId="11368">
        <row r="2">
          <cell r="A2" t="str">
            <v>Complete</v>
          </cell>
        </row>
      </sheetData>
      <sheetData sheetId="11369">
        <row r="2">
          <cell r="A2" t="str">
            <v>Complete</v>
          </cell>
        </row>
      </sheetData>
      <sheetData sheetId="11370">
        <row r="2">
          <cell r="A2" t="str">
            <v>Complete</v>
          </cell>
        </row>
      </sheetData>
      <sheetData sheetId="11371">
        <row r="2">
          <cell r="A2" t="str">
            <v>Complete</v>
          </cell>
        </row>
      </sheetData>
      <sheetData sheetId="11372">
        <row r="2">
          <cell r="A2" t="str">
            <v>Complete</v>
          </cell>
        </row>
      </sheetData>
      <sheetData sheetId="11373">
        <row r="2">
          <cell r="A2" t="str">
            <v>Complete</v>
          </cell>
        </row>
      </sheetData>
      <sheetData sheetId="11374">
        <row r="2">
          <cell r="A2" t="str">
            <v>Complete</v>
          </cell>
        </row>
      </sheetData>
      <sheetData sheetId="11375">
        <row r="2">
          <cell r="A2" t="str">
            <v>Complete</v>
          </cell>
        </row>
      </sheetData>
      <sheetData sheetId="11376">
        <row r="2">
          <cell r="A2" t="str">
            <v>Complete</v>
          </cell>
        </row>
      </sheetData>
      <sheetData sheetId="11377">
        <row r="2">
          <cell r="A2" t="str">
            <v>Complete</v>
          </cell>
        </row>
      </sheetData>
      <sheetData sheetId="11378">
        <row r="2">
          <cell r="A2" t="str">
            <v>Complete</v>
          </cell>
        </row>
      </sheetData>
      <sheetData sheetId="11379">
        <row r="2">
          <cell r="A2" t="str">
            <v>Complete</v>
          </cell>
        </row>
      </sheetData>
      <sheetData sheetId="11380">
        <row r="2">
          <cell r="A2" t="str">
            <v>Complete</v>
          </cell>
        </row>
      </sheetData>
      <sheetData sheetId="11381">
        <row r="2">
          <cell r="A2" t="str">
            <v>Complete</v>
          </cell>
        </row>
      </sheetData>
      <sheetData sheetId="11382">
        <row r="2">
          <cell r="A2" t="str">
            <v>Complete</v>
          </cell>
        </row>
      </sheetData>
      <sheetData sheetId="11383">
        <row r="2">
          <cell r="A2">
            <v>43462</v>
          </cell>
        </row>
      </sheetData>
      <sheetData sheetId="11384">
        <row r="2">
          <cell r="A2">
            <v>43462</v>
          </cell>
        </row>
      </sheetData>
      <sheetData sheetId="11385">
        <row r="2">
          <cell r="A2">
            <v>43462</v>
          </cell>
        </row>
      </sheetData>
      <sheetData sheetId="11386">
        <row r="2">
          <cell r="A2">
            <v>43462</v>
          </cell>
        </row>
      </sheetData>
      <sheetData sheetId="11387">
        <row r="2">
          <cell r="A2" t="str">
            <v>Complete</v>
          </cell>
        </row>
      </sheetData>
      <sheetData sheetId="11388">
        <row r="2">
          <cell r="A2" t="str">
            <v>Complete</v>
          </cell>
        </row>
      </sheetData>
      <sheetData sheetId="11389">
        <row r="2">
          <cell r="A2">
            <v>43462</v>
          </cell>
        </row>
      </sheetData>
      <sheetData sheetId="11390">
        <row r="2">
          <cell r="A2">
            <v>43462</v>
          </cell>
        </row>
      </sheetData>
      <sheetData sheetId="11391">
        <row r="2">
          <cell r="A2">
            <v>43462</v>
          </cell>
        </row>
      </sheetData>
      <sheetData sheetId="11392">
        <row r="2">
          <cell r="A2">
            <v>43462</v>
          </cell>
        </row>
      </sheetData>
      <sheetData sheetId="11393">
        <row r="2">
          <cell r="A2">
            <v>43462</v>
          </cell>
        </row>
      </sheetData>
      <sheetData sheetId="11394">
        <row r="2">
          <cell r="A2">
            <v>43462</v>
          </cell>
        </row>
      </sheetData>
      <sheetData sheetId="11395">
        <row r="2">
          <cell r="A2">
            <v>43462</v>
          </cell>
        </row>
      </sheetData>
      <sheetData sheetId="11396">
        <row r="2">
          <cell r="A2">
            <v>43462</v>
          </cell>
        </row>
      </sheetData>
      <sheetData sheetId="11397">
        <row r="2">
          <cell r="A2">
            <v>43462</v>
          </cell>
        </row>
      </sheetData>
      <sheetData sheetId="11398">
        <row r="2">
          <cell r="A2">
            <v>43462</v>
          </cell>
        </row>
      </sheetData>
      <sheetData sheetId="11399">
        <row r="2">
          <cell r="A2">
            <v>43462</v>
          </cell>
        </row>
      </sheetData>
      <sheetData sheetId="11400">
        <row r="2">
          <cell r="A2">
            <v>43462</v>
          </cell>
        </row>
      </sheetData>
      <sheetData sheetId="11401">
        <row r="2">
          <cell r="A2">
            <v>43462</v>
          </cell>
        </row>
      </sheetData>
      <sheetData sheetId="11402">
        <row r="2">
          <cell r="A2">
            <v>43462</v>
          </cell>
        </row>
      </sheetData>
      <sheetData sheetId="11403">
        <row r="2">
          <cell r="A2">
            <v>43462</v>
          </cell>
        </row>
      </sheetData>
      <sheetData sheetId="11404">
        <row r="2">
          <cell r="A2">
            <v>43462</v>
          </cell>
        </row>
      </sheetData>
      <sheetData sheetId="11405">
        <row r="2">
          <cell r="A2">
            <v>43462</v>
          </cell>
        </row>
      </sheetData>
      <sheetData sheetId="11406">
        <row r="2">
          <cell r="A2" t="str">
            <v>Complete</v>
          </cell>
        </row>
      </sheetData>
      <sheetData sheetId="11407">
        <row r="2">
          <cell r="A2" t="str">
            <v>Complete</v>
          </cell>
        </row>
      </sheetData>
      <sheetData sheetId="11408">
        <row r="2">
          <cell r="A2" t="str">
            <v>Complete</v>
          </cell>
        </row>
      </sheetData>
      <sheetData sheetId="11409">
        <row r="2">
          <cell r="A2" t="str">
            <v>Complete</v>
          </cell>
        </row>
      </sheetData>
      <sheetData sheetId="11410">
        <row r="2">
          <cell r="A2" t="str">
            <v>Complete</v>
          </cell>
        </row>
      </sheetData>
      <sheetData sheetId="11411">
        <row r="2">
          <cell r="A2" t="str">
            <v>Complete</v>
          </cell>
        </row>
      </sheetData>
      <sheetData sheetId="11412">
        <row r="2">
          <cell r="A2" t="str">
            <v>Complete</v>
          </cell>
        </row>
      </sheetData>
      <sheetData sheetId="11413">
        <row r="2">
          <cell r="A2" t="str">
            <v>Complete</v>
          </cell>
        </row>
      </sheetData>
      <sheetData sheetId="11414">
        <row r="2">
          <cell r="A2" t="str">
            <v>Complete</v>
          </cell>
        </row>
      </sheetData>
      <sheetData sheetId="11415">
        <row r="2">
          <cell r="A2" t="str">
            <v>Complete</v>
          </cell>
        </row>
      </sheetData>
      <sheetData sheetId="11416">
        <row r="2">
          <cell r="A2" t="str">
            <v>Complete</v>
          </cell>
        </row>
      </sheetData>
      <sheetData sheetId="11417">
        <row r="2">
          <cell r="A2" t="str">
            <v>Complete</v>
          </cell>
        </row>
      </sheetData>
      <sheetData sheetId="11418">
        <row r="2">
          <cell r="A2" t="str">
            <v>Complete</v>
          </cell>
        </row>
      </sheetData>
      <sheetData sheetId="11419">
        <row r="2">
          <cell r="A2" t="str">
            <v>Complete</v>
          </cell>
        </row>
      </sheetData>
      <sheetData sheetId="11420">
        <row r="2">
          <cell r="A2" t="str">
            <v>Complete</v>
          </cell>
        </row>
      </sheetData>
      <sheetData sheetId="11421">
        <row r="2">
          <cell r="A2" t="str">
            <v>Complete</v>
          </cell>
        </row>
      </sheetData>
      <sheetData sheetId="11422">
        <row r="2">
          <cell r="A2" t="str">
            <v>Complete</v>
          </cell>
        </row>
      </sheetData>
      <sheetData sheetId="11423">
        <row r="2">
          <cell r="A2" t="str">
            <v>Complete</v>
          </cell>
        </row>
      </sheetData>
      <sheetData sheetId="11424">
        <row r="2">
          <cell r="A2" t="str">
            <v>Complete</v>
          </cell>
        </row>
      </sheetData>
      <sheetData sheetId="11425">
        <row r="2">
          <cell r="A2" t="str">
            <v>Complete</v>
          </cell>
        </row>
      </sheetData>
      <sheetData sheetId="11426">
        <row r="2">
          <cell r="A2">
            <v>43462</v>
          </cell>
        </row>
      </sheetData>
      <sheetData sheetId="11427">
        <row r="2">
          <cell r="A2">
            <v>43462</v>
          </cell>
        </row>
      </sheetData>
      <sheetData sheetId="11428">
        <row r="2">
          <cell r="A2" t="str">
            <v>Complete</v>
          </cell>
        </row>
      </sheetData>
      <sheetData sheetId="11429">
        <row r="2">
          <cell r="A2" t="str">
            <v>Complete</v>
          </cell>
        </row>
      </sheetData>
      <sheetData sheetId="11430">
        <row r="2">
          <cell r="A2" t="str">
            <v>Complete</v>
          </cell>
        </row>
      </sheetData>
      <sheetData sheetId="11431">
        <row r="2">
          <cell r="A2" t="str">
            <v>Complete</v>
          </cell>
        </row>
      </sheetData>
      <sheetData sheetId="11432">
        <row r="2">
          <cell r="A2">
            <v>43462</v>
          </cell>
        </row>
      </sheetData>
      <sheetData sheetId="11433">
        <row r="2">
          <cell r="A2">
            <v>43462</v>
          </cell>
        </row>
      </sheetData>
      <sheetData sheetId="11434">
        <row r="2">
          <cell r="A2">
            <v>43462</v>
          </cell>
        </row>
      </sheetData>
      <sheetData sheetId="11435">
        <row r="2">
          <cell r="A2">
            <v>43462</v>
          </cell>
        </row>
      </sheetData>
      <sheetData sheetId="11436">
        <row r="2">
          <cell r="A2">
            <v>43462</v>
          </cell>
        </row>
      </sheetData>
      <sheetData sheetId="11437">
        <row r="2">
          <cell r="A2">
            <v>43462</v>
          </cell>
        </row>
      </sheetData>
      <sheetData sheetId="11438">
        <row r="2">
          <cell r="A2">
            <v>43462</v>
          </cell>
        </row>
      </sheetData>
      <sheetData sheetId="11439">
        <row r="2">
          <cell r="A2">
            <v>43462</v>
          </cell>
        </row>
      </sheetData>
      <sheetData sheetId="11440">
        <row r="2">
          <cell r="A2">
            <v>43462</v>
          </cell>
        </row>
      </sheetData>
      <sheetData sheetId="11441">
        <row r="2">
          <cell r="A2">
            <v>43462</v>
          </cell>
        </row>
      </sheetData>
      <sheetData sheetId="11442">
        <row r="2">
          <cell r="A2">
            <v>43462</v>
          </cell>
        </row>
      </sheetData>
      <sheetData sheetId="11443">
        <row r="2">
          <cell r="A2">
            <v>43462</v>
          </cell>
        </row>
      </sheetData>
      <sheetData sheetId="11444">
        <row r="2">
          <cell r="A2">
            <v>43462</v>
          </cell>
        </row>
      </sheetData>
      <sheetData sheetId="11445">
        <row r="2">
          <cell r="A2">
            <v>43462</v>
          </cell>
        </row>
      </sheetData>
      <sheetData sheetId="11446">
        <row r="2">
          <cell r="A2">
            <v>43462</v>
          </cell>
        </row>
      </sheetData>
      <sheetData sheetId="11447">
        <row r="2">
          <cell r="A2" t="str">
            <v>Complete</v>
          </cell>
        </row>
      </sheetData>
      <sheetData sheetId="11448">
        <row r="2">
          <cell r="A2" t="str">
            <v>Complete</v>
          </cell>
        </row>
      </sheetData>
      <sheetData sheetId="11449">
        <row r="2">
          <cell r="A2" t="str">
            <v>Complete</v>
          </cell>
        </row>
      </sheetData>
      <sheetData sheetId="11450">
        <row r="2">
          <cell r="A2" t="str">
            <v>Complete</v>
          </cell>
        </row>
      </sheetData>
      <sheetData sheetId="11451">
        <row r="2">
          <cell r="A2" t="str">
            <v>Complete</v>
          </cell>
        </row>
      </sheetData>
      <sheetData sheetId="11452">
        <row r="2">
          <cell r="A2" t="str">
            <v>Complete</v>
          </cell>
        </row>
      </sheetData>
      <sheetData sheetId="11453">
        <row r="2">
          <cell r="A2" t="str">
            <v>Complete</v>
          </cell>
        </row>
      </sheetData>
      <sheetData sheetId="11454">
        <row r="2">
          <cell r="A2" t="str">
            <v>Complete</v>
          </cell>
        </row>
      </sheetData>
      <sheetData sheetId="11455">
        <row r="2">
          <cell r="A2" t="str">
            <v>Complete</v>
          </cell>
        </row>
      </sheetData>
      <sheetData sheetId="11456">
        <row r="2">
          <cell r="A2" t="str">
            <v>Complete</v>
          </cell>
        </row>
      </sheetData>
      <sheetData sheetId="11457">
        <row r="2">
          <cell r="A2" t="str">
            <v>Complete</v>
          </cell>
        </row>
      </sheetData>
      <sheetData sheetId="11458">
        <row r="2">
          <cell r="A2" t="str">
            <v>Complete</v>
          </cell>
        </row>
      </sheetData>
      <sheetData sheetId="11459">
        <row r="2">
          <cell r="A2" t="str">
            <v>Complete</v>
          </cell>
        </row>
      </sheetData>
      <sheetData sheetId="11460">
        <row r="2">
          <cell r="A2" t="str">
            <v>Complete</v>
          </cell>
        </row>
      </sheetData>
      <sheetData sheetId="11461">
        <row r="2">
          <cell r="A2" t="str">
            <v>Complete</v>
          </cell>
        </row>
      </sheetData>
      <sheetData sheetId="11462">
        <row r="2">
          <cell r="A2" t="str">
            <v>Complete</v>
          </cell>
        </row>
      </sheetData>
      <sheetData sheetId="11463">
        <row r="2">
          <cell r="A2" t="str">
            <v>Complete</v>
          </cell>
        </row>
      </sheetData>
      <sheetData sheetId="11464">
        <row r="2">
          <cell r="A2" t="str">
            <v>Complete</v>
          </cell>
        </row>
      </sheetData>
      <sheetData sheetId="11465">
        <row r="2">
          <cell r="A2" t="str">
            <v>Complete</v>
          </cell>
        </row>
      </sheetData>
      <sheetData sheetId="11466">
        <row r="2">
          <cell r="A2" t="str">
            <v>Complete</v>
          </cell>
        </row>
      </sheetData>
      <sheetData sheetId="11467">
        <row r="2">
          <cell r="A2">
            <v>43462</v>
          </cell>
        </row>
      </sheetData>
      <sheetData sheetId="11468">
        <row r="2">
          <cell r="A2">
            <v>43462</v>
          </cell>
        </row>
      </sheetData>
      <sheetData sheetId="11469">
        <row r="2">
          <cell r="A2" t="str">
            <v>Complete</v>
          </cell>
        </row>
      </sheetData>
      <sheetData sheetId="11470">
        <row r="2">
          <cell r="A2" t="str">
            <v>Complete</v>
          </cell>
        </row>
      </sheetData>
      <sheetData sheetId="11471">
        <row r="2">
          <cell r="A2">
            <v>43462</v>
          </cell>
        </row>
      </sheetData>
      <sheetData sheetId="11472">
        <row r="2">
          <cell r="A2">
            <v>43462</v>
          </cell>
        </row>
      </sheetData>
      <sheetData sheetId="11473">
        <row r="2">
          <cell r="A2">
            <v>43462</v>
          </cell>
        </row>
      </sheetData>
      <sheetData sheetId="11474">
        <row r="2">
          <cell r="A2">
            <v>43462</v>
          </cell>
        </row>
      </sheetData>
      <sheetData sheetId="11475">
        <row r="2">
          <cell r="A2">
            <v>43462</v>
          </cell>
        </row>
      </sheetData>
      <sheetData sheetId="11476">
        <row r="2">
          <cell r="A2">
            <v>43462</v>
          </cell>
        </row>
      </sheetData>
      <sheetData sheetId="11477">
        <row r="2">
          <cell r="A2">
            <v>43462</v>
          </cell>
        </row>
      </sheetData>
      <sheetData sheetId="11478">
        <row r="2">
          <cell r="A2">
            <v>43462</v>
          </cell>
        </row>
      </sheetData>
      <sheetData sheetId="11479">
        <row r="2">
          <cell r="A2">
            <v>43462</v>
          </cell>
        </row>
      </sheetData>
      <sheetData sheetId="11480">
        <row r="2">
          <cell r="A2">
            <v>43462</v>
          </cell>
        </row>
      </sheetData>
      <sheetData sheetId="11481">
        <row r="2">
          <cell r="A2">
            <v>43462</v>
          </cell>
        </row>
      </sheetData>
      <sheetData sheetId="11482">
        <row r="2">
          <cell r="A2">
            <v>43462</v>
          </cell>
        </row>
      </sheetData>
      <sheetData sheetId="11483">
        <row r="2">
          <cell r="A2">
            <v>43462</v>
          </cell>
        </row>
      </sheetData>
      <sheetData sheetId="11484">
        <row r="2">
          <cell r="A2">
            <v>43462</v>
          </cell>
        </row>
      </sheetData>
      <sheetData sheetId="11485">
        <row r="2">
          <cell r="A2">
            <v>43462</v>
          </cell>
        </row>
      </sheetData>
      <sheetData sheetId="11486">
        <row r="2">
          <cell r="A2">
            <v>43462</v>
          </cell>
        </row>
      </sheetData>
      <sheetData sheetId="11487">
        <row r="2">
          <cell r="A2">
            <v>43462</v>
          </cell>
        </row>
      </sheetData>
      <sheetData sheetId="11488">
        <row r="2">
          <cell r="A2">
            <v>43462</v>
          </cell>
        </row>
      </sheetData>
      <sheetData sheetId="11489">
        <row r="2">
          <cell r="A2">
            <v>43462</v>
          </cell>
        </row>
      </sheetData>
      <sheetData sheetId="11490">
        <row r="2">
          <cell r="A2" t="str">
            <v>Complete</v>
          </cell>
        </row>
      </sheetData>
      <sheetData sheetId="11491">
        <row r="2">
          <cell r="A2" t="str">
            <v>Complete</v>
          </cell>
        </row>
      </sheetData>
      <sheetData sheetId="11492">
        <row r="2">
          <cell r="A2" t="str">
            <v>Complete</v>
          </cell>
        </row>
      </sheetData>
      <sheetData sheetId="11493">
        <row r="2">
          <cell r="A2" t="str">
            <v>Complete</v>
          </cell>
        </row>
      </sheetData>
      <sheetData sheetId="11494">
        <row r="2">
          <cell r="A2" t="str">
            <v>Complete</v>
          </cell>
        </row>
      </sheetData>
      <sheetData sheetId="11495">
        <row r="2">
          <cell r="A2" t="str">
            <v>Complete</v>
          </cell>
        </row>
      </sheetData>
      <sheetData sheetId="11496">
        <row r="2">
          <cell r="A2" t="str">
            <v>Complete</v>
          </cell>
        </row>
      </sheetData>
      <sheetData sheetId="11497">
        <row r="2">
          <cell r="A2" t="str">
            <v>Complete</v>
          </cell>
        </row>
      </sheetData>
      <sheetData sheetId="11498">
        <row r="2">
          <cell r="A2" t="str">
            <v>Complete</v>
          </cell>
        </row>
      </sheetData>
      <sheetData sheetId="11499">
        <row r="2">
          <cell r="A2" t="str">
            <v>Complete</v>
          </cell>
        </row>
      </sheetData>
      <sheetData sheetId="11500">
        <row r="2">
          <cell r="A2" t="str">
            <v>Complete</v>
          </cell>
        </row>
      </sheetData>
      <sheetData sheetId="11501">
        <row r="2">
          <cell r="A2" t="str">
            <v>Complete</v>
          </cell>
        </row>
      </sheetData>
      <sheetData sheetId="11502">
        <row r="2">
          <cell r="A2">
            <v>43462</v>
          </cell>
        </row>
      </sheetData>
      <sheetData sheetId="11503">
        <row r="2">
          <cell r="A2" t="str">
            <v>Complete</v>
          </cell>
        </row>
      </sheetData>
      <sheetData sheetId="11504">
        <row r="2">
          <cell r="A2" t="str">
            <v>Complete</v>
          </cell>
        </row>
      </sheetData>
      <sheetData sheetId="11505">
        <row r="2">
          <cell r="A2" t="str">
            <v>Complete</v>
          </cell>
        </row>
      </sheetData>
      <sheetData sheetId="11506">
        <row r="2">
          <cell r="A2" t="str">
            <v>Complete</v>
          </cell>
        </row>
      </sheetData>
      <sheetData sheetId="11507">
        <row r="2">
          <cell r="A2" t="str">
            <v>Complete</v>
          </cell>
        </row>
      </sheetData>
      <sheetData sheetId="11508">
        <row r="2">
          <cell r="A2" t="str">
            <v>Complete</v>
          </cell>
        </row>
      </sheetData>
      <sheetData sheetId="11509">
        <row r="2">
          <cell r="A2">
            <v>43462</v>
          </cell>
        </row>
      </sheetData>
      <sheetData sheetId="11510">
        <row r="2">
          <cell r="A2">
            <v>43462</v>
          </cell>
        </row>
      </sheetData>
      <sheetData sheetId="11511">
        <row r="2">
          <cell r="A2" t="str">
            <v>Complete</v>
          </cell>
        </row>
      </sheetData>
      <sheetData sheetId="11512">
        <row r="2">
          <cell r="A2">
            <v>43462</v>
          </cell>
        </row>
      </sheetData>
      <sheetData sheetId="11513">
        <row r="2">
          <cell r="A2">
            <v>43462</v>
          </cell>
        </row>
      </sheetData>
      <sheetData sheetId="11514">
        <row r="2">
          <cell r="A2">
            <v>43462</v>
          </cell>
        </row>
      </sheetData>
      <sheetData sheetId="11515">
        <row r="2">
          <cell r="A2">
            <v>43462</v>
          </cell>
        </row>
      </sheetData>
      <sheetData sheetId="11516">
        <row r="2">
          <cell r="A2">
            <v>43462</v>
          </cell>
        </row>
      </sheetData>
      <sheetData sheetId="11517">
        <row r="2">
          <cell r="A2">
            <v>43462</v>
          </cell>
        </row>
      </sheetData>
      <sheetData sheetId="11518">
        <row r="2">
          <cell r="A2">
            <v>43462</v>
          </cell>
        </row>
      </sheetData>
      <sheetData sheetId="11519">
        <row r="2">
          <cell r="A2">
            <v>43462</v>
          </cell>
        </row>
      </sheetData>
      <sheetData sheetId="11520">
        <row r="2">
          <cell r="A2">
            <v>43462</v>
          </cell>
        </row>
      </sheetData>
      <sheetData sheetId="11521">
        <row r="2">
          <cell r="A2">
            <v>43462</v>
          </cell>
        </row>
      </sheetData>
      <sheetData sheetId="11522">
        <row r="2">
          <cell r="A2">
            <v>43462</v>
          </cell>
        </row>
      </sheetData>
      <sheetData sheetId="11523">
        <row r="2">
          <cell r="A2">
            <v>43462</v>
          </cell>
        </row>
      </sheetData>
      <sheetData sheetId="11524">
        <row r="2">
          <cell r="A2">
            <v>43462</v>
          </cell>
        </row>
      </sheetData>
      <sheetData sheetId="11525">
        <row r="2">
          <cell r="A2">
            <v>43462</v>
          </cell>
        </row>
      </sheetData>
      <sheetData sheetId="11526">
        <row r="2">
          <cell r="A2">
            <v>43462</v>
          </cell>
        </row>
      </sheetData>
      <sheetData sheetId="11527">
        <row r="2">
          <cell r="A2">
            <v>43462</v>
          </cell>
        </row>
      </sheetData>
      <sheetData sheetId="11528">
        <row r="2">
          <cell r="A2">
            <v>43462</v>
          </cell>
        </row>
      </sheetData>
      <sheetData sheetId="11529">
        <row r="2">
          <cell r="A2">
            <v>43462</v>
          </cell>
        </row>
      </sheetData>
      <sheetData sheetId="11530">
        <row r="2">
          <cell r="A2">
            <v>43462</v>
          </cell>
        </row>
      </sheetData>
      <sheetData sheetId="11531">
        <row r="2">
          <cell r="A2" t="str">
            <v>Complete</v>
          </cell>
        </row>
      </sheetData>
      <sheetData sheetId="11532">
        <row r="2">
          <cell r="A2" t="str">
            <v>Complete</v>
          </cell>
        </row>
      </sheetData>
      <sheetData sheetId="11533">
        <row r="2">
          <cell r="A2" t="str">
            <v>Complete</v>
          </cell>
        </row>
      </sheetData>
      <sheetData sheetId="11534">
        <row r="2">
          <cell r="A2" t="str">
            <v>Complete</v>
          </cell>
        </row>
      </sheetData>
      <sheetData sheetId="11535">
        <row r="2">
          <cell r="A2" t="str">
            <v>Complete</v>
          </cell>
        </row>
      </sheetData>
      <sheetData sheetId="11536">
        <row r="2">
          <cell r="A2" t="str">
            <v>Complete</v>
          </cell>
        </row>
      </sheetData>
      <sheetData sheetId="11537">
        <row r="2">
          <cell r="A2" t="str">
            <v>Complete</v>
          </cell>
        </row>
      </sheetData>
      <sheetData sheetId="11538">
        <row r="2">
          <cell r="A2" t="str">
            <v>Complete</v>
          </cell>
        </row>
      </sheetData>
      <sheetData sheetId="11539">
        <row r="2">
          <cell r="A2" t="str">
            <v>Complete</v>
          </cell>
        </row>
      </sheetData>
      <sheetData sheetId="11540">
        <row r="2">
          <cell r="A2" t="str">
            <v>Complete</v>
          </cell>
        </row>
      </sheetData>
      <sheetData sheetId="11541">
        <row r="2">
          <cell r="A2" t="str">
            <v>Complete</v>
          </cell>
        </row>
      </sheetData>
      <sheetData sheetId="11542">
        <row r="2">
          <cell r="A2" t="str">
            <v>Complete</v>
          </cell>
        </row>
      </sheetData>
      <sheetData sheetId="11543">
        <row r="2">
          <cell r="A2" t="str">
            <v>Complete</v>
          </cell>
        </row>
      </sheetData>
      <sheetData sheetId="11544">
        <row r="2">
          <cell r="A2">
            <v>43462</v>
          </cell>
        </row>
      </sheetData>
      <sheetData sheetId="11545">
        <row r="2">
          <cell r="A2" t="str">
            <v>Complete</v>
          </cell>
        </row>
      </sheetData>
      <sheetData sheetId="11546">
        <row r="2">
          <cell r="A2" t="str">
            <v>Complete</v>
          </cell>
        </row>
      </sheetData>
      <sheetData sheetId="11547">
        <row r="2">
          <cell r="A2" t="str">
            <v>Complete</v>
          </cell>
        </row>
      </sheetData>
      <sheetData sheetId="11548">
        <row r="2">
          <cell r="A2" t="str">
            <v>Complete</v>
          </cell>
        </row>
      </sheetData>
      <sheetData sheetId="11549">
        <row r="2">
          <cell r="A2">
            <v>43462</v>
          </cell>
        </row>
      </sheetData>
      <sheetData sheetId="11550">
        <row r="2">
          <cell r="A2">
            <v>43462</v>
          </cell>
        </row>
      </sheetData>
      <sheetData sheetId="11551">
        <row r="2">
          <cell r="A2">
            <v>43462</v>
          </cell>
        </row>
      </sheetData>
      <sheetData sheetId="11552">
        <row r="2">
          <cell r="A2" t="str">
            <v>Complete</v>
          </cell>
        </row>
      </sheetData>
      <sheetData sheetId="11553">
        <row r="2">
          <cell r="A2" t="str">
            <v>Complete</v>
          </cell>
        </row>
      </sheetData>
      <sheetData sheetId="11554">
        <row r="2">
          <cell r="A2">
            <v>43462</v>
          </cell>
        </row>
      </sheetData>
      <sheetData sheetId="11555">
        <row r="2">
          <cell r="A2">
            <v>43462</v>
          </cell>
        </row>
      </sheetData>
      <sheetData sheetId="11556">
        <row r="2">
          <cell r="A2">
            <v>43462</v>
          </cell>
        </row>
      </sheetData>
      <sheetData sheetId="11557">
        <row r="2">
          <cell r="A2">
            <v>43462</v>
          </cell>
        </row>
      </sheetData>
      <sheetData sheetId="11558">
        <row r="2">
          <cell r="A2">
            <v>43462</v>
          </cell>
        </row>
      </sheetData>
      <sheetData sheetId="11559">
        <row r="2">
          <cell r="A2">
            <v>43462</v>
          </cell>
        </row>
      </sheetData>
      <sheetData sheetId="11560">
        <row r="2">
          <cell r="A2">
            <v>43462</v>
          </cell>
        </row>
      </sheetData>
      <sheetData sheetId="11561">
        <row r="2">
          <cell r="A2">
            <v>43462</v>
          </cell>
        </row>
      </sheetData>
      <sheetData sheetId="11562">
        <row r="2">
          <cell r="A2">
            <v>43462</v>
          </cell>
        </row>
      </sheetData>
      <sheetData sheetId="11563">
        <row r="2">
          <cell r="A2">
            <v>43462</v>
          </cell>
        </row>
      </sheetData>
      <sheetData sheetId="11564">
        <row r="2">
          <cell r="A2">
            <v>43462</v>
          </cell>
        </row>
      </sheetData>
      <sheetData sheetId="11565">
        <row r="2">
          <cell r="A2">
            <v>43462</v>
          </cell>
        </row>
      </sheetData>
      <sheetData sheetId="11566">
        <row r="2">
          <cell r="A2">
            <v>43462</v>
          </cell>
        </row>
      </sheetData>
      <sheetData sheetId="11567">
        <row r="2">
          <cell r="A2">
            <v>43462</v>
          </cell>
        </row>
      </sheetData>
      <sheetData sheetId="11568">
        <row r="2">
          <cell r="A2">
            <v>43462</v>
          </cell>
        </row>
      </sheetData>
      <sheetData sheetId="11569">
        <row r="2">
          <cell r="A2">
            <v>43462</v>
          </cell>
        </row>
      </sheetData>
      <sheetData sheetId="11570">
        <row r="2">
          <cell r="A2">
            <v>43462</v>
          </cell>
        </row>
      </sheetData>
      <sheetData sheetId="11571">
        <row r="2">
          <cell r="A2">
            <v>43462</v>
          </cell>
        </row>
      </sheetData>
      <sheetData sheetId="11572">
        <row r="2">
          <cell r="A2">
            <v>43462</v>
          </cell>
        </row>
      </sheetData>
      <sheetData sheetId="11573">
        <row r="2">
          <cell r="A2">
            <v>43462</v>
          </cell>
        </row>
      </sheetData>
      <sheetData sheetId="11574">
        <row r="2">
          <cell r="A2" t="str">
            <v>Complete</v>
          </cell>
        </row>
      </sheetData>
      <sheetData sheetId="11575">
        <row r="2">
          <cell r="A2" t="str">
            <v>Complete</v>
          </cell>
        </row>
      </sheetData>
      <sheetData sheetId="11576">
        <row r="2">
          <cell r="A2" t="str">
            <v>Complete</v>
          </cell>
        </row>
      </sheetData>
      <sheetData sheetId="11577">
        <row r="2">
          <cell r="A2" t="str">
            <v>Complete</v>
          </cell>
        </row>
      </sheetData>
      <sheetData sheetId="11578">
        <row r="2">
          <cell r="A2" t="str">
            <v>Complete</v>
          </cell>
        </row>
      </sheetData>
      <sheetData sheetId="11579">
        <row r="2">
          <cell r="A2" t="str">
            <v>Complete</v>
          </cell>
        </row>
      </sheetData>
      <sheetData sheetId="11580">
        <row r="2">
          <cell r="A2" t="str">
            <v>Complete</v>
          </cell>
        </row>
      </sheetData>
      <sheetData sheetId="11581">
        <row r="2">
          <cell r="A2" t="str">
            <v>Complete</v>
          </cell>
        </row>
      </sheetData>
      <sheetData sheetId="11582">
        <row r="2">
          <cell r="A2" t="str">
            <v>Complete</v>
          </cell>
        </row>
      </sheetData>
      <sheetData sheetId="11583">
        <row r="2">
          <cell r="A2" t="str">
            <v>Complete</v>
          </cell>
        </row>
      </sheetData>
      <sheetData sheetId="11584">
        <row r="2">
          <cell r="A2" t="str">
            <v>Complete</v>
          </cell>
        </row>
      </sheetData>
      <sheetData sheetId="11585">
        <row r="2">
          <cell r="A2">
            <v>43462</v>
          </cell>
        </row>
      </sheetData>
      <sheetData sheetId="11586">
        <row r="2">
          <cell r="A2" t="str">
            <v>Complete</v>
          </cell>
        </row>
      </sheetData>
      <sheetData sheetId="11587">
        <row r="2">
          <cell r="A2" t="str">
            <v>Complete</v>
          </cell>
        </row>
      </sheetData>
      <sheetData sheetId="11588">
        <row r="2">
          <cell r="A2" t="str">
            <v>Complete</v>
          </cell>
        </row>
      </sheetData>
      <sheetData sheetId="11589">
        <row r="2">
          <cell r="A2" t="str">
            <v>Complete</v>
          </cell>
        </row>
      </sheetData>
      <sheetData sheetId="11590">
        <row r="2">
          <cell r="A2">
            <v>43462</v>
          </cell>
        </row>
      </sheetData>
      <sheetData sheetId="11591">
        <row r="2">
          <cell r="A2" t="str">
            <v>Complete</v>
          </cell>
        </row>
      </sheetData>
      <sheetData sheetId="11592">
        <row r="2">
          <cell r="A2" t="str">
            <v>Complete</v>
          </cell>
        </row>
      </sheetData>
      <sheetData sheetId="11593">
        <row r="2">
          <cell r="A2" t="str">
            <v>Complete</v>
          </cell>
        </row>
      </sheetData>
      <sheetData sheetId="11594">
        <row r="2">
          <cell r="A2" t="str">
            <v>Complete</v>
          </cell>
        </row>
      </sheetData>
      <sheetData sheetId="11595">
        <row r="2">
          <cell r="A2">
            <v>43462</v>
          </cell>
        </row>
      </sheetData>
      <sheetData sheetId="11596">
        <row r="2">
          <cell r="A2">
            <v>43462</v>
          </cell>
        </row>
      </sheetData>
      <sheetData sheetId="11597">
        <row r="2">
          <cell r="A2">
            <v>43462</v>
          </cell>
        </row>
      </sheetData>
      <sheetData sheetId="11598">
        <row r="2">
          <cell r="A2">
            <v>43462</v>
          </cell>
        </row>
      </sheetData>
      <sheetData sheetId="11599">
        <row r="2">
          <cell r="A2">
            <v>43462</v>
          </cell>
        </row>
      </sheetData>
      <sheetData sheetId="11600">
        <row r="2">
          <cell r="A2">
            <v>43462</v>
          </cell>
        </row>
      </sheetData>
      <sheetData sheetId="11601">
        <row r="2">
          <cell r="A2">
            <v>43462</v>
          </cell>
        </row>
      </sheetData>
      <sheetData sheetId="11602">
        <row r="2">
          <cell r="A2">
            <v>43462</v>
          </cell>
        </row>
      </sheetData>
      <sheetData sheetId="11603">
        <row r="2">
          <cell r="A2">
            <v>43462</v>
          </cell>
        </row>
      </sheetData>
      <sheetData sheetId="11604">
        <row r="2">
          <cell r="A2">
            <v>43462</v>
          </cell>
        </row>
      </sheetData>
      <sheetData sheetId="11605">
        <row r="2">
          <cell r="A2">
            <v>43462</v>
          </cell>
        </row>
      </sheetData>
      <sheetData sheetId="11606">
        <row r="2">
          <cell r="A2">
            <v>43462</v>
          </cell>
        </row>
      </sheetData>
      <sheetData sheetId="11607">
        <row r="2">
          <cell r="A2">
            <v>43462</v>
          </cell>
        </row>
      </sheetData>
      <sheetData sheetId="11608">
        <row r="2">
          <cell r="A2">
            <v>43462</v>
          </cell>
        </row>
      </sheetData>
      <sheetData sheetId="11609">
        <row r="2">
          <cell r="A2">
            <v>43462</v>
          </cell>
        </row>
      </sheetData>
      <sheetData sheetId="11610">
        <row r="2">
          <cell r="A2">
            <v>43462</v>
          </cell>
        </row>
      </sheetData>
      <sheetData sheetId="11611">
        <row r="2">
          <cell r="A2">
            <v>43462</v>
          </cell>
        </row>
      </sheetData>
      <sheetData sheetId="11612">
        <row r="2">
          <cell r="A2">
            <v>43462</v>
          </cell>
        </row>
      </sheetData>
      <sheetData sheetId="11613">
        <row r="2">
          <cell r="A2">
            <v>43462</v>
          </cell>
        </row>
      </sheetData>
      <sheetData sheetId="11614">
        <row r="2">
          <cell r="A2">
            <v>43462</v>
          </cell>
        </row>
      </sheetData>
      <sheetData sheetId="11615">
        <row r="2">
          <cell r="A2">
            <v>43462</v>
          </cell>
        </row>
      </sheetData>
      <sheetData sheetId="11616">
        <row r="2">
          <cell r="A2" t="str">
            <v>Complete</v>
          </cell>
        </row>
      </sheetData>
      <sheetData sheetId="11617">
        <row r="2">
          <cell r="A2" t="str">
            <v>Complete</v>
          </cell>
        </row>
      </sheetData>
      <sheetData sheetId="11618">
        <row r="2">
          <cell r="A2" t="str">
            <v>Complete</v>
          </cell>
        </row>
      </sheetData>
      <sheetData sheetId="11619">
        <row r="2">
          <cell r="A2" t="str">
            <v>Complete</v>
          </cell>
        </row>
      </sheetData>
      <sheetData sheetId="11620">
        <row r="2">
          <cell r="A2" t="str">
            <v>Complete</v>
          </cell>
        </row>
      </sheetData>
      <sheetData sheetId="11621">
        <row r="2">
          <cell r="A2" t="str">
            <v>Complete</v>
          </cell>
        </row>
      </sheetData>
      <sheetData sheetId="11622">
        <row r="2">
          <cell r="A2" t="str">
            <v>Complete</v>
          </cell>
        </row>
      </sheetData>
      <sheetData sheetId="11623">
        <row r="2">
          <cell r="A2" t="str">
            <v>Complete</v>
          </cell>
        </row>
      </sheetData>
      <sheetData sheetId="11624">
        <row r="2">
          <cell r="A2" t="str">
            <v>Complete</v>
          </cell>
        </row>
      </sheetData>
      <sheetData sheetId="11625">
        <row r="2">
          <cell r="A2" t="str">
            <v>Complete</v>
          </cell>
        </row>
      </sheetData>
      <sheetData sheetId="11626">
        <row r="2">
          <cell r="A2">
            <v>43462</v>
          </cell>
        </row>
      </sheetData>
      <sheetData sheetId="11627">
        <row r="2">
          <cell r="A2" t="str">
            <v>Complete</v>
          </cell>
        </row>
      </sheetData>
      <sheetData sheetId="11628">
        <row r="2">
          <cell r="A2" t="str">
            <v>Complete</v>
          </cell>
        </row>
      </sheetData>
      <sheetData sheetId="11629">
        <row r="2">
          <cell r="A2" t="str">
            <v>Complete</v>
          </cell>
        </row>
      </sheetData>
      <sheetData sheetId="11630">
        <row r="2">
          <cell r="A2" t="str">
            <v>Complete</v>
          </cell>
        </row>
      </sheetData>
      <sheetData sheetId="11631">
        <row r="2">
          <cell r="A2">
            <v>43462</v>
          </cell>
        </row>
      </sheetData>
      <sheetData sheetId="11632">
        <row r="2">
          <cell r="A2">
            <v>43462</v>
          </cell>
        </row>
      </sheetData>
      <sheetData sheetId="11633">
        <row r="2">
          <cell r="A2" t="str">
            <v>Complete</v>
          </cell>
        </row>
      </sheetData>
      <sheetData sheetId="11634">
        <row r="2">
          <cell r="A2">
            <v>43462</v>
          </cell>
        </row>
      </sheetData>
      <sheetData sheetId="11635">
        <row r="2">
          <cell r="A2">
            <v>43462</v>
          </cell>
        </row>
      </sheetData>
      <sheetData sheetId="11636">
        <row r="2">
          <cell r="A2">
            <v>43462</v>
          </cell>
        </row>
      </sheetData>
      <sheetData sheetId="11637">
        <row r="2">
          <cell r="A2">
            <v>43462</v>
          </cell>
        </row>
      </sheetData>
      <sheetData sheetId="11638">
        <row r="2">
          <cell r="A2">
            <v>43462</v>
          </cell>
        </row>
      </sheetData>
      <sheetData sheetId="11639">
        <row r="2">
          <cell r="A2">
            <v>43462</v>
          </cell>
        </row>
      </sheetData>
      <sheetData sheetId="11640">
        <row r="2">
          <cell r="A2">
            <v>43462</v>
          </cell>
        </row>
      </sheetData>
      <sheetData sheetId="11641">
        <row r="2">
          <cell r="A2">
            <v>43462</v>
          </cell>
        </row>
      </sheetData>
      <sheetData sheetId="11642">
        <row r="2">
          <cell r="A2">
            <v>43462</v>
          </cell>
        </row>
      </sheetData>
      <sheetData sheetId="11643">
        <row r="2">
          <cell r="A2">
            <v>43462</v>
          </cell>
        </row>
      </sheetData>
      <sheetData sheetId="11644">
        <row r="2">
          <cell r="A2">
            <v>43462</v>
          </cell>
        </row>
      </sheetData>
      <sheetData sheetId="11645">
        <row r="2">
          <cell r="A2">
            <v>43462</v>
          </cell>
        </row>
      </sheetData>
      <sheetData sheetId="11646">
        <row r="2">
          <cell r="A2">
            <v>43462</v>
          </cell>
        </row>
      </sheetData>
      <sheetData sheetId="11647">
        <row r="2">
          <cell r="A2">
            <v>43462</v>
          </cell>
        </row>
      </sheetData>
      <sheetData sheetId="11648">
        <row r="2">
          <cell r="A2">
            <v>43462</v>
          </cell>
        </row>
      </sheetData>
      <sheetData sheetId="11649">
        <row r="2">
          <cell r="A2">
            <v>43462</v>
          </cell>
        </row>
      </sheetData>
      <sheetData sheetId="11650">
        <row r="2">
          <cell r="A2">
            <v>43462</v>
          </cell>
        </row>
      </sheetData>
      <sheetData sheetId="11651">
        <row r="2">
          <cell r="A2">
            <v>43462</v>
          </cell>
        </row>
      </sheetData>
      <sheetData sheetId="11652">
        <row r="2">
          <cell r="A2">
            <v>43462</v>
          </cell>
        </row>
      </sheetData>
      <sheetData sheetId="11653">
        <row r="2">
          <cell r="A2">
            <v>43462</v>
          </cell>
        </row>
      </sheetData>
      <sheetData sheetId="11654">
        <row r="2">
          <cell r="A2">
            <v>43462</v>
          </cell>
        </row>
      </sheetData>
      <sheetData sheetId="11655">
        <row r="2">
          <cell r="A2">
            <v>43462</v>
          </cell>
        </row>
      </sheetData>
      <sheetData sheetId="11656">
        <row r="2">
          <cell r="A2">
            <v>43462</v>
          </cell>
        </row>
      </sheetData>
      <sheetData sheetId="11657">
        <row r="2">
          <cell r="A2" t="str">
            <v>Complete</v>
          </cell>
        </row>
      </sheetData>
      <sheetData sheetId="11658">
        <row r="2">
          <cell r="A2" t="str">
            <v>Complete</v>
          </cell>
        </row>
      </sheetData>
      <sheetData sheetId="11659">
        <row r="2">
          <cell r="A2" t="str">
            <v>Complete</v>
          </cell>
        </row>
      </sheetData>
      <sheetData sheetId="11660">
        <row r="2">
          <cell r="A2" t="str">
            <v>Complete</v>
          </cell>
        </row>
      </sheetData>
      <sheetData sheetId="11661">
        <row r="2">
          <cell r="A2" t="str">
            <v>Complete</v>
          </cell>
        </row>
      </sheetData>
      <sheetData sheetId="11662">
        <row r="2">
          <cell r="A2" t="str">
            <v>Complete</v>
          </cell>
        </row>
      </sheetData>
      <sheetData sheetId="11663">
        <row r="2">
          <cell r="A2" t="str">
            <v>Complete</v>
          </cell>
        </row>
      </sheetData>
      <sheetData sheetId="11664">
        <row r="2">
          <cell r="A2" t="str">
            <v>Complete</v>
          </cell>
        </row>
      </sheetData>
      <sheetData sheetId="11665">
        <row r="2">
          <cell r="A2" t="str">
            <v>Complete</v>
          </cell>
        </row>
      </sheetData>
      <sheetData sheetId="11666">
        <row r="2">
          <cell r="A2">
            <v>43462</v>
          </cell>
        </row>
      </sheetData>
      <sheetData sheetId="11667">
        <row r="2">
          <cell r="A2" t="str">
            <v>Complete</v>
          </cell>
        </row>
      </sheetData>
      <sheetData sheetId="11668">
        <row r="2">
          <cell r="A2" t="str">
            <v>Complete</v>
          </cell>
        </row>
      </sheetData>
      <sheetData sheetId="11669">
        <row r="2">
          <cell r="A2" t="str">
            <v>Complete</v>
          </cell>
        </row>
      </sheetData>
      <sheetData sheetId="11670">
        <row r="2">
          <cell r="A2" t="str">
            <v>Complete</v>
          </cell>
        </row>
      </sheetData>
      <sheetData sheetId="11671">
        <row r="2">
          <cell r="A2" t="str">
            <v>Complete</v>
          </cell>
        </row>
      </sheetData>
      <sheetData sheetId="11672">
        <row r="2">
          <cell r="A2">
            <v>43462</v>
          </cell>
        </row>
      </sheetData>
      <sheetData sheetId="11673">
        <row r="2">
          <cell r="A2">
            <v>43462</v>
          </cell>
        </row>
      </sheetData>
      <sheetData sheetId="11674">
        <row r="2">
          <cell r="A2" t="str">
            <v>Complete</v>
          </cell>
        </row>
      </sheetData>
      <sheetData sheetId="11675">
        <row r="2">
          <cell r="A2" t="str">
            <v>Complete</v>
          </cell>
        </row>
      </sheetData>
      <sheetData sheetId="11676">
        <row r="2">
          <cell r="A2">
            <v>43462</v>
          </cell>
        </row>
      </sheetData>
      <sheetData sheetId="11677">
        <row r="2">
          <cell r="A2">
            <v>43462</v>
          </cell>
        </row>
      </sheetData>
      <sheetData sheetId="11678">
        <row r="2">
          <cell r="A2">
            <v>43462</v>
          </cell>
        </row>
      </sheetData>
      <sheetData sheetId="11679">
        <row r="2">
          <cell r="A2">
            <v>43462</v>
          </cell>
        </row>
      </sheetData>
      <sheetData sheetId="11680">
        <row r="2">
          <cell r="A2">
            <v>43462</v>
          </cell>
        </row>
      </sheetData>
      <sheetData sheetId="11681">
        <row r="2">
          <cell r="A2">
            <v>43462</v>
          </cell>
        </row>
      </sheetData>
      <sheetData sheetId="11682">
        <row r="2">
          <cell r="A2">
            <v>43462</v>
          </cell>
        </row>
      </sheetData>
      <sheetData sheetId="11683">
        <row r="2">
          <cell r="A2">
            <v>43462</v>
          </cell>
        </row>
      </sheetData>
      <sheetData sheetId="11684">
        <row r="2">
          <cell r="A2">
            <v>43462</v>
          </cell>
        </row>
      </sheetData>
      <sheetData sheetId="11685">
        <row r="2">
          <cell r="A2">
            <v>43462</v>
          </cell>
        </row>
      </sheetData>
      <sheetData sheetId="11686">
        <row r="2">
          <cell r="A2">
            <v>43462</v>
          </cell>
        </row>
      </sheetData>
      <sheetData sheetId="11687">
        <row r="2">
          <cell r="A2">
            <v>43462</v>
          </cell>
        </row>
      </sheetData>
      <sheetData sheetId="11688">
        <row r="2">
          <cell r="A2">
            <v>43462</v>
          </cell>
        </row>
      </sheetData>
      <sheetData sheetId="11689">
        <row r="2">
          <cell r="A2">
            <v>43462</v>
          </cell>
        </row>
      </sheetData>
      <sheetData sheetId="11690">
        <row r="2">
          <cell r="A2">
            <v>43462</v>
          </cell>
        </row>
      </sheetData>
      <sheetData sheetId="11691">
        <row r="2">
          <cell r="A2">
            <v>43462</v>
          </cell>
        </row>
      </sheetData>
      <sheetData sheetId="11692">
        <row r="2">
          <cell r="A2">
            <v>43462</v>
          </cell>
        </row>
      </sheetData>
      <sheetData sheetId="11693">
        <row r="2">
          <cell r="A2">
            <v>43462</v>
          </cell>
        </row>
      </sheetData>
      <sheetData sheetId="11694">
        <row r="2">
          <cell r="A2">
            <v>43462</v>
          </cell>
        </row>
      </sheetData>
      <sheetData sheetId="11695">
        <row r="2">
          <cell r="A2">
            <v>43462</v>
          </cell>
        </row>
      </sheetData>
      <sheetData sheetId="11696">
        <row r="2">
          <cell r="A2">
            <v>43462</v>
          </cell>
        </row>
      </sheetData>
      <sheetData sheetId="11697">
        <row r="2">
          <cell r="A2">
            <v>43462</v>
          </cell>
        </row>
      </sheetData>
      <sheetData sheetId="11698">
        <row r="2">
          <cell r="A2" t="str">
            <v>Complete</v>
          </cell>
        </row>
      </sheetData>
      <sheetData sheetId="11699">
        <row r="2">
          <cell r="A2" t="str">
            <v>Complete</v>
          </cell>
        </row>
      </sheetData>
      <sheetData sheetId="11700">
        <row r="2">
          <cell r="A2" t="str">
            <v>Complete</v>
          </cell>
        </row>
      </sheetData>
      <sheetData sheetId="11701">
        <row r="2">
          <cell r="A2">
            <v>43462</v>
          </cell>
        </row>
      </sheetData>
      <sheetData sheetId="11702">
        <row r="2">
          <cell r="A2">
            <v>43462</v>
          </cell>
        </row>
      </sheetData>
      <sheetData sheetId="11703">
        <row r="2">
          <cell r="A2" t="str">
            <v>Complete</v>
          </cell>
        </row>
      </sheetData>
      <sheetData sheetId="11704">
        <row r="2">
          <cell r="A2" t="str">
            <v>Complete</v>
          </cell>
        </row>
      </sheetData>
      <sheetData sheetId="11705">
        <row r="2">
          <cell r="A2" t="str">
            <v>Complete</v>
          </cell>
        </row>
      </sheetData>
      <sheetData sheetId="11706">
        <row r="2">
          <cell r="A2" t="str">
            <v>Complete</v>
          </cell>
        </row>
      </sheetData>
      <sheetData sheetId="11707">
        <row r="2">
          <cell r="A2">
            <v>43462</v>
          </cell>
        </row>
      </sheetData>
      <sheetData sheetId="11708">
        <row r="2">
          <cell r="A2" t="str">
            <v>Complete</v>
          </cell>
        </row>
      </sheetData>
      <sheetData sheetId="11709">
        <row r="2">
          <cell r="A2" t="str">
            <v>Complete</v>
          </cell>
        </row>
      </sheetData>
      <sheetData sheetId="11710">
        <row r="2">
          <cell r="A2" t="str">
            <v>Complete</v>
          </cell>
        </row>
      </sheetData>
      <sheetData sheetId="11711">
        <row r="2">
          <cell r="A2" t="str">
            <v>Complete</v>
          </cell>
        </row>
      </sheetData>
      <sheetData sheetId="11712">
        <row r="2">
          <cell r="A2" t="str">
            <v>Complete</v>
          </cell>
        </row>
      </sheetData>
      <sheetData sheetId="11713">
        <row r="2">
          <cell r="A2">
            <v>43462</v>
          </cell>
        </row>
      </sheetData>
      <sheetData sheetId="11714">
        <row r="2">
          <cell r="A2" t="str">
            <v>Complete</v>
          </cell>
        </row>
      </sheetData>
      <sheetData sheetId="11715">
        <row r="2">
          <cell r="A2" t="str">
            <v>Complete</v>
          </cell>
        </row>
      </sheetData>
      <sheetData sheetId="11716">
        <row r="2">
          <cell r="A2" t="str">
            <v>Complete</v>
          </cell>
        </row>
      </sheetData>
      <sheetData sheetId="11717">
        <row r="2">
          <cell r="A2">
            <v>43462</v>
          </cell>
        </row>
      </sheetData>
      <sheetData sheetId="11718">
        <row r="2">
          <cell r="A2">
            <v>43462</v>
          </cell>
        </row>
      </sheetData>
      <sheetData sheetId="11719">
        <row r="2">
          <cell r="A2">
            <v>43462</v>
          </cell>
        </row>
      </sheetData>
      <sheetData sheetId="11720">
        <row r="2">
          <cell r="A2">
            <v>43462</v>
          </cell>
        </row>
      </sheetData>
      <sheetData sheetId="11721">
        <row r="2">
          <cell r="A2">
            <v>43462</v>
          </cell>
        </row>
      </sheetData>
      <sheetData sheetId="11722">
        <row r="2">
          <cell r="A2">
            <v>43462</v>
          </cell>
        </row>
      </sheetData>
      <sheetData sheetId="11723">
        <row r="2">
          <cell r="A2">
            <v>43462</v>
          </cell>
        </row>
      </sheetData>
      <sheetData sheetId="11724">
        <row r="2">
          <cell r="A2">
            <v>43462</v>
          </cell>
        </row>
      </sheetData>
      <sheetData sheetId="11725">
        <row r="2">
          <cell r="A2">
            <v>43462</v>
          </cell>
        </row>
      </sheetData>
      <sheetData sheetId="11726">
        <row r="2">
          <cell r="A2">
            <v>43462</v>
          </cell>
        </row>
      </sheetData>
      <sheetData sheetId="11727">
        <row r="2">
          <cell r="A2">
            <v>43462</v>
          </cell>
        </row>
      </sheetData>
      <sheetData sheetId="11728">
        <row r="2">
          <cell r="A2">
            <v>43462</v>
          </cell>
        </row>
      </sheetData>
      <sheetData sheetId="11729">
        <row r="2">
          <cell r="A2">
            <v>43462</v>
          </cell>
        </row>
      </sheetData>
      <sheetData sheetId="11730">
        <row r="2">
          <cell r="A2">
            <v>43462</v>
          </cell>
        </row>
      </sheetData>
      <sheetData sheetId="11731">
        <row r="2">
          <cell r="A2">
            <v>43462</v>
          </cell>
        </row>
      </sheetData>
      <sheetData sheetId="11732">
        <row r="2">
          <cell r="A2">
            <v>43462</v>
          </cell>
        </row>
      </sheetData>
      <sheetData sheetId="11733">
        <row r="2">
          <cell r="A2">
            <v>43462</v>
          </cell>
        </row>
      </sheetData>
      <sheetData sheetId="11734">
        <row r="2">
          <cell r="A2">
            <v>43462</v>
          </cell>
        </row>
      </sheetData>
      <sheetData sheetId="11735">
        <row r="2">
          <cell r="A2">
            <v>43462</v>
          </cell>
        </row>
      </sheetData>
      <sheetData sheetId="11736">
        <row r="2">
          <cell r="A2">
            <v>43462</v>
          </cell>
        </row>
      </sheetData>
      <sheetData sheetId="11737">
        <row r="2">
          <cell r="A2">
            <v>43462</v>
          </cell>
        </row>
      </sheetData>
      <sheetData sheetId="11738">
        <row r="2">
          <cell r="A2">
            <v>43462</v>
          </cell>
        </row>
      </sheetData>
      <sheetData sheetId="11739">
        <row r="2">
          <cell r="A2" t="str">
            <v>Complete</v>
          </cell>
        </row>
      </sheetData>
      <sheetData sheetId="11740">
        <row r="2">
          <cell r="A2" t="str">
            <v>Complete</v>
          </cell>
        </row>
      </sheetData>
      <sheetData sheetId="11741">
        <row r="2">
          <cell r="A2">
            <v>43462</v>
          </cell>
        </row>
      </sheetData>
      <sheetData sheetId="11742">
        <row r="2">
          <cell r="A2">
            <v>43462</v>
          </cell>
        </row>
      </sheetData>
      <sheetData sheetId="11743">
        <row r="2">
          <cell r="A2">
            <v>43462</v>
          </cell>
        </row>
      </sheetData>
      <sheetData sheetId="11744">
        <row r="2">
          <cell r="A2" t="str">
            <v>Complete</v>
          </cell>
        </row>
      </sheetData>
      <sheetData sheetId="11745">
        <row r="2">
          <cell r="A2" t="str">
            <v>Complete</v>
          </cell>
        </row>
      </sheetData>
      <sheetData sheetId="11746">
        <row r="2">
          <cell r="A2" t="str">
            <v>Complete</v>
          </cell>
        </row>
      </sheetData>
      <sheetData sheetId="11747">
        <row r="2">
          <cell r="A2" t="str">
            <v>Complete</v>
          </cell>
        </row>
      </sheetData>
      <sheetData sheetId="11748">
        <row r="2">
          <cell r="A2">
            <v>43462</v>
          </cell>
        </row>
      </sheetData>
      <sheetData sheetId="11749">
        <row r="2">
          <cell r="A2" t="str">
            <v>Complete</v>
          </cell>
        </row>
      </sheetData>
      <sheetData sheetId="11750">
        <row r="2">
          <cell r="A2" t="str">
            <v>Complete</v>
          </cell>
        </row>
      </sheetData>
      <sheetData sheetId="11751">
        <row r="2">
          <cell r="A2" t="str">
            <v>Complete</v>
          </cell>
        </row>
      </sheetData>
      <sheetData sheetId="11752">
        <row r="2">
          <cell r="A2" t="str">
            <v>Complete</v>
          </cell>
        </row>
      </sheetData>
      <sheetData sheetId="11753">
        <row r="2">
          <cell r="A2" t="str">
            <v>Complete</v>
          </cell>
        </row>
      </sheetData>
      <sheetData sheetId="11754">
        <row r="2">
          <cell r="A2" t="str">
            <v>Complete</v>
          </cell>
        </row>
      </sheetData>
      <sheetData sheetId="11755">
        <row r="2">
          <cell r="A2" t="str">
            <v>Complete</v>
          </cell>
        </row>
      </sheetData>
      <sheetData sheetId="11756">
        <row r="2">
          <cell r="A2">
            <v>43462</v>
          </cell>
        </row>
      </sheetData>
      <sheetData sheetId="11757">
        <row r="2">
          <cell r="A2" t="str">
            <v>Complete</v>
          </cell>
        </row>
      </sheetData>
      <sheetData sheetId="11758">
        <row r="2">
          <cell r="A2" t="str">
            <v>Complete</v>
          </cell>
        </row>
      </sheetData>
      <sheetData sheetId="11759">
        <row r="2">
          <cell r="A2">
            <v>43462</v>
          </cell>
        </row>
      </sheetData>
      <sheetData sheetId="11760">
        <row r="2">
          <cell r="A2">
            <v>43462</v>
          </cell>
        </row>
      </sheetData>
      <sheetData sheetId="11761">
        <row r="2">
          <cell r="A2">
            <v>43462</v>
          </cell>
        </row>
      </sheetData>
      <sheetData sheetId="11762">
        <row r="2">
          <cell r="A2">
            <v>43462</v>
          </cell>
        </row>
      </sheetData>
      <sheetData sheetId="11763">
        <row r="2">
          <cell r="A2">
            <v>43462</v>
          </cell>
        </row>
      </sheetData>
      <sheetData sheetId="11764">
        <row r="2">
          <cell r="A2">
            <v>43462</v>
          </cell>
        </row>
      </sheetData>
      <sheetData sheetId="11765">
        <row r="2">
          <cell r="A2">
            <v>43462</v>
          </cell>
        </row>
      </sheetData>
      <sheetData sheetId="11766">
        <row r="2">
          <cell r="A2">
            <v>43462</v>
          </cell>
        </row>
      </sheetData>
      <sheetData sheetId="11767">
        <row r="2">
          <cell r="A2">
            <v>43462</v>
          </cell>
        </row>
      </sheetData>
      <sheetData sheetId="11768">
        <row r="2">
          <cell r="A2">
            <v>43462</v>
          </cell>
        </row>
      </sheetData>
      <sheetData sheetId="11769">
        <row r="2">
          <cell r="A2">
            <v>43462</v>
          </cell>
        </row>
      </sheetData>
      <sheetData sheetId="11770">
        <row r="2">
          <cell r="A2">
            <v>43462</v>
          </cell>
        </row>
      </sheetData>
      <sheetData sheetId="11771">
        <row r="2">
          <cell r="A2">
            <v>43462</v>
          </cell>
        </row>
      </sheetData>
      <sheetData sheetId="11772">
        <row r="2">
          <cell r="A2">
            <v>43462</v>
          </cell>
        </row>
      </sheetData>
      <sheetData sheetId="11773">
        <row r="2">
          <cell r="A2">
            <v>43462</v>
          </cell>
        </row>
      </sheetData>
      <sheetData sheetId="11774">
        <row r="2">
          <cell r="A2">
            <v>43462</v>
          </cell>
        </row>
      </sheetData>
      <sheetData sheetId="11775">
        <row r="2">
          <cell r="A2">
            <v>43462</v>
          </cell>
        </row>
      </sheetData>
      <sheetData sheetId="11776">
        <row r="2">
          <cell r="A2">
            <v>43462</v>
          </cell>
        </row>
      </sheetData>
      <sheetData sheetId="11777">
        <row r="2">
          <cell r="A2">
            <v>43462</v>
          </cell>
        </row>
      </sheetData>
      <sheetData sheetId="11778">
        <row r="2">
          <cell r="A2">
            <v>43462</v>
          </cell>
        </row>
      </sheetData>
      <sheetData sheetId="11779">
        <row r="2">
          <cell r="A2">
            <v>43462</v>
          </cell>
        </row>
      </sheetData>
      <sheetData sheetId="11780">
        <row r="2">
          <cell r="A2">
            <v>43462</v>
          </cell>
        </row>
      </sheetData>
      <sheetData sheetId="11781">
        <row r="2">
          <cell r="A2">
            <v>43462</v>
          </cell>
        </row>
      </sheetData>
      <sheetData sheetId="11782">
        <row r="2">
          <cell r="A2">
            <v>43462</v>
          </cell>
        </row>
      </sheetData>
      <sheetData sheetId="11783">
        <row r="2">
          <cell r="A2">
            <v>43462</v>
          </cell>
        </row>
      </sheetData>
      <sheetData sheetId="11784">
        <row r="2">
          <cell r="A2">
            <v>43462</v>
          </cell>
        </row>
      </sheetData>
      <sheetData sheetId="11785">
        <row r="2">
          <cell r="A2" t="str">
            <v>Complete</v>
          </cell>
        </row>
      </sheetData>
      <sheetData sheetId="11786">
        <row r="2">
          <cell r="A2" t="str">
            <v>Complete</v>
          </cell>
        </row>
      </sheetData>
      <sheetData sheetId="11787">
        <row r="2">
          <cell r="A2" t="str">
            <v>Complete</v>
          </cell>
        </row>
      </sheetData>
      <sheetData sheetId="11788">
        <row r="2">
          <cell r="A2" t="str">
            <v>Complete</v>
          </cell>
        </row>
      </sheetData>
      <sheetData sheetId="11789">
        <row r="2">
          <cell r="A2" t="str">
            <v>Complete</v>
          </cell>
        </row>
      </sheetData>
      <sheetData sheetId="11790">
        <row r="2">
          <cell r="A2">
            <v>43462</v>
          </cell>
        </row>
      </sheetData>
      <sheetData sheetId="11791">
        <row r="2">
          <cell r="A2" t="str">
            <v>Complete</v>
          </cell>
        </row>
      </sheetData>
      <sheetData sheetId="11792">
        <row r="2">
          <cell r="A2" t="str">
            <v>Complete</v>
          </cell>
        </row>
      </sheetData>
      <sheetData sheetId="11793">
        <row r="2">
          <cell r="A2" t="str">
            <v>Complete</v>
          </cell>
        </row>
      </sheetData>
      <sheetData sheetId="11794">
        <row r="2">
          <cell r="A2">
            <v>43462</v>
          </cell>
        </row>
      </sheetData>
      <sheetData sheetId="11795">
        <row r="2">
          <cell r="A2">
            <v>43462</v>
          </cell>
        </row>
      </sheetData>
      <sheetData sheetId="11796">
        <row r="2">
          <cell r="A2">
            <v>43462</v>
          </cell>
        </row>
      </sheetData>
      <sheetData sheetId="11797">
        <row r="2">
          <cell r="A2">
            <v>43462</v>
          </cell>
        </row>
      </sheetData>
      <sheetData sheetId="11798">
        <row r="2">
          <cell r="A2" t="str">
            <v>Complete</v>
          </cell>
        </row>
      </sheetData>
      <sheetData sheetId="11799">
        <row r="2">
          <cell r="A2" t="str">
            <v>Complete</v>
          </cell>
        </row>
      </sheetData>
      <sheetData sheetId="11800">
        <row r="2">
          <cell r="A2">
            <v>43462</v>
          </cell>
        </row>
      </sheetData>
      <sheetData sheetId="11801">
        <row r="2">
          <cell r="A2">
            <v>43462</v>
          </cell>
        </row>
      </sheetData>
      <sheetData sheetId="11802">
        <row r="2">
          <cell r="A2">
            <v>43462</v>
          </cell>
        </row>
      </sheetData>
      <sheetData sheetId="11803">
        <row r="2">
          <cell r="A2">
            <v>43462</v>
          </cell>
        </row>
      </sheetData>
      <sheetData sheetId="11804">
        <row r="2">
          <cell r="A2">
            <v>43462</v>
          </cell>
        </row>
      </sheetData>
      <sheetData sheetId="11805">
        <row r="2">
          <cell r="A2">
            <v>43462</v>
          </cell>
        </row>
      </sheetData>
      <sheetData sheetId="11806">
        <row r="2">
          <cell r="A2">
            <v>43462</v>
          </cell>
        </row>
      </sheetData>
      <sheetData sheetId="11807">
        <row r="2">
          <cell r="A2">
            <v>43462</v>
          </cell>
        </row>
      </sheetData>
      <sheetData sheetId="11808">
        <row r="2">
          <cell r="A2">
            <v>43462</v>
          </cell>
        </row>
      </sheetData>
      <sheetData sheetId="11809">
        <row r="2">
          <cell r="A2">
            <v>43462</v>
          </cell>
        </row>
      </sheetData>
      <sheetData sheetId="11810">
        <row r="2">
          <cell r="A2">
            <v>43462</v>
          </cell>
        </row>
      </sheetData>
      <sheetData sheetId="11811">
        <row r="2">
          <cell r="A2">
            <v>43462</v>
          </cell>
        </row>
      </sheetData>
      <sheetData sheetId="11812">
        <row r="2">
          <cell r="A2">
            <v>43462</v>
          </cell>
        </row>
      </sheetData>
      <sheetData sheetId="11813">
        <row r="2">
          <cell r="A2">
            <v>43462</v>
          </cell>
        </row>
      </sheetData>
      <sheetData sheetId="11814">
        <row r="2">
          <cell r="A2">
            <v>43462</v>
          </cell>
        </row>
      </sheetData>
      <sheetData sheetId="11815">
        <row r="2">
          <cell r="A2">
            <v>43462</v>
          </cell>
        </row>
      </sheetData>
      <sheetData sheetId="11816">
        <row r="2">
          <cell r="A2">
            <v>43462</v>
          </cell>
        </row>
      </sheetData>
      <sheetData sheetId="11817">
        <row r="2">
          <cell r="A2">
            <v>43462</v>
          </cell>
        </row>
      </sheetData>
      <sheetData sheetId="11818">
        <row r="2">
          <cell r="A2">
            <v>43462</v>
          </cell>
        </row>
      </sheetData>
      <sheetData sheetId="11819">
        <row r="2">
          <cell r="A2">
            <v>43462</v>
          </cell>
        </row>
      </sheetData>
      <sheetData sheetId="11820">
        <row r="2">
          <cell r="A2">
            <v>43462</v>
          </cell>
        </row>
      </sheetData>
      <sheetData sheetId="11821">
        <row r="2">
          <cell r="A2">
            <v>43462</v>
          </cell>
        </row>
      </sheetData>
      <sheetData sheetId="11822">
        <row r="2">
          <cell r="A2">
            <v>43462</v>
          </cell>
        </row>
      </sheetData>
      <sheetData sheetId="11823">
        <row r="2">
          <cell r="A2">
            <v>43462</v>
          </cell>
        </row>
      </sheetData>
      <sheetData sheetId="11824">
        <row r="2">
          <cell r="A2">
            <v>43462</v>
          </cell>
        </row>
      </sheetData>
      <sheetData sheetId="11825">
        <row r="2">
          <cell r="A2">
            <v>43462</v>
          </cell>
        </row>
      </sheetData>
      <sheetData sheetId="11826">
        <row r="2">
          <cell r="A2" t="str">
            <v>Complete</v>
          </cell>
        </row>
      </sheetData>
      <sheetData sheetId="11827">
        <row r="2">
          <cell r="A2" t="str">
            <v>Complete</v>
          </cell>
        </row>
      </sheetData>
      <sheetData sheetId="11828">
        <row r="2">
          <cell r="A2" t="str">
            <v>Complete</v>
          </cell>
        </row>
      </sheetData>
      <sheetData sheetId="11829">
        <row r="2">
          <cell r="A2" t="str">
            <v>Complete</v>
          </cell>
        </row>
      </sheetData>
      <sheetData sheetId="11830">
        <row r="2">
          <cell r="A2" t="str">
            <v>Complete</v>
          </cell>
        </row>
      </sheetData>
      <sheetData sheetId="11831">
        <row r="2">
          <cell r="A2">
            <v>43462</v>
          </cell>
        </row>
      </sheetData>
      <sheetData sheetId="11832">
        <row r="2">
          <cell r="A2" t="str">
            <v>Complete</v>
          </cell>
        </row>
      </sheetData>
      <sheetData sheetId="11833">
        <row r="2">
          <cell r="A2" t="str">
            <v>Complete</v>
          </cell>
        </row>
      </sheetData>
      <sheetData sheetId="11834">
        <row r="2">
          <cell r="A2" t="str">
            <v>Complete</v>
          </cell>
        </row>
      </sheetData>
      <sheetData sheetId="11835">
        <row r="2">
          <cell r="A2" t="str">
            <v>Complete</v>
          </cell>
        </row>
      </sheetData>
      <sheetData sheetId="11836">
        <row r="2">
          <cell r="A2" t="str">
            <v>Complete</v>
          </cell>
        </row>
      </sheetData>
      <sheetData sheetId="11837" refreshError="1"/>
      <sheetData sheetId="11838">
        <row r="2">
          <cell r="A2">
            <v>43462</v>
          </cell>
        </row>
      </sheetData>
      <sheetData sheetId="11839">
        <row r="2">
          <cell r="A2" t="str">
            <v>Complete</v>
          </cell>
        </row>
      </sheetData>
      <sheetData sheetId="11840">
        <row r="2">
          <cell r="A2" t="str">
            <v>Complete</v>
          </cell>
        </row>
      </sheetData>
      <sheetData sheetId="11841">
        <row r="2">
          <cell r="A2">
            <v>43462</v>
          </cell>
        </row>
      </sheetData>
      <sheetData sheetId="11842">
        <row r="2">
          <cell r="A2">
            <v>43462</v>
          </cell>
        </row>
      </sheetData>
      <sheetData sheetId="11843">
        <row r="2">
          <cell r="A2">
            <v>43462</v>
          </cell>
        </row>
      </sheetData>
      <sheetData sheetId="11844">
        <row r="2">
          <cell r="A2">
            <v>43462</v>
          </cell>
        </row>
      </sheetData>
      <sheetData sheetId="11845">
        <row r="2">
          <cell r="A2">
            <v>43462</v>
          </cell>
        </row>
      </sheetData>
      <sheetData sheetId="11846">
        <row r="2">
          <cell r="A2">
            <v>43462</v>
          </cell>
        </row>
      </sheetData>
      <sheetData sheetId="11847">
        <row r="2">
          <cell r="A2">
            <v>43462</v>
          </cell>
        </row>
      </sheetData>
      <sheetData sheetId="11848">
        <row r="2">
          <cell r="A2">
            <v>43462</v>
          </cell>
        </row>
      </sheetData>
      <sheetData sheetId="11849">
        <row r="2">
          <cell r="A2">
            <v>43462</v>
          </cell>
        </row>
      </sheetData>
      <sheetData sheetId="11850">
        <row r="2">
          <cell r="A2">
            <v>43462</v>
          </cell>
        </row>
      </sheetData>
      <sheetData sheetId="11851">
        <row r="2">
          <cell r="A2">
            <v>43462</v>
          </cell>
        </row>
      </sheetData>
      <sheetData sheetId="11852">
        <row r="2">
          <cell r="A2">
            <v>43462</v>
          </cell>
        </row>
      </sheetData>
      <sheetData sheetId="11853">
        <row r="2">
          <cell r="A2">
            <v>43462</v>
          </cell>
        </row>
      </sheetData>
      <sheetData sheetId="11854">
        <row r="2">
          <cell r="A2">
            <v>43462</v>
          </cell>
        </row>
      </sheetData>
      <sheetData sheetId="11855">
        <row r="2">
          <cell r="A2">
            <v>43462</v>
          </cell>
        </row>
      </sheetData>
      <sheetData sheetId="11856">
        <row r="2">
          <cell r="A2">
            <v>43462</v>
          </cell>
        </row>
      </sheetData>
      <sheetData sheetId="11857">
        <row r="2">
          <cell r="A2">
            <v>43462</v>
          </cell>
        </row>
      </sheetData>
      <sheetData sheetId="11858">
        <row r="2">
          <cell r="A2">
            <v>43462</v>
          </cell>
        </row>
      </sheetData>
      <sheetData sheetId="11859">
        <row r="2">
          <cell r="A2">
            <v>43462</v>
          </cell>
        </row>
      </sheetData>
      <sheetData sheetId="11860">
        <row r="2">
          <cell r="A2">
            <v>43462</v>
          </cell>
        </row>
      </sheetData>
      <sheetData sheetId="11861">
        <row r="2">
          <cell r="A2">
            <v>43462</v>
          </cell>
        </row>
      </sheetData>
      <sheetData sheetId="11862">
        <row r="2">
          <cell r="A2">
            <v>43462</v>
          </cell>
        </row>
      </sheetData>
      <sheetData sheetId="11863">
        <row r="2">
          <cell r="A2">
            <v>43462</v>
          </cell>
        </row>
      </sheetData>
      <sheetData sheetId="11864">
        <row r="2">
          <cell r="A2">
            <v>43462</v>
          </cell>
        </row>
      </sheetData>
      <sheetData sheetId="11865">
        <row r="2">
          <cell r="A2">
            <v>43462</v>
          </cell>
        </row>
      </sheetData>
      <sheetData sheetId="11866">
        <row r="2">
          <cell r="A2">
            <v>43462</v>
          </cell>
        </row>
      </sheetData>
      <sheetData sheetId="11867">
        <row r="2">
          <cell r="A2">
            <v>43462</v>
          </cell>
        </row>
      </sheetData>
      <sheetData sheetId="11868">
        <row r="2">
          <cell r="A2" t="str">
            <v>Complete</v>
          </cell>
        </row>
      </sheetData>
      <sheetData sheetId="11869">
        <row r="2">
          <cell r="A2">
            <v>43462</v>
          </cell>
        </row>
      </sheetData>
      <sheetData sheetId="11870">
        <row r="2">
          <cell r="A2" t="str">
            <v>Complete</v>
          </cell>
        </row>
      </sheetData>
      <sheetData sheetId="11871">
        <row r="2">
          <cell r="A2">
            <v>43462</v>
          </cell>
        </row>
      </sheetData>
      <sheetData sheetId="11872">
        <row r="2">
          <cell r="A2">
            <v>43462</v>
          </cell>
        </row>
      </sheetData>
      <sheetData sheetId="11873">
        <row r="2">
          <cell r="A2" t="str">
            <v>Complete</v>
          </cell>
        </row>
      </sheetData>
      <sheetData sheetId="11874">
        <row r="2">
          <cell r="A2" t="str">
            <v>Complete</v>
          </cell>
        </row>
      </sheetData>
      <sheetData sheetId="11875">
        <row r="2">
          <cell r="A2" t="str">
            <v>Complete</v>
          </cell>
        </row>
      </sheetData>
      <sheetData sheetId="11876">
        <row r="2">
          <cell r="A2" t="str">
            <v>Complete</v>
          </cell>
        </row>
      </sheetData>
      <sheetData sheetId="11877">
        <row r="2">
          <cell r="A2" t="str">
            <v>Complete</v>
          </cell>
        </row>
      </sheetData>
      <sheetData sheetId="11878">
        <row r="2">
          <cell r="A2" t="str">
            <v>Complete</v>
          </cell>
        </row>
      </sheetData>
      <sheetData sheetId="11879">
        <row r="2">
          <cell r="A2">
            <v>43462</v>
          </cell>
        </row>
      </sheetData>
      <sheetData sheetId="11880">
        <row r="2">
          <cell r="A2" t="str">
            <v>Complete</v>
          </cell>
        </row>
      </sheetData>
      <sheetData sheetId="11881">
        <row r="2">
          <cell r="A2">
            <v>43462</v>
          </cell>
        </row>
      </sheetData>
      <sheetData sheetId="11882">
        <row r="2">
          <cell r="A2" t="str">
            <v>Complete</v>
          </cell>
        </row>
      </sheetData>
      <sheetData sheetId="11883">
        <row r="2">
          <cell r="A2">
            <v>43462</v>
          </cell>
        </row>
      </sheetData>
      <sheetData sheetId="11884">
        <row r="2">
          <cell r="A2">
            <v>43462</v>
          </cell>
        </row>
      </sheetData>
      <sheetData sheetId="11885">
        <row r="2">
          <cell r="A2">
            <v>43462</v>
          </cell>
        </row>
      </sheetData>
      <sheetData sheetId="11886">
        <row r="2">
          <cell r="A2">
            <v>43462</v>
          </cell>
        </row>
      </sheetData>
      <sheetData sheetId="11887">
        <row r="2">
          <cell r="A2">
            <v>43462</v>
          </cell>
        </row>
      </sheetData>
      <sheetData sheetId="11888">
        <row r="2">
          <cell r="A2">
            <v>43462</v>
          </cell>
        </row>
      </sheetData>
      <sheetData sheetId="11889">
        <row r="2">
          <cell r="A2">
            <v>43462</v>
          </cell>
        </row>
      </sheetData>
      <sheetData sheetId="11890">
        <row r="2">
          <cell r="A2">
            <v>43462</v>
          </cell>
        </row>
      </sheetData>
      <sheetData sheetId="11891">
        <row r="2">
          <cell r="A2">
            <v>43462</v>
          </cell>
        </row>
      </sheetData>
      <sheetData sheetId="11892">
        <row r="2">
          <cell r="A2">
            <v>43462</v>
          </cell>
        </row>
      </sheetData>
      <sheetData sheetId="11893">
        <row r="2">
          <cell r="A2">
            <v>43462</v>
          </cell>
        </row>
      </sheetData>
      <sheetData sheetId="11894">
        <row r="2">
          <cell r="A2">
            <v>43462</v>
          </cell>
        </row>
      </sheetData>
      <sheetData sheetId="11895">
        <row r="2">
          <cell r="A2">
            <v>43462</v>
          </cell>
        </row>
      </sheetData>
      <sheetData sheetId="11896">
        <row r="2">
          <cell r="A2">
            <v>43462</v>
          </cell>
        </row>
      </sheetData>
      <sheetData sheetId="11897">
        <row r="2">
          <cell r="A2">
            <v>43462</v>
          </cell>
        </row>
      </sheetData>
      <sheetData sheetId="11898">
        <row r="2">
          <cell r="A2">
            <v>43462</v>
          </cell>
        </row>
      </sheetData>
      <sheetData sheetId="11899">
        <row r="2">
          <cell r="A2">
            <v>43462</v>
          </cell>
        </row>
      </sheetData>
      <sheetData sheetId="11900">
        <row r="2">
          <cell r="A2">
            <v>43462</v>
          </cell>
        </row>
      </sheetData>
      <sheetData sheetId="11901">
        <row r="2">
          <cell r="A2">
            <v>43462</v>
          </cell>
        </row>
      </sheetData>
      <sheetData sheetId="11902">
        <row r="2">
          <cell r="A2">
            <v>43462</v>
          </cell>
        </row>
      </sheetData>
      <sheetData sheetId="11903">
        <row r="2">
          <cell r="A2">
            <v>43462</v>
          </cell>
        </row>
      </sheetData>
      <sheetData sheetId="11904">
        <row r="2">
          <cell r="A2">
            <v>43462</v>
          </cell>
        </row>
      </sheetData>
      <sheetData sheetId="11905">
        <row r="2">
          <cell r="A2">
            <v>43462</v>
          </cell>
        </row>
      </sheetData>
      <sheetData sheetId="11906">
        <row r="2">
          <cell r="A2">
            <v>43462</v>
          </cell>
        </row>
      </sheetData>
      <sheetData sheetId="11907">
        <row r="2">
          <cell r="A2" t="str">
            <v>Complete</v>
          </cell>
        </row>
      </sheetData>
      <sheetData sheetId="11908">
        <row r="2">
          <cell r="A2">
            <v>43462</v>
          </cell>
        </row>
      </sheetData>
      <sheetData sheetId="11909">
        <row r="2">
          <cell r="A2" t="str">
            <v>Complete</v>
          </cell>
        </row>
      </sheetData>
      <sheetData sheetId="11910">
        <row r="2">
          <cell r="A2">
            <v>43462</v>
          </cell>
        </row>
      </sheetData>
      <sheetData sheetId="11911">
        <row r="2">
          <cell r="A2" t="str">
            <v>Complete</v>
          </cell>
        </row>
      </sheetData>
      <sheetData sheetId="11912">
        <row r="2">
          <cell r="A2" t="str">
            <v>Complete</v>
          </cell>
        </row>
      </sheetData>
      <sheetData sheetId="11913">
        <row r="2">
          <cell r="A2" t="str">
            <v>Complete</v>
          </cell>
        </row>
      </sheetData>
      <sheetData sheetId="11914">
        <row r="2">
          <cell r="A2" t="str">
            <v>Complete</v>
          </cell>
        </row>
      </sheetData>
      <sheetData sheetId="11915">
        <row r="2">
          <cell r="A2" t="str">
            <v>Complete</v>
          </cell>
        </row>
      </sheetData>
      <sheetData sheetId="11916">
        <row r="2">
          <cell r="A2" t="str">
            <v>Complete</v>
          </cell>
        </row>
      </sheetData>
      <sheetData sheetId="11917">
        <row r="2">
          <cell r="A2" t="str">
            <v>Complete</v>
          </cell>
        </row>
      </sheetData>
      <sheetData sheetId="11918">
        <row r="2">
          <cell r="A2" t="str">
            <v>Complete</v>
          </cell>
        </row>
      </sheetData>
      <sheetData sheetId="11919">
        <row r="2">
          <cell r="A2" t="str">
            <v>Complete</v>
          </cell>
        </row>
      </sheetData>
      <sheetData sheetId="11920">
        <row r="2">
          <cell r="A2" t="str">
            <v>Complete</v>
          </cell>
        </row>
      </sheetData>
      <sheetData sheetId="11921">
        <row r="2">
          <cell r="A2" t="str">
            <v>Complete</v>
          </cell>
        </row>
      </sheetData>
      <sheetData sheetId="11922">
        <row r="2">
          <cell r="A2">
            <v>43462</v>
          </cell>
        </row>
      </sheetData>
      <sheetData sheetId="11923">
        <row r="2">
          <cell r="A2" t="str">
            <v>Complete</v>
          </cell>
        </row>
      </sheetData>
      <sheetData sheetId="11924">
        <row r="2">
          <cell r="A2">
            <v>43462</v>
          </cell>
        </row>
      </sheetData>
      <sheetData sheetId="11925">
        <row r="2">
          <cell r="A2">
            <v>43462</v>
          </cell>
        </row>
      </sheetData>
      <sheetData sheetId="11926">
        <row r="2">
          <cell r="A2">
            <v>43462</v>
          </cell>
        </row>
      </sheetData>
      <sheetData sheetId="11927">
        <row r="2">
          <cell r="A2">
            <v>43462</v>
          </cell>
        </row>
      </sheetData>
      <sheetData sheetId="11928">
        <row r="2">
          <cell r="A2">
            <v>43462</v>
          </cell>
        </row>
      </sheetData>
      <sheetData sheetId="11929">
        <row r="2">
          <cell r="A2">
            <v>43462</v>
          </cell>
        </row>
      </sheetData>
      <sheetData sheetId="11930">
        <row r="2">
          <cell r="A2">
            <v>43462</v>
          </cell>
        </row>
      </sheetData>
      <sheetData sheetId="11931">
        <row r="2">
          <cell r="A2">
            <v>43462</v>
          </cell>
        </row>
      </sheetData>
      <sheetData sheetId="11932">
        <row r="2">
          <cell r="A2">
            <v>43462</v>
          </cell>
        </row>
      </sheetData>
      <sheetData sheetId="11933">
        <row r="2">
          <cell r="A2">
            <v>43462</v>
          </cell>
        </row>
      </sheetData>
      <sheetData sheetId="11934">
        <row r="2">
          <cell r="A2">
            <v>43462</v>
          </cell>
        </row>
      </sheetData>
      <sheetData sheetId="11935">
        <row r="2">
          <cell r="A2">
            <v>43462</v>
          </cell>
        </row>
      </sheetData>
      <sheetData sheetId="11936">
        <row r="2">
          <cell r="A2">
            <v>43462</v>
          </cell>
        </row>
      </sheetData>
      <sheetData sheetId="11937">
        <row r="2">
          <cell r="A2">
            <v>43462</v>
          </cell>
        </row>
      </sheetData>
      <sheetData sheetId="11938">
        <row r="2">
          <cell r="A2">
            <v>43462</v>
          </cell>
        </row>
      </sheetData>
      <sheetData sheetId="11939">
        <row r="2">
          <cell r="A2">
            <v>43462</v>
          </cell>
        </row>
      </sheetData>
      <sheetData sheetId="11940">
        <row r="2">
          <cell r="A2">
            <v>43462</v>
          </cell>
        </row>
      </sheetData>
      <sheetData sheetId="11941">
        <row r="2">
          <cell r="A2">
            <v>43462</v>
          </cell>
        </row>
      </sheetData>
      <sheetData sheetId="11942">
        <row r="2">
          <cell r="A2">
            <v>43462</v>
          </cell>
        </row>
      </sheetData>
      <sheetData sheetId="11943">
        <row r="2">
          <cell r="A2">
            <v>43462</v>
          </cell>
        </row>
      </sheetData>
      <sheetData sheetId="11944">
        <row r="2">
          <cell r="A2">
            <v>43462</v>
          </cell>
        </row>
      </sheetData>
      <sheetData sheetId="11945">
        <row r="2">
          <cell r="A2">
            <v>43462</v>
          </cell>
        </row>
      </sheetData>
      <sheetData sheetId="11946">
        <row r="2">
          <cell r="A2">
            <v>43462</v>
          </cell>
        </row>
      </sheetData>
      <sheetData sheetId="11947">
        <row r="2">
          <cell r="A2" t="str">
            <v>Complete</v>
          </cell>
        </row>
      </sheetData>
      <sheetData sheetId="11948">
        <row r="2">
          <cell r="A2">
            <v>43462</v>
          </cell>
        </row>
      </sheetData>
      <sheetData sheetId="11949">
        <row r="2">
          <cell r="A2" t="str">
            <v>Complete</v>
          </cell>
        </row>
      </sheetData>
      <sheetData sheetId="11950">
        <row r="2">
          <cell r="A2">
            <v>43462</v>
          </cell>
        </row>
      </sheetData>
      <sheetData sheetId="11951">
        <row r="2">
          <cell r="A2" t="str">
            <v>Complete</v>
          </cell>
        </row>
      </sheetData>
      <sheetData sheetId="11952">
        <row r="2">
          <cell r="A2" t="str">
            <v>Complete</v>
          </cell>
        </row>
      </sheetData>
      <sheetData sheetId="11953">
        <row r="2">
          <cell r="A2">
            <v>43462</v>
          </cell>
        </row>
      </sheetData>
      <sheetData sheetId="11954">
        <row r="2">
          <cell r="A2" t="str">
            <v>Complete</v>
          </cell>
        </row>
      </sheetData>
      <sheetData sheetId="11955">
        <row r="2">
          <cell r="A2" t="str">
            <v>Complete</v>
          </cell>
        </row>
      </sheetData>
      <sheetData sheetId="11956">
        <row r="2">
          <cell r="A2" t="str">
            <v>Complete</v>
          </cell>
        </row>
      </sheetData>
      <sheetData sheetId="11957">
        <row r="2">
          <cell r="A2" t="str">
            <v>Complete</v>
          </cell>
        </row>
      </sheetData>
      <sheetData sheetId="11958">
        <row r="2">
          <cell r="A2" t="str">
            <v>Complete</v>
          </cell>
        </row>
      </sheetData>
      <sheetData sheetId="11959">
        <row r="2">
          <cell r="A2" t="str">
            <v>Complete</v>
          </cell>
        </row>
      </sheetData>
      <sheetData sheetId="11960">
        <row r="2">
          <cell r="A2" t="str">
            <v>Complete</v>
          </cell>
        </row>
      </sheetData>
      <sheetData sheetId="11961">
        <row r="2">
          <cell r="A2" t="str">
            <v>Complete</v>
          </cell>
        </row>
      </sheetData>
      <sheetData sheetId="11962">
        <row r="2">
          <cell r="A2" t="str">
            <v>Complete</v>
          </cell>
        </row>
      </sheetData>
      <sheetData sheetId="11963">
        <row r="2">
          <cell r="A2" t="str">
            <v>Complete</v>
          </cell>
        </row>
      </sheetData>
      <sheetData sheetId="11964">
        <row r="2">
          <cell r="A2" t="str">
            <v>Complete</v>
          </cell>
        </row>
      </sheetData>
      <sheetData sheetId="11965">
        <row r="2">
          <cell r="A2" t="str">
            <v>Complete</v>
          </cell>
        </row>
      </sheetData>
      <sheetData sheetId="11966">
        <row r="2">
          <cell r="A2" t="str">
            <v>Complete</v>
          </cell>
        </row>
      </sheetData>
      <sheetData sheetId="11967">
        <row r="2">
          <cell r="A2" t="str">
            <v>Complete</v>
          </cell>
        </row>
      </sheetData>
      <sheetData sheetId="11968">
        <row r="2">
          <cell r="A2" t="str">
            <v>Complete</v>
          </cell>
        </row>
      </sheetData>
      <sheetData sheetId="11969">
        <row r="2">
          <cell r="A2" t="str">
            <v>Complete</v>
          </cell>
        </row>
      </sheetData>
      <sheetData sheetId="11970">
        <row r="2">
          <cell r="A2" t="str">
            <v>Complete</v>
          </cell>
        </row>
      </sheetData>
      <sheetData sheetId="11971">
        <row r="2">
          <cell r="A2" t="str">
            <v>Complete</v>
          </cell>
        </row>
      </sheetData>
      <sheetData sheetId="11972">
        <row r="2">
          <cell r="A2">
            <v>43462</v>
          </cell>
        </row>
      </sheetData>
      <sheetData sheetId="11973">
        <row r="2">
          <cell r="A2">
            <v>43462</v>
          </cell>
        </row>
      </sheetData>
      <sheetData sheetId="11974">
        <row r="2">
          <cell r="A2">
            <v>43462</v>
          </cell>
        </row>
      </sheetData>
      <sheetData sheetId="11975">
        <row r="2">
          <cell r="A2">
            <v>43462</v>
          </cell>
        </row>
      </sheetData>
      <sheetData sheetId="11976">
        <row r="2">
          <cell r="A2">
            <v>43462</v>
          </cell>
        </row>
      </sheetData>
      <sheetData sheetId="11977">
        <row r="2">
          <cell r="A2">
            <v>43462</v>
          </cell>
        </row>
      </sheetData>
      <sheetData sheetId="11978">
        <row r="2">
          <cell r="A2">
            <v>43462</v>
          </cell>
        </row>
      </sheetData>
      <sheetData sheetId="11979">
        <row r="2">
          <cell r="A2">
            <v>43462</v>
          </cell>
        </row>
      </sheetData>
      <sheetData sheetId="11980">
        <row r="2">
          <cell r="A2">
            <v>43462</v>
          </cell>
        </row>
      </sheetData>
      <sheetData sheetId="11981">
        <row r="2">
          <cell r="A2">
            <v>43462</v>
          </cell>
        </row>
      </sheetData>
      <sheetData sheetId="11982">
        <row r="2">
          <cell r="A2">
            <v>43462</v>
          </cell>
        </row>
      </sheetData>
      <sheetData sheetId="11983">
        <row r="2">
          <cell r="A2">
            <v>43462</v>
          </cell>
        </row>
      </sheetData>
      <sheetData sheetId="11984">
        <row r="2">
          <cell r="A2">
            <v>43462</v>
          </cell>
        </row>
      </sheetData>
      <sheetData sheetId="11985">
        <row r="2">
          <cell r="A2">
            <v>43462</v>
          </cell>
        </row>
      </sheetData>
      <sheetData sheetId="11986">
        <row r="2">
          <cell r="A2">
            <v>43462</v>
          </cell>
        </row>
      </sheetData>
      <sheetData sheetId="11987">
        <row r="2">
          <cell r="A2">
            <v>43462</v>
          </cell>
        </row>
      </sheetData>
      <sheetData sheetId="11988">
        <row r="2">
          <cell r="A2">
            <v>43462</v>
          </cell>
        </row>
      </sheetData>
      <sheetData sheetId="11989">
        <row r="2">
          <cell r="A2">
            <v>43462</v>
          </cell>
        </row>
      </sheetData>
      <sheetData sheetId="11990">
        <row r="2">
          <cell r="A2">
            <v>43462</v>
          </cell>
        </row>
      </sheetData>
      <sheetData sheetId="11991">
        <row r="2">
          <cell r="A2">
            <v>43462</v>
          </cell>
        </row>
      </sheetData>
      <sheetData sheetId="11992">
        <row r="2">
          <cell r="A2">
            <v>43462</v>
          </cell>
        </row>
      </sheetData>
      <sheetData sheetId="11993">
        <row r="2">
          <cell r="A2">
            <v>43462</v>
          </cell>
        </row>
      </sheetData>
      <sheetData sheetId="11994">
        <row r="2">
          <cell r="A2" t="str">
            <v>Complete</v>
          </cell>
        </row>
      </sheetData>
      <sheetData sheetId="11995">
        <row r="2">
          <cell r="A2" t="str">
            <v>Complete</v>
          </cell>
        </row>
      </sheetData>
      <sheetData sheetId="11996">
        <row r="2">
          <cell r="A2" t="str">
            <v>Complete</v>
          </cell>
        </row>
      </sheetData>
      <sheetData sheetId="11997">
        <row r="2">
          <cell r="A2" t="str">
            <v>Complete</v>
          </cell>
        </row>
      </sheetData>
      <sheetData sheetId="11998">
        <row r="2">
          <cell r="A2" t="str">
            <v>Complete</v>
          </cell>
        </row>
      </sheetData>
      <sheetData sheetId="11999">
        <row r="2">
          <cell r="A2" t="str">
            <v>Complete</v>
          </cell>
        </row>
      </sheetData>
      <sheetData sheetId="12000">
        <row r="2">
          <cell r="A2" t="str">
            <v>Complete</v>
          </cell>
        </row>
      </sheetData>
      <sheetData sheetId="12001">
        <row r="2">
          <cell r="A2" t="str">
            <v>Complete</v>
          </cell>
        </row>
      </sheetData>
      <sheetData sheetId="12002">
        <row r="2">
          <cell r="A2" t="str">
            <v>Complete</v>
          </cell>
        </row>
      </sheetData>
      <sheetData sheetId="12003">
        <row r="2">
          <cell r="A2" t="str">
            <v>Complete</v>
          </cell>
        </row>
      </sheetData>
      <sheetData sheetId="12004">
        <row r="2">
          <cell r="A2" t="str">
            <v>Complete</v>
          </cell>
        </row>
      </sheetData>
      <sheetData sheetId="12005">
        <row r="2">
          <cell r="A2" t="str">
            <v>Complete</v>
          </cell>
        </row>
      </sheetData>
      <sheetData sheetId="12006">
        <row r="2">
          <cell r="A2" t="str">
            <v>Complete</v>
          </cell>
        </row>
      </sheetData>
      <sheetData sheetId="12007">
        <row r="2">
          <cell r="A2" t="str">
            <v>Complete</v>
          </cell>
        </row>
      </sheetData>
      <sheetData sheetId="12008">
        <row r="2">
          <cell r="A2" t="str">
            <v>Complete</v>
          </cell>
        </row>
      </sheetData>
      <sheetData sheetId="12009">
        <row r="2">
          <cell r="A2" t="str">
            <v>Complete</v>
          </cell>
        </row>
      </sheetData>
      <sheetData sheetId="12010">
        <row r="2">
          <cell r="A2" t="str">
            <v>Complete</v>
          </cell>
        </row>
      </sheetData>
      <sheetData sheetId="12011">
        <row r="2">
          <cell r="A2" t="str">
            <v>Complete</v>
          </cell>
        </row>
      </sheetData>
      <sheetData sheetId="12012">
        <row r="2">
          <cell r="A2" t="str">
            <v>Complete</v>
          </cell>
        </row>
      </sheetData>
      <sheetData sheetId="12013">
        <row r="2">
          <cell r="A2">
            <v>43462</v>
          </cell>
        </row>
      </sheetData>
      <sheetData sheetId="12014">
        <row r="2">
          <cell r="A2">
            <v>43462</v>
          </cell>
        </row>
      </sheetData>
      <sheetData sheetId="12015">
        <row r="2">
          <cell r="A2">
            <v>43462</v>
          </cell>
        </row>
      </sheetData>
      <sheetData sheetId="12016">
        <row r="2">
          <cell r="A2">
            <v>43462</v>
          </cell>
        </row>
      </sheetData>
      <sheetData sheetId="12017">
        <row r="2">
          <cell r="A2">
            <v>43462</v>
          </cell>
        </row>
      </sheetData>
      <sheetData sheetId="12018">
        <row r="2">
          <cell r="A2">
            <v>43462</v>
          </cell>
        </row>
      </sheetData>
      <sheetData sheetId="12019">
        <row r="2">
          <cell r="A2">
            <v>43462</v>
          </cell>
        </row>
      </sheetData>
      <sheetData sheetId="12020">
        <row r="2">
          <cell r="A2">
            <v>43462</v>
          </cell>
        </row>
      </sheetData>
      <sheetData sheetId="12021">
        <row r="2">
          <cell r="A2">
            <v>43462</v>
          </cell>
        </row>
      </sheetData>
      <sheetData sheetId="12022">
        <row r="2">
          <cell r="A2">
            <v>43462</v>
          </cell>
        </row>
      </sheetData>
      <sheetData sheetId="12023">
        <row r="2">
          <cell r="A2">
            <v>43462</v>
          </cell>
        </row>
      </sheetData>
      <sheetData sheetId="12024">
        <row r="2">
          <cell r="A2">
            <v>43462</v>
          </cell>
        </row>
      </sheetData>
      <sheetData sheetId="12025">
        <row r="2">
          <cell r="A2">
            <v>43462</v>
          </cell>
        </row>
      </sheetData>
      <sheetData sheetId="12026">
        <row r="2">
          <cell r="A2">
            <v>43462</v>
          </cell>
        </row>
      </sheetData>
      <sheetData sheetId="12027">
        <row r="2">
          <cell r="A2">
            <v>43462</v>
          </cell>
        </row>
      </sheetData>
      <sheetData sheetId="12028">
        <row r="2">
          <cell r="A2">
            <v>43462</v>
          </cell>
        </row>
      </sheetData>
      <sheetData sheetId="12029">
        <row r="2">
          <cell r="A2">
            <v>43462</v>
          </cell>
        </row>
      </sheetData>
      <sheetData sheetId="12030">
        <row r="2">
          <cell r="A2">
            <v>43462</v>
          </cell>
        </row>
      </sheetData>
      <sheetData sheetId="12031">
        <row r="2">
          <cell r="A2">
            <v>43462</v>
          </cell>
        </row>
      </sheetData>
      <sheetData sheetId="12032">
        <row r="2">
          <cell r="A2">
            <v>43462</v>
          </cell>
        </row>
      </sheetData>
      <sheetData sheetId="12033">
        <row r="2">
          <cell r="A2">
            <v>43462</v>
          </cell>
        </row>
      </sheetData>
      <sheetData sheetId="12034">
        <row r="2">
          <cell r="A2">
            <v>43462</v>
          </cell>
        </row>
      </sheetData>
      <sheetData sheetId="12035">
        <row r="2">
          <cell r="A2">
            <v>43462</v>
          </cell>
        </row>
      </sheetData>
      <sheetData sheetId="12036">
        <row r="2">
          <cell r="A2">
            <v>43462</v>
          </cell>
        </row>
      </sheetData>
      <sheetData sheetId="12037">
        <row r="2">
          <cell r="A2" t="str">
            <v>Complete</v>
          </cell>
        </row>
      </sheetData>
      <sheetData sheetId="12038">
        <row r="2">
          <cell r="A2" t="str">
            <v>Complete</v>
          </cell>
        </row>
      </sheetData>
      <sheetData sheetId="12039">
        <row r="2">
          <cell r="A2" t="str">
            <v>Complete</v>
          </cell>
        </row>
      </sheetData>
      <sheetData sheetId="12040">
        <row r="2">
          <cell r="A2" t="str">
            <v>Complete</v>
          </cell>
        </row>
      </sheetData>
      <sheetData sheetId="12041">
        <row r="2">
          <cell r="A2" t="str">
            <v>Complete</v>
          </cell>
        </row>
      </sheetData>
      <sheetData sheetId="12042">
        <row r="2">
          <cell r="A2" t="str">
            <v>Complete</v>
          </cell>
        </row>
      </sheetData>
      <sheetData sheetId="12043">
        <row r="2">
          <cell r="A2" t="str">
            <v>Complete</v>
          </cell>
        </row>
      </sheetData>
      <sheetData sheetId="12044">
        <row r="2">
          <cell r="A2" t="str">
            <v>Complete</v>
          </cell>
        </row>
      </sheetData>
      <sheetData sheetId="12045">
        <row r="2">
          <cell r="A2" t="str">
            <v>Complete</v>
          </cell>
        </row>
      </sheetData>
      <sheetData sheetId="12046">
        <row r="2">
          <cell r="A2" t="str">
            <v>Complete</v>
          </cell>
        </row>
      </sheetData>
      <sheetData sheetId="12047">
        <row r="2">
          <cell r="A2" t="str">
            <v>Complete</v>
          </cell>
        </row>
      </sheetData>
      <sheetData sheetId="12048">
        <row r="2">
          <cell r="A2" t="str">
            <v>Complete</v>
          </cell>
        </row>
      </sheetData>
      <sheetData sheetId="12049">
        <row r="2">
          <cell r="A2" t="str">
            <v>Complete</v>
          </cell>
        </row>
      </sheetData>
      <sheetData sheetId="12050">
        <row r="2">
          <cell r="A2" t="str">
            <v>Complete</v>
          </cell>
        </row>
      </sheetData>
      <sheetData sheetId="12051">
        <row r="2">
          <cell r="A2" t="str">
            <v>Complete</v>
          </cell>
        </row>
      </sheetData>
      <sheetData sheetId="12052">
        <row r="2">
          <cell r="A2" t="str">
            <v>Complete</v>
          </cell>
        </row>
      </sheetData>
      <sheetData sheetId="12053">
        <row r="2">
          <cell r="A2" t="str">
            <v>Complete</v>
          </cell>
        </row>
      </sheetData>
      <sheetData sheetId="12054">
        <row r="2">
          <cell r="A2" t="str">
            <v>Complete</v>
          </cell>
        </row>
      </sheetData>
      <sheetData sheetId="12055">
        <row r="2">
          <cell r="A2" t="str">
            <v>Complete</v>
          </cell>
        </row>
      </sheetData>
      <sheetData sheetId="12056">
        <row r="2">
          <cell r="A2" t="str">
            <v>Complete</v>
          </cell>
        </row>
      </sheetData>
      <sheetData sheetId="12057">
        <row r="2">
          <cell r="A2">
            <v>43462</v>
          </cell>
        </row>
      </sheetData>
      <sheetData sheetId="12058">
        <row r="2">
          <cell r="A2">
            <v>43462</v>
          </cell>
        </row>
      </sheetData>
      <sheetData sheetId="12059">
        <row r="2">
          <cell r="A2">
            <v>43462</v>
          </cell>
        </row>
      </sheetData>
      <sheetData sheetId="12060">
        <row r="2">
          <cell r="A2">
            <v>43462</v>
          </cell>
        </row>
      </sheetData>
      <sheetData sheetId="12061">
        <row r="2">
          <cell r="A2">
            <v>43462</v>
          </cell>
        </row>
      </sheetData>
      <sheetData sheetId="12062">
        <row r="2">
          <cell r="A2">
            <v>43462</v>
          </cell>
        </row>
      </sheetData>
      <sheetData sheetId="12063">
        <row r="2">
          <cell r="A2">
            <v>43462</v>
          </cell>
        </row>
      </sheetData>
      <sheetData sheetId="12064">
        <row r="2">
          <cell r="A2">
            <v>43462</v>
          </cell>
        </row>
      </sheetData>
      <sheetData sheetId="12065">
        <row r="2">
          <cell r="A2">
            <v>43462</v>
          </cell>
        </row>
      </sheetData>
      <sheetData sheetId="12066">
        <row r="2">
          <cell r="A2">
            <v>43462</v>
          </cell>
        </row>
      </sheetData>
      <sheetData sheetId="12067">
        <row r="2">
          <cell r="A2">
            <v>43462</v>
          </cell>
        </row>
      </sheetData>
      <sheetData sheetId="12068">
        <row r="2">
          <cell r="A2">
            <v>43462</v>
          </cell>
        </row>
      </sheetData>
      <sheetData sheetId="12069">
        <row r="2">
          <cell r="A2">
            <v>43462</v>
          </cell>
        </row>
      </sheetData>
      <sheetData sheetId="12070">
        <row r="2">
          <cell r="A2">
            <v>43462</v>
          </cell>
        </row>
      </sheetData>
      <sheetData sheetId="12071">
        <row r="2">
          <cell r="A2">
            <v>43462</v>
          </cell>
        </row>
      </sheetData>
      <sheetData sheetId="12072">
        <row r="2">
          <cell r="A2">
            <v>43462</v>
          </cell>
        </row>
      </sheetData>
      <sheetData sheetId="12073">
        <row r="2">
          <cell r="A2">
            <v>43462</v>
          </cell>
        </row>
      </sheetData>
      <sheetData sheetId="12074">
        <row r="2">
          <cell r="A2">
            <v>43462</v>
          </cell>
        </row>
      </sheetData>
      <sheetData sheetId="12075">
        <row r="2">
          <cell r="A2">
            <v>43462</v>
          </cell>
        </row>
      </sheetData>
      <sheetData sheetId="12076">
        <row r="2">
          <cell r="A2">
            <v>43462</v>
          </cell>
        </row>
      </sheetData>
      <sheetData sheetId="12077">
        <row r="2">
          <cell r="A2">
            <v>43462</v>
          </cell>
        </row>
      </sheetData>
      <sheetData sheetId="12078">
        <row r="2">
          <cell r="A2">
            <v>43462</v>
          </cell>
        </row>
      </sheetData>
      <sheetData sheetId="12079">
        <row r="2">
          <cell r="A2" t="str">
            <v>Complete</v>
          </cell>
        </row>
      </sheetData>
      <sheetData sheetId="12080">
        <row r="2">
          <cell r="A2" t="str">
            <v>Complete</v>
          </cell>
        </row>
      </sheetData>
      <sheetData sheetId="12081">
        <row r="2">
          <cell r="A2" t="str">
            <v>Complete</v>
          </cell>
        </row>
      </sheetData>
      <sheetData sheetId="12082">
        <row r="2">
          <cell r="A2" t="str">
            <v>Complete</v>
          </cell>
        </row>
      </sheetData>
      <sheetData sheetId="12083">
        <row r="2">
          <cell r="A2" t="str">
            <v>Complete</v>
          </cell>
        </row>
      </sheetData>
      <sheetData sheetId="12084">
        <row r="2">
          <cell r="A2" t="str">
            <v>Complete</v>
          </cell>
        </row>
      </sheetData>
      <sheetData sheetId="12085">
        <row r="2">
          <cell r="A2" t="str">
            <v>Complete</v>
          </cell>
        </row>
      </sheetData>
      <sheetData sheetId="12086">
        <row r="2">
          <cell r="A2" t="str">
            <v>Complete</v>
          </cell>
        </row>
      </sheetData>
      <sheetData sheetId="12087">
        <row r="2">
          <cell r="A2" t="str">
            <v>Complete</v>
          </cell>
        </row>
      </sheetData>
      <sheetData sheetId="12088">
        <row r="2">
          <cell r="A2" t="str">
            <v>Complete</v>
          </cell>
        </row>
      </sheetData>
      <sheetData sheetId="12089">
        <row r="2">
          <cell r="A2" t="str">
            <v>Complete</v>
          </cell>
        </row>
      </sheetData>
      <sheetData sheetId="12090">
        <row r="2">
          <cell r="A2" t="str">
            <v>Complete</v>
          </cell>
        </row>
      </sheetData>
      <sheetData sheetId="12091">
        <row r="2">
          <cell r="A2" t="str">
            <v>Complete</v>
          </cell>
        </row>
      </sheetData>
      <sheetData sheetId="12092">
        <row r="2">
          <cell r="A2" t="str">
            <v>Complete</v>
          </cell>
        </row>
      </sheetData>
      <sheetData sheetId="12093">
        <row r="2">
          <cell r="A2" t="str">
            <v>Complete</v>
          </cell>
        </row>
      </sheetData>
      <sheetData sheetId="12094">
        <row r="2">
          <cell r="A2" t="str">
            <v>Complete</v>
          </cell>
        </row>
      </sheetData>
      <sheetData sheetId="12095">
        <row r="2">
          <cell r="A2" t="str">
            <v>Complete</v>
          </cell>
        </row>
      </sheetData>
      <sheetData sheetId="12096">
        <row r="2">
          <cell r="A2" t="str">
            <v>Complete</v>
          </cell>
        </row>
      </sheetData>
      <sheetData sheetId="12097">
        <row r="2">
          <cell r="A2" t="str">
            <v>Complete</v>
          </cell>
        </row>
      </sheetData>
      <sheetData sheetId="12098">
        <row r="2">
          <cell r="A2" t="str">
            <v>Complete</v>
          </cell>
        </row>
      </sheetData>
      <sheetData sheetId="12099">
        <row r="2">
          <cell r="A2">
            <v>43462</v>
          </cell>
        </row>
      </sheetData>
      <sheetData sheetId="12100">
        <row r="2">
          <cell r="A2">
            <v>43462</v>
          </cell>
        </row>
      </sheetData>
      <sheetData sheetId="12101">
        <row r="2">
          <cell r="A2">
            <v>43462</v>
          </cell>
        </row>
      </sheetData>
      <sheetData sheetId="12102">
        <row r="2">
          <cell r="A2">
            <v>43462</v>
          </cell>
        </row>
      </sheetData>
      <sheetData sheetId="12103">
        <row r="2">
          <cell r="A2">
            <v>43462</v>
          </cell>
        </row>
      </sheetData>
      <sheetData sheetId="12104">
        <row r="2">
          <cell r="A2">
            <v>43462</v>
          </cell>
        </row>
      </sheetData>
      <sheetData sheetId="12105">
        <row r="2">
          <cell r="A2">
            <v>43462</v>
          </cell>
        </row>
      </sheetData>
      <sheetData sheetId="12106">
        <row r="2">
          <cell r="A2">
            <v>43462</v>
          </cell>
        </row>
      </sheetData>
      <sheetData sheetId="12107">
        <row r="2">
          <cell r="A2">
            <v>43462</v>
          </cell>
        </row>
      </sheetData>
      <sheetData sheetId="12108">
        <row r="2">
          <cell r="A2">
            <v>43462</v>
          </cell>
        </row>
      </sheetData>
      <sheetData sheetId="12109">
        <row r="2">
          <cell r="A2">
            <v>43462</v>
          </cell>
        </row>
      </sheetData>
      <sheetData sheetId="12110">
        <row r="2">
          <cell r="A2">
            <v>43462</v>
          </cell>
        </row>
      </sheetData>
      <sheetData sheetId="12111">
        <row r="2">
          <cell r="A2">
            <v>43462</v>
          </cell>
        </row>
      </sheetData>
      <sheetData sheetId="12112">
        <row r="2">
          <cell r="A2">
            <v>43462</v>
          </cell>
        </row>
      </sheetData>
      <sheetData sheetId="12113">
        <row r="2">
          <cell r="A2">
            <v>43462</v>
          </cell>
        </row>
      </sheetData>
      <sheetData sheetId="12114">
        <row r="2">
          <cell r="A2">
            <v>43462</v>
          </cell>
        </row>
      </sheetData>
      <sheetData sheetId="12115">
        <row r="2">
          <cell r="A2">
            <v>43462</v>
          </cell>
        </row>
      </sheetData>
      <sheetData sheetId="12116">
        <row r="2">
          <cell r="A2">
            <v>43462</v>
          </cell>
        </row>
      </sheetData>
      <sheetData sheetId="12117">
        <row r="2">
          <cell r="A2">
            <v>43462</v>
          </cell>
        </row>
      </sheetData>
      <sheetData sheetId="12118">
        <row r="2">
          <cell r="A2">
            <v>43462</v>
          </cell>
        </row>
      </sheetData>
      <sheetData sheetId="12119">
        <row r="2">
          <cell r="A2">
            <v>43462</v>
          </cell>
        </row>
      </sheetData>
      <sheetData sheetId="12120">
        <row r="2">
          <cell r="A2">
            <v>43462</v>
          </cell>
        </row>
      </sheetData>
      <sheetData sheetId="12121">
        <row r="2">
          <cell r="A2" t="str">
            <v>Complete</v>
          </cell>
        </row>
      </sheetData>
      <sheetData sheetId="12122">
        <row r="2">
          <cell r="A2" t="str">
            <v>Complete</v>
          </cell>
        </row>
      </sheetData>
      <sheetData sheetId="12123">
        <row r="2">
          <cell r="A2" t="str">
            <v>Complete</v>
          </cell>
        </row>
      </sheetData>
      <sheetData sheetId="12124">
        <row r="2">
          <cell r="A2" t="str">
            <v>Complete</v>
          </cell>
        </row>
      </sheetData>
      <sheetData sheetId="12125">
        <row r="2">
          <cell r="A2" t="str">
            <v>Complete</v>
          </cell>
        </row>
      </sheetData>
      <sheetData sheetId="12126">
        <row r="2">
          <cell r="A2" t="str">
            <v>Complete</v>
          </cell>
        </row>
      </sheetData>
      <sheetData sheetId="12127">
        <row r="2">
          <cell r="A2" t="str">
            <v>Complete</v>
          </cell>
        </row>
      </sheetData>
      <sheetData sheetId="12128">
        <row r="2">
          <cell r="A2" t="str">
            <v>Complete</v>
          </cell>
        </row>
      </sheetData>
      <sheetData sheetId="12129">
        <row r="2">
          <cell r="A2" t="str">
            <v>Complete</v>
          </cell>
        </row>
      </sheetData>
      <sheetData sheetId="12130">
        <row r="2">
          <cell r="A2" t="str">
            <v>Complete</v>
          </cell>
        </row>
      </sheetData>
      <sheetData sheetId="12131">
        <row r="2">
          <cell r="A2" t="str">
            <v>Complete</v>
          </cell>
        </row>
      </sheetData>
      <sheetData sheetId="12132">
        <row r="2">
          <cell r="A2" t="str">
            <v>Complete</v>
          </cell>
        </row>
      </sheetData>
      <sheetData sheetId="12133">
        <row r="2">
          <cell r="A2" t="str">
            <v>Complete</v>
          </cell>
        </row>
      </sheetData>
      <sheetData sheetId="12134">
        <row r="2">
          <cell r="A2" t="str">
            <v>Complete</v>
          </cell>
        </row>
      </sheetData>
      <sheetData sheetId="12135">
        <row r="2">
          <cell r="A2" t="str">
            <v>Complete</v>
          </cell>
        </row>
      </sheetData>
      <sheetData sheetId="12136">
        <row r="2">
          <cell r="A2" t="str">
            <v>Complete</v>
          </cell>
        </row>
      </sheetData>
      <sheetData sheetId="12137">
        <row r="2">
          <cell r="A2" t="str">
            <v>Complete</v>
          </cell>
        </row>
      </sheetData>
      <sheetData sheetId="12138">
        <row r="2">
          <cell r="A2" t="str">
            <v>Complete</v>
          </cell>
        </row>
      </sheetData>
      <sheetData sheetId="12139">
        <row r="2">
          <cell r="A2" t="str">
            <v>Complete</v>
          </cell>
        </row>
      </sheetData>
      <sheetData sheetId="12140">
        <row r="2">
          <cell r="A2" t="str">
            <v>Complete</v>
          </cell>
        </row>
      </sheetData>
      <sheetData sheetId="12141">
        <row r="2">
          <cell r="A2">
            <v>43462</v>
          </cell>
        </row>
      </sheetData>
      <sheetData sheetId="12142">
        <row r="2">
          <cell r="A2">
            <v>43462</v>
          </cell>
        </row>
      </sheetData>
      <sheetData sheetId="12143">
        <row r="2">
          <cell r="A2">
            <v>43462</v>
          </cell>
        </row>
      </sheetData>
      <sheetData sheetId="12144">
        <row r="2">
          <cell r="A2">
            <v>43462</v>
          </cell>
        </row>
      </sheetData>
      <sheetData sheetId="12145">
        <row r="2">
          <cell r="A2">
            <v>43462</v>
          </cell>
        </row>
      </sheetData>
      <sheetData sheetId="12146">
        <row r="2">
          <cell r="A2">
            <v>43462</v>
          </cell>
        </row>
      </sheetData>
      <sheetData sheetId="12147">
        <row r="2">
          <cell r="A2">
            <v>43462</v>
          </cell>
        </row>
      </sheetData>
      <sheetData sheetId="12148">
        <row r="2">
          <cell r="A2">
            <v>43462</v>
          </cell>
        </row>
      </sheetData>
      <sheetData sheetId="12149">
        <row r="2">
          <cell r="A2">
            <v>43462</v>
          </cell>
        </row>
      </sheetData>
      <sheetData sheetId="12150">
        <row r="2">
          <cell r="A2">
            <v>43462</v>
          </cell>
        </row>
      </sheetData>
      <sheetData sheetId="12151">
        <row r="2">
          <cell r="A2">
            <v>43462</v>
          </cell>
        </row>
      </sheetData>
      <sheetData sheetId="12152">
        <row r="2">
          <cell r="A2">
            <v>43462</v>
          </cell>
        </row>
      </sheetData>
      <sheetData sheetId="12153">
        <row r="2">
          <cell r="A2">
            <v>43462</v>
          </cell>
        </row>
      </sheetData>
      <sheetData sheetId="12154">
        <row r="2">
          <cell r="A2">
            <v>43462</v>
          </cell>
        </row>
      </sheetData>
      <sheetData sheetId="12155">
        <row r="2">
          <cell r="A2">
            <v>43462</v>
          </cell>
        </row>
      </sheetData>
      <sheetData sheetId="12156">
        <row r="2">
          <cell r="A2">
            <v>43462</v>
          </cell>
        </row>
      </sheetData>
      <sheetData sheetId="12157">
        <row r="2">
          <cell r="A2">
            <v>43462</v>
          </cell>
        </row>
      </sheetData>
      <sheetData sheetId="12158">
        <row r="2">
          <cell r="A2">
            <v>43462</v>
          </cell>
        </row>
      </sheetData>
      <sheetData sheetId="12159">
        <row r="2">
          <cell r="A2">
            <v>43462</v>
          </cell>
        </row>
      </sheetData>
      <sheetData sheetId="12160">
        <row r="2">
          <cell r="A2">
            <v>43462</v>
          </cell>
        </row>
      </sheetData>
      <sheetData sheetId="12161">
        <row r="2">
          <cell r="A2">
            <v>43462</v>
          </cell>
        </row>
      </sheetData>
      <sheetData sheetId="12162">
        <row r="2">
          <cell r="A2">
            <v>43462</v>
          </cell>
        </row>
      </sheetData>
      <sheetData sheetId="12163">
        <row r="2">
          <cell r="A2" t="str">
            <v>Complete</v>
          </cell>
        </row>
      </sheetData>
      <sheetData sheetId="12164">
        <row r="2">
          <cell r="A2" t="str">
            <v>Complete</v>
          </cell>
        </row>
      </sheetData>
      <sheetData sheetId="12165">
        <row r="2">
          <cell r="A2" t="str">
            <v>Complete</v>
          </cell>
        </row>
      </sheetData>
      <sheetData sheetId="12166">
        <row r="2">
          <cell r="A2" t="str">
            <v>Complete</v>
          </cell>
        </row>
      </sheetData>
      <sheetData sheetId="12167">
        <row r="2">
          <cell r="A2" t="str">
            <v>Complete</v>
          </cell>
        </row>
      </sheetData>
      <sheetData sheetId="12168">
        <row r="2">
          <cell r="A2" t="str">
            <v>Complete</v>
          </cell>
        </row>
      </sheetData>
      <sheetData sheetId="12169">
        <row r="2">
          <cell r="A2" t="str">
            <v>Complete</v>
          </cell>
        </row>
      </sheetData>
      <sheetData sheetId="12170">
        <row r="2">
          <cell r="A2" t="str">
            <v>Complete</v>
          </cell>
        </row>
      </sheetData>
      <sheetData sheetId="12171">
        <row r="2">
          <cell r="A2" t="str">
            <v>Complete</v>
          </cell>
        </row>
      </sheetData>
      <sheetData sheetId="12172">
        <row r="2">
          <cell r="A2" t="str">
            <v>Complete</v>
          </cell>
        </row>
      </sheetData>
      <sheetData sheetId="12173">
        <row r="2">
          <cell r="A2" t="str">
            <v>Complete</v>
          </cell>
        </row>
      </sheetData>
      <sheetData sheetId="12174">
        <row r="2">
          <cell r="A2" t="str">
            <v>Complete</v>
          </cell>
        </row>
      </sheetData>
      <sheetData sheetId="12175">
        <row r="2">
          <cell r="A2" t="str">
            <v>Complete</v>
          </cell>
        </row>
      </sheetData>
      <sheetData sheetId="12176">
        <row r="2">
          <cell r="A2" t="str">
            <v>Complete</v>
          </cell>
        </row>
      </sheetData>
      <sheetData sheetId="12177">
        <row r="2">
          <cell r="A2" t="str">
            <v>Complete</v>
          </cell>
        </row>
      </sheetData>
      <sheetData sheetId="12178">
        <row r="2">
          <cell r="A2" t="str">
            <v>Complete</v>
          </cell>
        </row>
      </sheetData>
      <sheetData sheetId="12179">
        <row r="2">
          <cell r="A2" t="str">
            <v>Complete</v>
          </cell>
        </row>
      </sheetData>
      <sheetData sheetId="12180">
        <row r="2">
          <cell r="A2" t="str">
            <v>Complete</v>
          </cell>
        </row>
      </sheetData>
      <sheetData sheetId="12181">
        <row r="2">
          <cell r="A2" t="str">
            <v>Complete</v>
          </cell>
        </row>
      </sheetData>
      <sheetData sheetId="12182">
        <row r="2">
          <cell r="A2" t="str">
            <v>Complete</v>
          </cell>
        </row>
      </sheetData>
      <sheetData sheetId="12183">
        <row r="2">
          <cell r="A2">
            <v>43462</v>
          </cell>
        </row>
      </sheetData>
      <sheetData sheetId="12184">
        <row r="2">
          <cell r="A2">
            <v>43462</v>
          </cell>
        </row>
      </sheetData>
      <sheetData sheetId="12185">
        <row r="2">
          <cell r="A2">
            <v>43462</v>
          </cell>
        </row>
      </sheetData>
      <sheetData sheetId="12186">
        <row r="2">
          <cell r="A2">
            <v>43462</v>
          </cell>
        </row>
      </sheetData>
      <sheetData sheetId="12187">
        <row r="2">
          <cell r="A2">
            <v>43462</v>
          </cell>
        </row>
      </sheetData>
      <sheetData sheetId="12188">
        <row r="2">
          <cell r="A2">
            <v>43462</v>
          </cell>
        </row>
      </sheetData>
      <sheetData sheetId="12189">
        <row r="2">
          <cell r="A2">
            <v>43462</v>
          </cell>
        </row>
      </sheetData>
      <sheetData sheetId="12190">
        <row r="2">
          <cell r="A2">
            <v>43462</v>
          </cell>
        </row>
      </sheetData>
      <sheetData sheetId="12191">
        <row r="2">
          <cell r="A2">
            <v>43462</v>
          </cell>
        </row>
      </sheetData>
      <sheetData sheetId="12192">
        <row r="2">
          <cell r="A2">
            <v>43462</v>
          </cell>
        </row>
      </sheetData>
      <sheetData sheetId="12193">
        <row r="2">
          <cell r="A2">
            <v>43462</v>
          </cell>
        </row>
      </sheetData>
      <sheetData sheetId="12194">
        <row r="2">
          <cell r="A2">
            <v>43462</v>
          </cell>
        </row>
      </sheetData>
      <sheetData sheetId="12195">
        <row r="2">
          <cell r="A2">
            <v>43462</v>
          </cell>
        </row>
      </sheetData>
      <sheetData sheetId="12196">
        <row r="2">
          <cell r="A2">
            <v>43462</v>
          </cell>
        </row>
      </sheetData>
      <sheetData sheetId="12197">
        <row r="2">
          <cell r="A2">
            <v>43462</v>
          </cell>
        </row>
      </sheetData>
      <sheetData sheetId="12198">
        <row r="2">
          <cell r="A2">
            <v>43462</v>
          </cell>
        </row>
      </sheetData>
      <sheetData sheetId="12199">
        <row r="2">
          <cell r="A2" t="str">
            <v>Complete</v>
          </cell>
        </row>
      </sheetData>
      <sheetData sheetId="12200">
        <row r="2">
          <cell r="A2">
            <v>43462</v>
          </cell>
        </row>
      </sheetData>
      <sheetData sheetId="12201">
        <row r="2">
          <cell r="A2" t="str">
            <v>Complete</v>
          </cell>
        </row>
      </sheetData>
      <sheetData sheetId="12202">
        <row r="2">
          <cell r="A2">
            <v>43462</v>
          </cell>
        </row>
      </sheetData>
      <sheetData sheetId="12203">
        <row r="2">
          <cell r="A2" t="str">
            <v>Complete</v>
          </cell>
        </row>
      </sheetData>
      <sheetData sheetId="12204">
        <row r="2">
          <cell r="A2">
            <v>43462</v>
          </cell>
        </row>
      </sheetData>
      <sheetData sheetId="12205">
        <row r="2">
          <cell r="A2" t="str">
            <v>Complete</v>
          </cell>
        </row>
      </sheetData>
      <sheetData sheetId="12206">
        <row r="2">
          <cell r="A2" t="str">
            <v>Complete</v>
          </cell>
        </row>
      </sheetData>
      <sheetData sheetId="12207">
        <row r="2">
          <cell r="A2" t="str">
            <v>Complete</v>
          </cell>
        </row>
      </sheetData>
      <sheetData sheetId="12208">
        <row r="2">
          <cell r="A2" t="str">
            <v>Complete</v>
          </cell>
        </row>
      </sheetData>
      <sheetData sheetId="12209">
        <row r="2">
          <cell r="A2" t="str">
            <v>Complete</v>
          </cell>
        </row>
      </sheetData>
      <sheetData sheetId="12210">
        <row r="2">
          <cell r="A2" t="str">
            <v>Complete</v>
          </cell>
        </row>
      </sheetData>
      <sheetData sheetId="12211">
        <row r="2">
          <cell r="A2" t="str">
            <v>Complete</v>
          </cell>
        </row>
      </sheetData>
      <sheetData sheetId="12212">
        <row r="2">
          <cell r="A2" t="str">
            <v>Complete</v>
          </cell>
        </row>
      </sheetData>
      <sheetData sheetId="12213">
        <row r="2">
          <cell r="A2" t="str">
            <v>Complete</v>
          </cell>
        </row>
      </sheetData>
      <sheetData sheetId="12214">
        <row r="2">
          <cell r="A2" t="str">
            <v>Complete</v>
          </cell>
        </row>
      </sheetData>
      <sheetData sheetId="12215">
        <row r="2">
          <cell r="A2" t="str">
            <v>Complete</v>
          </cell>
        </row>
      </sheetData>
      <sheetData sheetId="12216">
        <row r="2">
          <cell r="A2" t="str">
            <v>Complete</v>
          </cell>
        </row>
      </sheetData>
      <sheetData sheetId="12217">
        <row r="2">
          <cell r="A2" t="str">
            <v>Complete</v>
          </cell>
        </row>
      </sheetData>
      <sheetData sheetId="12218">
        <row r="2">
          <cell r="A2" t="str">
            <v>Complete</v>
          </cell>
        </row>
      </sheetData>
      <sheetData sheetId="12219">
        <row r="2">
          <cell r="A2" t="str">
            <v>Complete</v>
          </cell>
        </row>
      </sheetData>
      <sheetData sheetId="12220">
        <row r="2">
          <cell r="A2" t="str">
            <v>Complete</v>
          </cell>
        </row>
      </sheetData>
      <sheetData sheetId="12221">
        <row r="2">
          <cell r="A2" t="str">
            <v>Complete</v>
          </cell>
        </row>
      </sheetData>
      <sheetData sheetId="12222">
        <row r="2">
          <cell r="A2" t="str">
            <v>Complete</v>
          </cell>
        </row>
      </sheetData>
      <sheetData sheetId="12223">
        <row r="2">
          <cell r="A2" t="str">
            <v>Complete</v>
          </cell>
        </row>
      </sheetData>
      <sheetData sheetId="12224">
        <row r="2">
          <cell r="A2" t="str">
            <v>Complete</v>
          </cell>
        </row>
      </sheetData>
      <sheetData sheetId="12225">
        <row r="2">
          <cell r="A2">
            <v>43462</v>
          </cell>
        </row>
      </sheetData>
      <sheetData sheetId="12226">
        <row r="2">
          <cell r="A2">
            <v>43462</v>
          </cell>
        </row>
      </sheetData>
      <sheetData sheetId="12227">
        <row r="2">
          <cell r="A2">
            <v>43462</v>
          </cell>
        </row>
      </sheetData>
      <sheetData sheetId="12228">
        <row r="2">
          <cell r="A2">
            <v>43462</v>
          </cell>
        </row>
      </sheetData>
      <sheetData sheetId="12229">
        <row r="2">
          <cell r="A2">
            <v>43462</v>
          </cell>
        </row>
      </sheetData>
      <sheetData sheetId="12230">
        <row r="2">
          <cell r="A2">
            <v>43462</v>
          </cell>
        </row>
      </sheetData>
      <sheetData sheetId="12231">
        <row r="2">
          <cell r="A2">
            <v>43462</v>
          </cell>
        </row>
      </sheetData>
      <sheetData sheetId="12232">
        <row r="2">
          <cell r="A2">
            <v>43462</v>
          </cell>
        </row>
      </sheetData>
      <sheetData sheetId="12233">
        <row r="2">
          <cell r="A2">
            <v>43462</v>
          </cell>
        </row>
      </sheetData>
      <sheetData sheetId="12234">
        <row r="2">
          <cell r="A2">
            <v>43462</v>
          </cell>
        </row>
      </sheetData>
      <sheetData sheetId="12235">
        <row r="2">
          <cell r="A2">
            <v>43462</v>
          </cell>
        </row>
      </sheetData>
      <sheetData sheetId="12236">
        <row r="2">
          <cell r="A2">
            <v>43462</v>
          </cell>
        </row>
      </sheetData>
      <sheetData sheetId="12237">
        <row r="2">
          <cell r="A2">
            <v>43462</v>
          </cell>
        </row>
      </sheetData>
      <sheetData sheetId="12238">
        <row r="2">
          <cell r="A2">
            <v>43462</v>
          </cell>
        </row>
      </sheetData>
      <sheetData sheetId="12239">
        <row r="2">
          <cell r="A2">
            <v>43462</v>
          </cell>
        </row>
      </sheetData>
      <sheetData sheetId="12240">
        <row r="2">
          <cell r="A2">
            <v>43462</v>
          </cell>
        </row>
      </sheetData>
      <sheetData sheetId="12241">
        <row r="2">
          <cell r="A2">
            <v>43462</v>
          </cell>
        </row>
      </sheetData>
      <sheetData sheetId="12242">
        <row r="2">
          <cell r="A2">
            <v>43462</v>
          </cell>
        </row>
      </sheetData>
      <sheetData sheetId="12243">
        <row r="2">
          <cell r="A2">
            <v>43462</v>
          </cell>
        </row>
      </sheetData>
      <sheetData sheetId="12244">
        <row r="2">
          <cell r="A2">
            <v>43462</v>
          </cell>
        </row>
      </sheetData>
      <sheetData sheetId="12245">
        <row r="2">
          <cell r="A2">
            <v>43462</v>
          </cell>
        </row>
      </sheetData>
      <sheetData sheetId="12246">
        <row r="2">
          <cell r="A2" t="str">
            <v>Complete</v>
          </cell>
        </row>
      </sheetData>
      <sheetData sheetId="12247">
        <row r="2">
          <cell r="A2">
            <v>43462</v>
          </cell>
        </row>
      </sheetData>
      <sheetData sheetId="12248">
        <row r="2">
          <cell r="A2" t="str">
            <v>Complete</v>
          </cell>
        </row>
      </sheetData>
      <sheetData sheetId="12249">
        <row r="2">
          <cell r="A2" t="str">
            <v>Complete</v>
          </cell>
        </row>
      </sheetData>
      <sheetData sheetId="12250">
        <row r="2">
          <cell r="A2" t="str">
            <v>Complete</v>
          </cell>
        </row>
      </sheetData>
      <sheetData sheetId="12251">
        <row r="2">
          <cell r="A2" t="str">
            <v>Complete</v>
          </cell>
        </row>
      </sheetData>
      <sheetData sheetId="12252">
        <row r="2">
          <cell r="A2" t="str">
            <v>Complete</v>
          </cell>
        </row>
      </sheetData>
      <sheetData sheetId="12253">
        <row r="2">
          <cell r="A2" t="str">
            <v>Complete</v>
          </cell>
        </row>
      </sheetData>
      <sheetData sheetId="12254">
        <row r="2">
          <cell r="A2" t="str">
            <v>Complete</v>
          </cell>
        </row>
      </sheetData>
      <sheetData sheetId="12255">
        <row r="2">
          <cell r="A2" t="str">
            <v>Complete</v>
          </cell>
        </row>
      </sheetData>
      <sheetData sheetId="12256">
        <row r="2">
          <cell r="A2" t="str">
            <v>Complete</v>
          </cell>
        </row>
      </sheetData>
      <sheetData sheetId="12257">
        <row r="2">
          <cell r="A2" t="str">
            <v>Complete</v>
          </cell>
        </row>
      </sheetData>
      <sheetData sheetId="12258">
        <row r="2">
          <cell r="A2" t="str">
            <v>Complete</v>
          </cell>
        </row>
      </sheetData>
      <sheetData sheetId="12259">
        <row r="2">
          <cell r="A2" t="str">
            <v>Complete</v>
          </cell>
        </row>
      </sheetData>
      <sheetData sheetId="12260">
        <row r="2">
          <cell r="A2" t="str">
            <v>Complete</v>
          </cell>
        </row>
      </sheetData>
      <sheetData sheetId="12261">
        <row r="2">
          <cell r="A2" t="str">
            <v>Complete</v>
          </cell>
        </row>
      </sheetData>
      <sheetData sheetId="12262">
        <row r="2">
          <cell r="A2" t="str">
            <v>Complete</v>
          </cell>
        </row>
      </sheetData>
      <sheetData sheetId="12263">
        <row r="2">
          <cell r="A2" t="str">
            <v>Complete</v>
          </cell>
        </row>
      </sheetData>
      <sheetData sheetId="12264">
        <row r="2">
          <cell r="A2" t="str">
            <v>Complete</v>
          </cell>
        </row>
      </sheetData>
      <sheetData sheetId="12265">
        <row r="2">
          <cell r="A2" t="str">
            <v>Complete</v>
          </cell>
        </row>
      </sheetData>
      <sheetData sheetId="12266">
        <row r="2">
          <cell r="A2" t="str">
            <v>Complete</v>
          </cell>
        </row>
      </sheetData>
      <sheetData sheetId="12267">
        <row r="2">
          <cell r="A2">
            <v>43462</v>
          </cell>
        </row>
      </sheetData>
      <sheetData sheetId="12268">
        <row r="2">
          <cell r="A2">
            <v>43462</v>
          </cell>
        </row>
      </sheetData>
      <sheetData sheetId="12269">
        <row r="2">
          <cell r="A2">
            <v>43462</v>
          </cell>
        </row>
      </sheetData>
      <sheetData sheetId="12270">
        <row r="2">
          <cell r="A2">
            <v>43462</v>
          </cell>
        </row>
      </sheetData>
      <sheetData sheetId="12271">
        <row r="2">
          <cell r="A2">
            <v>43462</v>
          </cell>
        </row>
      </sheetData>
      <sheetData sheetId="12272">
        <row r="2">
          <cell r="A2">
            <v>43462</v>
          </cell>
        </row>
      </sheetData>
      <sheetData sheetId="12273">
        <row r="2">
          <cell r="A2">
            <v>43462</v>
          </cell>
        </row>
      </sheetData>
      <sheetData sheetId="12274">
        <row r="2">
          <cell r="A2" t="str">
            <v>Complete</v>
          </cell>
        </row>
      </sheetData>
      <sheetData sheetId="12275">
        <row r="2">
          <cell r="A2">
            <v>43462</v>
          </cell>
        </row>
      </sheetData>
      <sheetData sheetId="12276">
        <row r="2">
          <cell r="A2">
            <v>43462</v>
          </cell>
        </row>
      </sheetData>
      <sheetData sheetId="12277">
        <row r="2">
          <cell r="A2">
            <v>43462</v>
          </cell>
        </row>
      </sheetData>
      <sheetData sheetId="12278">
        <row r="2">
          <cell r="A2">
            <v>43462</v>
          </cell>
        </row>
      </sheetData>
      <sheetData sheetId="12279">
        <row r="2">
          <cell r="A2">
            <v>43462</v>
          </cell>
        </row>
      </sheetData>
      <sheetData sheetId="12280">
        <row r="2">
          <cell r="A2">
            <v>43462</v>
          </cell>
        </row>
      </sheetData>
      <sheetData sheetId="12281">
        <row r="2">
          <cell r="A2">
            <v>43462</v>
          </cell>
        </row>
      </sheetData>
      <sheetData sheetId="12282">
        <row r="2">
          <cell r="A2">
            <v>43462</v>
          </cell>
        </row>
      </sheetData>
      <sheetData sheetId="12283">
        <row r="2">
          <cell r="A2">
            <v>43462</v>
          </cell>
        </row>
      </sheetData>
      <sheetData sheetId="12284">
        <row r="2">
          <cell r="A2">
            <v>43462</v>
          </cell>
        </row>
      </sheetData>
      <sheetData sheetId="12285">
        <row r="2">
          <cell r="A2">
            <v>43462</v>
          </cell>
        </row>
      </sheetData>
      <sheetData sheetId="12286">
        <row r="2">
          <cell r="A2">
            <v>43462</v>
          </cell>
        </row>
      </sheetData>
      <sheetData sheetId="12287">
        <row r="2">
          <cell r="A2">
            <v>43462</v>
          </cell>
        </row>
      </sheetData>
      <sheetData sheetId="12288">
        <row r="2">
          <cell r="A2">
            <v>43462</v>
          </cell>
        </row>
      </sheetData>
      <sheetData sheetId="12289">
        <row r="2">
          <cell r="A2" t="str">
            <v>Complete</v>
          </cell>
        </row>
      </sheetData>
      <sheetData sheetId="12290">
        <row r="2">
          <cell r="A2" t="str">
            <v>Complete</v>
          </cell>
        </row>
      </sheetData>
      <sheetData sheetId="12291">
        <row r="2">
          <cell r="A2" t="str">
            <v>Complete</v>
          </cell>
        </row>
      </sheetData>
      <sheetData sheetId="12292">
        <row r="2">
          <cell r="A2" t="str">
            <v>Complete</v>
          </cell>
        </row>
      </sheetData>
      <sheetData sheetId="12293">
        <row r="2">
          <cell r="A2" t="str">
            <v>Complete</v>
          </cell>
        </row>
      </sheetData>
      <sheetData sheetId="12294">
        <row r="2">
          <cell r="A2" t="str">
            <v>Complete</v>
          </cell>
        </row>
      </sheetData>
      <sheetData sheetId="12295">
        <row r="2">
          <cell r="A2" t="str">
            <v>Complete</v>
          </cell>
        </row>
      </sheetData>
      <sheetData sheetId="12296">
        <row r="2">
          <cell r="A2" t="str">
            <v>Complete</v>
          </cell>
        </row>
      </sheetData>
      <sheetData sheetId="12297">
        <row r="2">
          <cell r="A2" t="str">
            <v>Complete</v>
          </cell>
        </row>
      </sheetData>
      <sheetData sheetId="12298">
        <row r="2">
          <cell r="A2" t="str">
            <v>Complete</v>
          </cell>
        </row>
      </sheetData>
      <sheetData sheetId="12299">
        <row r="2">
          <cell r="A2" t="str">
            <v>Complete</v>
          </cell>
        </row>
      </sheetData>
      <sheetData sheetId="12300">
        <row r="2">
          <cell r="A2" t="str">
            <v>Complete</v>
          </cell>
        </row>
      </sheetData>
      <sheetData sheetId="12301">
        <row r="2">
          <cell r="A2" t="str">
            <v>Complete</v>
          </cell>
        </row>
      </sheetData>
      <sheetData sheetId="12302">
        <row r="2">
          <cell r="A2" t="str">
            <v>Complete</v>
          </cell>
        </row>
      </sheetData>
      <sheetData sheetId="12303">
        <row r="2">
          <cell r="A2" t="str">
            <v>Complete</v>
          </cell>
        </row>
      </sheetData>
      <sheetData sheetId="12304">
        <row r="2">
          <cell r="A2" t="str">
            <v>Complete</v>
          </cell>
        </row>
      </sheetData>
      <sheetData sheetId="12305">
        <row r="2">
          <cell r="A2" t="str">
            <v>Complete</v>
          </cell>
        </row>
      </sheetData>
      <sheetData sheetId="12306">
        <row r="2">
          <cell r="A2" t="str">
            <v>Complete</v>
          </cell>
        </row>
      </sheetData>
      <sheetData sheetId="12307">
        <row r="2">
          <cell r="A2" t="str">
            <v>Complete</v>
          </cell>
        </row>
      </sheetData>
      <sheetData sheetId="12308">
        <row r="2">
          <cell r="A2" t="str">
            <v>Complete</v>
          </cell>
        </row>
      </sheetData>
      <sheetData sheetId="12309">
        <row r="2">
          <cell r="A2">
            <v>43462</v>
          </cell>
        </row>
      </sheetData>
      <sheetData sheetId="12310">
        <row r="2">
          <cell r="A2">
            <v>43462</v>
          </cell>
        </row>
      </sheetData>
      <sheetData sheetId="12311">
        <row r="2">
          <cell r="A2">
            <v>43462</v>
          </cell>
        </row>
      </sheetData>
      <sheetData sheetId="12312">
        <row r="2">
          <cell r="A2">
            <v>43462</v>
          </cell>
        </row>
      </sheetData>
      <sheetData sheetId="12313">
        <row r="2">
          <cell r="A2">
            <v>43462</v>
          </cell>
        </row>
      </sheetData>
      <sheetData sheetId="12314">
        <row r="2">
          <cell r="A2">
            <v>43462</v>
          </cell>
        </row>
      </sheetData>
      <sheetData sheetId="12315">
        <row r="2">
          <cell r="A2">
            <v>43462</v>
          </cell>
        </row>
      </sheetData>
      <sheetData sheetId="12316">
        <row r="2">
          <cell r="A2">
            <v>43462</v>
          </cell>
        </row>
      </sheetData>
      <sheetData sheetId="12317">
        <row r="2">
          <cell r="A2" t="str">
            <v>Complete</v>
          </cell>
        </row>
      </sheetData>
      <sheetData sheetId="12318">
        <row r="2">
          <cell r="A2">
            <v>43462</v>
          </cell>
        </row>
      </sheetData>
      <sheetData sheetId="12319">
        <row r="2">
          <cell r="A2" t="str">
            <v>Complete</v>
          </cell>
        </row>
      </sheetData>
      <sheetData sheetId="12320">
        <row r="2">
          <cell r="A2">
            <v>43462</v>
          </cell>
        </row>
      </sheetData>
      <sheetData sheetId="12321">
        <row r="2">
          <cell r="A2" t="str">
            <v>Complete</v>
          </cell>
        </row>
      </sheetData>
      <sheetData sheetId="12322">
        <row r="2">
          <cell r="A2">
            <v>43462</v>
          </cell>
        </row>
      </sheetData>
      <sheetData sheetId="12323">
        <row r="2">
          <cell r="A2">
            <v>43462</v>
          </cell>
        </row>
      </sheetData>
      <sheetData sheetId="12324">
        <row r="2">
          <cell r="A2">
            <v>43462</v>
          </cell>
        </row>
      </sheetData>
      <sheetData sheetId="12325">
        <row r="2">
          <cell r="A2">
            <v>43462</v>
          </cell>
        </row>
      </sheetData>
      <sheetData sheetId="12326">
        <row r="2">
          <cell r="A2">
            <v>43462</v>
          </cell>
        </row>
      </sheetData>
      <sheetData sheetId="12327">
        <row r="2">
          <cell r="A2">
            <v>43462</v>
          </cell>
        </row>
      </sheetData>
      <sheetData sheetId="12328">
        <row r="2">
          <cell r="A2">
            <v>43462</v>
          </cell>
        </row>
      </sheetData>
      <sheetData sheetId="12329">
        <row r="2">
          <cell r="A2">
            <v>43462</v>
          </cell>
        </row>
      </sheetData>
      <sheetData sheetId="12330">
        <row r="2">
          <cell r="A2">
            <v>43462</v>
          </cell>
        </row>
      </sheetData>
      <sheetData sheetId="12331">
        <row r="2">
          <cell r="A2">
            <v>43462</v>
          </cell>
        </row>
      </sheetData>
      <sheetData sheetId="12332">
        <row r="2">
          <cell r="A2" t="str">
            <v>Complete</v>
          </cell>
        </row>
      </sheetData>
      <sheetData sheetId="12333">
        <row r="2">
          <cell r="A2" t="str">
            <v>Complete</v>
          </cell>
        </row>
      </sheetData>
      <sheetData sheetId="12334">
        <row r="2">
          <cell r="A2" t="str">
            <v>Complete</v>
          </cell>
        </row>
      </sheetData>
      <sheetData sheetId="12335">
        <row r="2">
          <cell r="A2" t="str">
            <v>Complete</v>
          </cell>
        </row>
      </sheetData>
      <sheetData sheetId="12336">
        <row r="2">
          <cell r="A2" t="str">
            <v>Complete</v>
          </cell>
        </row>
      </sheetData>
      <sheetData sheetId="12337">
        <row r="2">
          <cell r="A2" t="str">
            <v>Complete</v>
          </cell>
        </row>
      </sheetData>
      <sheetData sheetId="12338">
        <row r="2">
          <cell r="A2" t="str">
            <v>Complete</v>
          </cell>
        </row>
      </sheetData>
      <sheetData sheetId="12339">
        <row r="2">
          <cell r="A2" t="str">
            <v>Complete</v>
          </cell>
        </row>
      </sheetData>
      <sheetData sheetId="12340">
        <row r="2">
          <cell r="A2" t="str">
            <v>Complete</v>
          </cell>
        </row>
      </sheetData>
      <sheetData sheetId="12341">
        <row r="2">
          <cell r="A2" t="str">
            <v>Complete</v>
          </cell>
        </row>
      </sheetData>
      <sheetData sheetId="12342">
        <row r="2">
          <cell r="A2" t="str">
            <v>Complete</v>
          </cell>
        </row>
      </sheetData>
      <sheetData sheetId="12343">
        <row r="2">
          <cell r="A2" t="str">
            <v>Complete</v>
          </cell>
        </row>
      </sheetData>
      <sheetData sheetId="12344">
        <row r="2">
          <cell r="A2" t="str">
            <v>Complete</v>
          </cell>
        </row>
      </sheetData>
      <sheetData sheetId="12345">
        <row r="2">
          <cell r="A2" t="str">
            <v>Complete</v>
          </cell>
        </row>
      </sheetData>
      <sheetData sheetId="12346">
        <row r="2">
          <cell r="A2" t="str">
            <v>Complete</v>
          </cell>
        </row>
      </sheetData>
      <sheetData sheetId="12347">
        <row r="2">
          <cell r="A2" t="str">
            <v>Complete</v>
          </cell>
        </row>
      </sheetData>
      <sheetData sheetId="12348">
        <row r="2">
          <cell r="A2" t="str">
            <v>Complete</v>
          </cell>
        </row>
      </sheetData>
      <sheetData sheetId="12349">
        <row r="2">
          <cell r="A2" t="str">
            <v>Complete</v>
          </cell>
        </row>
      </sheetData>
      <sheetData sheetId="12350">
        <row r="2">
          <cell r="A2" t="str">
            <v>Complete</v>
          </cell>
        </row>
      </sheetData>
      <sheetData sheetId="12351">
        <row r="2">
          <cell r="A2">
            <v>43462</v>
          </cell>
        </row>
      </sheetData>
      <sheetData sheetId="12352">
        <row r="2">
          <cell r="A2">
            <v>43462</v>
          </cell>
        </row>
      </sheetData>
      <sheetData sheetId="12353">
        <row r="2">
          <cell r="A2">
            <v>43462</v>
          </cell>
        </row>
      </sheetData>
      <sheetData sheetId="12354">
        <row r="2">
          <cell r="A2">
            <v>43462</v>
          </cell>
        </row>
      </sheetData>
      <sheetData sheetId="12355">
        <row r="2">
          <cell r="A2">
            <v>43462</v>
          </cell>
        </row>
      </sheetData>
      <sheetData sheetId="12356">
        <row r="2">
          <cell r="A2">
            <v>43462</v>
          </cell>
        </row>
      </sheetData>
      <sheetData sheetId="12357">
        <row r="2">
          <cell r="A2">
            <v>43462</v>
          </cell>
        </row>
      </sheetData>
      <sheetData sheetId="12358">
        <row r="2">
          <cell r="A2">
            <v>43462</v>
          </cell>
        </row>
      </sheetData>
      <sheetData sheetId="12359">
        <row r="2">
          <cell r="A2">
            <v>43462</v>
          </cell>
        </row>
      </sheetData>
      <sheetData sheetId="12360">
        <row r="2">
          <cell r="A2">
            <v>43462</v>
          </cell>
        </row>
      </sheetData>
      <sheetData sheetId="12361">
        <row r="2">
          <cell r="A2">
            <v>43462</v>
          </cell>
        </row>
      </sheetData>
      <sheetData sheetId="12362">
        <row r="2">
          <cell r="A2">
            <v>43462</v>
          </cell>
        </row>
      </sheetData>
      <sheetData sheetId="12363">
        <row r="2">
          <cell r="A2">
            <v>43462</v>
          </cell>
        </row>
      </sheetData>
      <sheetData sheetId="12364">
        <row r="2">
          <cell r="A2" t="str">
            <v>Complete</v>
          </cell>
        </row>
      </sheetData>
      <sheetData sheetId="12365">
        <row r="2">
          <cell r="A2">
            <v>43462</v>
          </cell>
        </row>
      </sheetData>
      <sheetData sheetId="12366">
        <row r="2">
          <cell r="A2">
            <v>43462</v>
          </cell>
        </row>
      </sheetData>
      <sheetData sheetId="12367">
        <row r="2">
          <cell r="A2">
            <v>43462</v>
          </cell>
        </row>
      </sheetData>
      <sheetData sheetId="12368">
        <row r="2">
          <cell r="A2">
            <v>43462</v>
          </cell>
        </row>
      </sheetData>
      <sheetData sheetId="12369">
        <row r="2">
          <cell r="A2">
            <v>43462</v>
          </cell>
        </row>
      </sheetData>
      <sheetData sheetId="12370">
        <row r="2">
          <cell r="A2">
            <v>43462</v>
          </cell>
        </row>
      </sheetData>
      <sheetData sheetId="12371">
        <row r="2">
          <cell r="A2">
            <v>43462</v>
          </cell>
        </row>
      </sheetData>
      <sheetData sheetId="12372">
        <row r="2">
          <cell r="A2">
            <v>43462</v>
          </cell>
        </row>
      </sheetData>
      <sheetData sheetId="12373">
        <row r="2">
          <cell r="A2">
            <v>43462</v>
          </cell>
        </row>
      </sheetData>
      <sheetData sheetId="12374">
        <row r="2">
          <cell r="A2" t="str">
            <v>Complete</v>
          </cell>
        </row>
      </sheetData>
      <sheetData sheetId="12375">
        <row r="2">
          <cell r="A2" t="str">
            <v>Complete</v>
          </cell>
        </row>
      </sheetData>
      <sheetData sheetId="12376">
        <row r="2">
          <cell r="A2" t="str">
            <v>Complete</v>
          </cell>
        </row>
      </sheetData>
      <sheetData sheetId="12377">
        <row r="2">
          <cell r="A2" t="str">
            <v>Complete</v>
          </cell>
        </row>
      </sheetData>
      <sheetData sheetId="12378">
        <row r="2">
          <cell r="A2" t="str">
            <v>Complete</v>
          </cell>
        </row>
      </sheetData>
      <sheetData sheetId="12379">
        <row r="2">
          <cell r="A2" t="str">
            <v>Complete</v>
          </cell>
        </row>
      </sheetData>
      <sheetData sheetId="12380">
        <row r="2">
          <cell r="A2" t="str">
            <v>Complete</v>
          </cell>
        </row>
      </sheetData>
      <sheetData sheetId="12381">
        <row r="2">
          <cell r="A2" t="str">
            <v>Complete</v>
          </cell>
        </row>
      </sheetData>
      <sheetData sheetId="12382">
        <row r="2">
          <cell r="A2" t="str">
            <v>Complete</v>
          </cell>
        </row>
      </sheetData>
      <sheetData sheetId="12383">
        <row r="2">
          <cell r="A2" t="str">
            <v>Complete</v>
          </cell>
        </row>
      </sheetData>
      <sheetData sheetId="12384">
        <row r="2">
          <cell r="A2" t="str">
            <v>Complete</v>
          </cell>
        </row>
      </sheetData>
      <sheetData sheetId="12385">
        <row r="2">
          <cell r="A2" t="str">
            <v>Complete</v>
          </cell>
        </row>
      </sheetData>
      <sheetData sheetId="12386">
        <row r="2">
          <cell r="A2" t="str">
            <v>Complete</v>
          </cell>
        </row>
      </sheetData>
      <sheetData sheetId="12387">
        <row r="2">
          <cell r="A2" t="str">
            <v>Complete</v>
          </cell>
        </row>
      </sheetData>
      <sheetData sheetId="12388">
        <row r="2">
          <cell r="A2" t="str">
            <v>Complete</v>
          </cell>
        </row>
      </sheetData>
      <sheetData sheetId="12389">
        <row r="2">
          <cell r="A2" t="str">
            <v>Complete</v>
          </cell>
        </row>
      </sheetData>
      <sheetData sheetId="12390">
        <row r="2">
          <cell r="A2" t="str">
            <v>Complete</v>
          </cell>
        </row>
      </sheetData>
      <sheetData sheetId="12391">
        <row r="2">
          <cell r="A2" t="str">
            <v>Complete</v>
          </cell>
        </row>
      </sheetData>
      <sheetData sheetId="12392">
        <row r="2">
          <cell r="A2" t="str">
            <v>Complete</v>
          </cell>
        </row>
      </sheetData>
      <sheetData sheetId="12393">
        <row r="2">
          <cell r="A2" t="str">
            <v>Complete</v>
          </cell>
        </row>
      </sheetData>
      <sheetData sheetId="12394">
        <row r="2">
          <cell r="A2" t="str">
            <v>Complete</v>
          </cell>
        </row>
      </sheetData>
      <sheetData sheetId="12395">
        <row r="2">
          <cell r="A2">
            <v>43462</v>
          </cell>
        </row>
      </sheetData>
      <sheetData sheetId="12396">
        <row r="2">
          <cell r="A2">
            <v>43462</v>
          </cell>
        </row>
      </sheetData>
      <sheetData sheetId="12397">
        <row r="2">
          <cell r="A2">
            <v>43462</v>
          </cell>
        </row>
      </sheetData>
      <sheetData sheetId="12398">
        <row r="2">
          <cell r="A2">
            <v>43462</v>
          </cell>
        </row>
      </sheetData>
      <sheetData sheetId="12399">
        <row r="2">
          <cell r="A2">
            <v>43462</v>
          </cell>
        </row>
      </sheetData>
      <sheetData sheetId="12400">
        <row r="2">
          <cell r="A2">
            <v>43462</v>
          </cell>
        </row>
      </sheetData>
      <sheetData sheetId="12401">
        <row r="2">
          <cell r="A2">
            <v>43462</v>
          </cell>
        </row>
      </sheetData>
      <sheetData sheetId="12402">
        <row r="2">
          <cell r="A2">
            <v>43462</v>
          </cell>
        </row>
      </sheetData>
      <sheetData sheetId="12403">
        <row r="2">
          <cell r="A2">
            <v>43462</v>
          </cell>
        </row>
      </sheetData>
      <sheetData sheetId="12404">
        <row r="2">
          <cell r="A2">
            <v>43462</v>
          </cell>
        </row>
      </sheetData>
      <sheetData sheetId="12405">
        <row r="2">
          <cell r="A2">
            <v>43462</v>
          </cell>
        </row>
      </sheetData>
      <sheetData sheetId="12406">
        <row r="2">
          <cell r="A2">
            <v>43462</v>
          </cell>
        </row>
      </sheetData>
      <sheetData sheetId="12407">
        <row r="2">
          <cell r="A2" t="str">
            <v>Complete</v>
          </cell>
        </row>
      </sheetData>
      <sheetData sheetId="12408">
        <row r="2">
          <cell r="A2">
            <v>43462</v>
          </cell>
        </row>
      </sheetData>
      <sheetData sheetId="12409">
        <row r="2">
          <cell r="A2" t="str">
            <v>Complete</v>
          </cell>
        </row>
      </sheetData>
      <sheetData sheetId="12410">
        <row r="2">
          <cell r="A2">
            <v>43462</v>
          </cell>
        </row>
      </sheetData>
      <sheetData sheetId="12411">
        <row r="2">
          <cell r="A2" t="str">
            <v>Complete</v>
          </cell>
        </row>
      </sheetData>
      <sheetData sheetId="12412">
        <row r="2">
          <cell r="A2">
            <v>43462</v>
          </cell>
        </row>
      </sheetData>
      <sheetData sheetId="12413">
        <row r="2">
          <cell r="A2" t="str">
            <v>Complete</v>
          </cell>
        </row>
      </sheetData>
      <sheetData sheetId="12414">
        <row r="2">
          <cell r="A2">
            <v>43462</v>
          </cell>
        </row>
      </sheetData>
      <sheetData sheetId="12415">
        <row r="2">
          <cell r="A2">
            <v>43462</v>
          </cell>
        </row>
      </sheetData>
      <sheetData sheetId="12416">
        <row r="2">
          <cell r="A2" t="str">
            <v>Complete</v>
          </cell>
        </row>
      </sheetData>
      <sheetData sheetId="12417">
        <row r="2">
          <cell r="A2" t="str">
            <v>Complete</v>
          </cell>
        </row>
      </sheetData>
      <sheetData sheetId="12418">
        <row r="2">
          <cell r="A2" t="str">
            <v>Complete</v>
          </cell>
        </row>
      </sheetData>
      <sheetData sheetId="12419">
        <row r="2">
          <cell r="A2" t="str">
            <v>Complete</v>
          </cell>
        </row>
      </sheetData>
      <sheetData sheetId="12420">
        <row r="2">
          <cell r="A2" t="str">
            <v>Complete</v>
          </cell>
        </row>
      </sheetData>
      <sheetData sheetId="12421">
        <row r="2">
          <cell r="A2" t="str">
            <v>Complete</v>
          </cell>
        </row>
      </sheetData>
      <sheetData sheetId="12422">
        <row r="2">
          <cell r="A2" t="str">
            <v>Complete</v>
          </cell>
        </row>
      </sheetData>
      <sheetData sheetId="12423">
        <row r="2">
          <cell r="A2" t="str">
            <v>Complete</v>
          </cell>
        </row>
      </sheetData>
      <sheetData sheetId="12424">
        <row r="2">
          <cell r="A2" t="str">
            <v>Complete</v>
          </cell>
        </row>
      </sheetData>
      <sheetData sheetId="12425">
        <row r="2">
          <cell r="A2" t="str">
            <v>Complete</v>
          </cell>
        </row>
      </sheetData>
      <sheetData sheetId="12426">
        <row r="2">
          <cell r="A2" t="str">
            <v>Complete</v>
          </cell>
        </row>
      </sheetData>
      <sheetData sheetId="12427">
        <row r="2">
          <cell r="A2" t="str">
            <v>Complete</v>
          </cell>
        </row>
      </sheetData>
      <sheetData sheetId="12428">
        <row r="2">
          <cell r="A2" t="str">
            <v>Complete</v>
          </cell>
        </row>
      </sheetData>
      <sheetData sheetId="12429">
        <row r="2">
          <cell r="A2" t="str">
            <v>Complete</v>
          </cell>
        </row>
      </sheetData>
      <sheetData sheetId="12430">
        <row r="2">
          <cell r="A2" t="str">
            <v>Complete</v>
          </cell>
        </row>
      </sheetData>
      <sheetData sheetId="12431">
        <row r="2">
          <cell r="A2" t="str">
            <v>Complete</v>
          </cell>
        </row>
      </sheetData>
      <sheetData sheetId="12432">
        <row r="2">
          <cell r="A2" t="str">
            <v>Complete</v>
          </cell>
        </row>
      </sheetData>
      <sheetData sheetId="12433">
        <row r="2">
          <cell r="A2" t="str">
            <v>Complete</v>
          </cell>
        </row>
      </sheetData>
      <sheetData sheetId="12434">
        <row r="2">
          <cell r="A2" t="str">
            <v>Complete</v>
          </cell>
        </row>
      </sheetData>
      <sheetData sheetId="12435">
        <row r="2">
          <cell r="A2" t="str">
            <v>Complete</v>
          </cell>
        </row>
      </sheetData>
      <sheetData sheetId="12436">
        <row r="2">
          <cell r="A2" t="str">
            <v>Complete</v>
          </cell>
        </row>
      </sheetData>
      <sheetData sheetId="12437">
        <row r="2">
          <cell r="A2" t="str">
            <v>Complete</v>
          </cell>
        </row>
      </sheetData>
      <sheetData sheetId="12438">
        <row r="2">
          <cell r="A2">
            <v>43462</v>
          </cell>
        </row>
      </sheetData>
      <sheetData sheetId="12439">
        <row r="2">
          <cell r="A2">
            <v>43462</v>
          </cell>
        </row>
      </sheetData>
      <sheetData sheetId="12440">
        <row r="2">
          <cell r="A2">
            <v>43462</v>
          </cell>
        </row>
      </sheetData>
      <sheetData sheetId="12441">
        <row r="2">
          <cell r="A2">
            <v>43462</v>
          </cell>
        </row>
      </sheetData>
      <sheetData sheetId="12442">
        <row r="2">
          <cell r="A2">
            <v>43462</v>
          </cell>
        </row>
      </sheetData>
      <sheetData sheetId="12443">
        <row r="2">
          <cell r="A2">
            <v>43462</v>
          </cell>
        </row>
      </sheetData>
      <sheetData sheetId="12444">
        <row r="2">
          <cell r="A2">
            <v>43462</v>
          </cell>
        </row>
      </sheetData>
      <sheetData sheetId="12445">
        <row r="2">
          <cell r="A2">
            <v>43462</v>
          </cell>
        </row>
      </sheetData>
      <sheetData sheetId="12446">
        <row r="2">
          <cell r="A2">
            <v>43462</v>
          </cell>
        </row>
      </sheetData>
      <sheetData sheetId="12447">
        <row r="2">
          <cell r="A2">
            <v>43462</v>
          </cell>
        </row>
      </sheetData>
      <sheetData sheetId="12448">
        <row r="2">
          <cell r="A2">
            <v>43462</v>
          </cell>
        </row>
      </sheetData>
      <sheetData sheetId="12449">
        <row r="2">
          <cell r="A2">
            <v>43462</v>
          </cell>
        </row>
      </sheetData>
      <sheetData sheetId="12450">
        <row r="2">
          <cell r="A2" t="str">
            <v>Complete</v>
          </cell>
        </row>
      </sheetData>
      <sheetData sheetId="12451">
        <row r="2">
          <cell r="A2">
            <v>43462</v>
          </cell>
        </row>
      </sheetData>
      <sheetData sheetId="12452">
        <row r="2">
          <cell r="A2" t="str">
            <v>Complete</v>
          </cell>
        </row>
      </sheetData>
      <sheetData sheetId="12453">
        <row r="2">
          <cell r="A2">
            <v>43462</v>
          </cell>
        </row>
      </sheetData>
      <sheetData sheetId="12454">
        <row r="2">
          <cell r="A2" t="str">
            <v>Complete</v>
          </cell>
        </row>
      </sheetData>
      <sheetData sheetId="12455">
        <row r="2">
          <cell r="A2">
            <v>43462</v>
          </cell>
        </row>
      </sheetData>
      <sheetData sheetId="12456">
        <row r="2">
          <cell r="A2" t="str">
            <v>Complete</v>
          </cell>
        </row>
      </sheetData>
      <sheetData sheetId="12457">
        <row r="2">
          <cell r="A2">
            <v>43462</v>
          </cell>
        </row>
      </sheetData>
      <sheetData sheetId="12458">
        <row r="2">
          <cell r="A2" t="str">
            <v>Complete</v>
          </cell>
        </row>
      </sheetData>
      <sheetData sheetId="12459">
        <row r="2">
          <cell r="A2" t="str">
            <v>Complete</v>
          </cell>
        </row>
      </sheetData>
      <sheetData sheetId="12460">
        <row r="2">
          <cell r="A2" t="str">
            <v>Complete</v>
          </cell>
        </row>
      </sheetData>
      <sheetData sheetId="12461">
        <row r="2">
          <cell r="A2" t="str">
            <v>Complete</v>
          </cell>
        </row>
      </sheetData>
      <sheetData sheetId="12462">
        <row r="2">
          <cell r="A2" t="str">
            <v>Complete</v>
          </cell>
        </row>
      </sheetData>
      <sheetData sheetId="12463">
        <row r="2">
          <cell r="A2" t="str">
            <v>Complete</v>
          </cell>
        </row>
      </sheetData>
      <sheetData sheetId="12464">
        <row r="2">
          <cell r="A2" t="str">
            <v>Complete</v>
          </cell>
        </row>
      </sheetData>
      <sheetData sheetId="12465">
        <row r="2">
          <cell r="A2" t="str">
            <v>Complete</v>
          </cell>
        </row>
      </sheetData>
      <sheetData sheetId="12466">
        <row r="2">
          <cell r="A2" t="str">
            <v>Complete</v>
          </cell>
        </row>
      </sheetData>
      <sheetData sheetId="12467">
        <row r="2">
          <cell r="A2" t="str">
            <v>Complete</v>
          </cell>
        </row>
      </sheetData>
      <sheetData sheetId="12468">
        <row r="2">
          <cell r="A2" t="str">
            <v>Complete</v>
          </cell>
        </row>
      </sheetData>
      <sheetData sheetId="12469">
        <row r="2">
          <cell r="A2" t="str">
            <v>Complete</v>
          </cell>
        </row>
      </sheetData>
      <sheetData sheetId="12470">
        <row r="2">
          <cell r="A2" t="str">
            <v>Complete</v>
          </cell>
        </row>
      </sheetData>
      <sheetData sheetId="12471">
        <row r="2">
          <cell r="A2" t="str">
            <v>Complete</v>
          </cell>
        </row>
      </sheetData>
      <sheetData sheetId="12472">
        <row r="2">
          <cell r="A2" t="str">
            <v>Complete</v>
          </cell>
        </row>
      </sheetData>
      <sheetData sheetId="12473">
        <row r="2">
          <cell r="A2" t="str">
            <v>Complete</v>
          </cell>
        </row>
      </sheetData>
      <sheetData sheetId="12474">
        <row r="2">
          <cell r="A2" t="str">
            <v>Complete</v>
          </cell>
        </row>
      </sheetData>
      <sheetData sheetId="12475">
        <row r="2">
          <cell r="A2" t="str">
            <v>Complete</v>
          </cell>
        </row>
      </sheetData>
      <sheetData sheetId="12476">
        <row r="2">
          <cell r="A2" t="str">
            <v>Complete</v>
          </cell>
        </row>
      </sheetData>
      <sheetData sheetId="12477">
        <row r="2">
          <cell r="A2" t="str">
            <v>Complete</v>
          </cell>
        </row>
      </sheetData>
      <sheetData sheetId="12478">
        <row r="2">
          <cell r="A2" t="str">
            <v>Complete</v>
          </cell>
        </row>
      </sheetData>
      <sheetData sheetId="12479">
        <row r="2">
          <cell r="A2" t="str">
            <v>Complete</v>
          </cell>
        </row>
      </sheetData>
      <sheetData sheetId="12480">
        <row r="2">
          <cell r="A2">
            <v>43462</v>
          </cell>
        </row>
      </sheetData>
      <sheetData sheetId="12481">
        <row r="2">
          <cell r="A2">
            <v>43462</v>
          </cell>
        </row>
      </sheetData>
      <sheetData sheetId="12482">
        <row r="2">
          <cell r="A2">
            <v>43462</v>
          </cell>
        </row>
      </sheetData>
      <sheetData sheetId="12483">
        <row r="2">
          <cell r="A2">
            <v>43462</v>
          </cell>
        </row>
      </sheetData>
      <sheetData sheetId="12484">
        <row r="2">
          <cell r="A2">
            <v>43462</v>
          </cell>
        </row>
      </sheetData>
      <sheetData sheetId="12485">
        <row r="2">
          <cell r="A2">
            <v>43462</v>
          </cell>
        </row>
      </sheetData>
      <sheetData sheetId="12486">
        <row r="2">
          <cell r="A2">
            <v>43462</v>
          </cell>
        </row>
      </sheetData>
      <sheetData sheetId="12487">
        <row r="2">
          <cell r="A2">
            <v>43462</v>
          </cell>
        </row>
      </sheetData>
      <sheetData sheetId="12488">
        <row r="2">
          <cell r="A2">
            <v>43462</v>
          </cell>
        </row>
      </sheetData>
      <sheetData sheetId="12489">
        <row r="2">
          <cell r="A2">
            <v>43462</v>
          </cell>
        </row>
      </sheetData>
      <sheetData sheetId="12490">
        <row r="2">
          <cell r="A2">
            <v>43462</v>
          </cell>
        </row>
      </sheetData>
      <sheetData sheetId="12491">
        <row r="2">
          <cell r="A2">
            <v>43462</v>
          </cell>
        </row>
      </sheetData>
      <sheetData sheetId="12492">
        <row r="2">
          <cell r="A2">
            <v>43462</v>
          </cell>
        </row>
      </sheetData>
      <sheetData sheetId="12493">
        <row r="2">
          <cell r="A2">
            <v>43462</v>
          </cell>
        </row>
      </sheetData>
      <sheetData sheetId="12494">
        <row r="2">
          <cell r="A2">
            <v>43462</v>
          </cell>
        </row>
      </sheetData>
      <sheetData sheetId="12495">
        <row r="2">
          <cell r="A2">
            <v>43462</v>
          </cell>
        </row>
      </sheetData>
      <sheetData sheetId="12496">
        <row r="2">
          <cell r="A2">
            <v>43462</v>
          </cell>
        </row>
      </sheetData>
      <sheetData sheetId="12497">
        <row r="2">
          <cell r="A2">
            <v>43462</v>
          </cell>
        </row>
      </sheetData>
      <sheetData sheetId="12498">
        <row r="2">
          <cell r="A2">
            <v>43462</v>
          </cell>
        </row>
      </sheetData>
      <sheetData sheetId="12499">
        <row r="2">
          <cell r="A2" t="str">
            <v>Complete</v>
          </cell>
        </row>
      </sheetData>
      <sheetData sheetId="12500">
        <row r="2">
          <cell r="A2" t="str">
            <v>Complete</v>
          </cell>
        </row>
      </sheetData>
      <sheetData sheetId="12501">
        <row r="2">
          <cell r="A2" t="str">
            <v>Complete</v>
          </cell>
        </row>
      </sheetData>
      <sheetData sheetId="12502">
        <row r="2">
          <cell r="A2" t="str">
            <v>Complete</v>
          </cell>
        </row>
      </sheetData>
      <sheetData sheetId="12503">
        <row r="2">
          <cell r="A2" t="str">
            <v>Complete</v>
          </cell>
        </row>
      </sheetData>
      <sheetData sheetId="12504">
        <row r="2">
          <cell r="A2" t="str">
            <v>Complete</v>
          </cell>
        </row>
      </sheetData>
      <sheetData sheetId="12505">
        <row r="2">
          <cell r="A2" t="str">
            <v>Complete</v>
          </cell>
        </row>
      </sheetData>
      <sheetData sheetId="12506">
        <row r="2">
          <cell r="A2" t="str">
            <v>Complete</v>
          </cell>
        </row>
      </sheetData>
      <sheetData sheetId="12507">
        <row r="2">
          <cell r="A2" t="str">
            <v>Complete</v>
          </cell>
        </row>
      </sheetData>
      <sheetData sheetId="12508">
        <row r="2">
          <cell r="A2" t="str">
            <v>Complete</v>
          </cell>
        </row>
      </sheetData>
      <sheetData sheetId="12509">
        <row r="2">
          <cell r="A2" t="str">
            <v>Complete</v>
          </cell>
        </row>
      </sheetData>
      <sheetData sheetId="12510">
        <row r="2">
          <cell r="A2" t="str">
            <v>Complete</v>
          </cell>
        </row>
      </sheetData>
      <sheetData sheetId="12511">
        <row r="2">
          <cell r="A2" t="str">
            <v>Complete</v>
          </cell>
        </row>
      </sheetData>
      <sheetData sheetId="12512">
        <row r="2">
          <cell r="A2" t="str">
            <v>Complete</v>
          </cell>
        </row>
      </sheetData>
      <sheetData sheetId="12513">
        <row r="2">
          <cell r="A2" t="str">
            <v>Complete</v>
          </cell>
        </row>
      </sheetData>
      <sheetData sheetId="12514">
        <row r="2">
          <cell r="A2" t="str">
            <v>Complete</v>
          </cell>
        </row>
      </sheetData>
      <sheetData sheetId="12515">
        <row r="2">
          <cell r="A2" t="str">
            <v>Complete</v>
          </cell>
        </row>
      </sheetData>
      <sheetData sheetId="12516">
        <row r="2">
          <cell r="A2" t="str">
            <v>Complete</v>
          </cell>
        </row>
      </sheetData>
      <sheetData sheetId="12517">
        <row r="2">
          <cell r="A2" t="str">
            <v>Complete</v>
          </cell>
        </row>
      </sheetData>
      <sheetData sheetId="12518">
        <row r="2">
          <cell r="A2" t="str">
            <v>Complete</v>
          </cell>
        </row>
      </sheetData>
      <sheetData sheetId="12519">
        <row r="2">
          <cell r="A2" t="str">
            <v>Complete</v>
          </cell>
        </row>
      </sheetData>
      <sheetData sheetId="12520">
        <row r="2">
          <cell r="A2" t="str">
            <v>Complete</v>
          </cell>
        </row>
      </sheetData>
      <sheetData sheetId="12521">
        <row r="2">
          <cell r="A2" t="str">
            <v>Complete</v>
          </cell>
        </row>
      </sheetData>
      <sheetData sheetId="12522">
        <row r="2">
          <cell r="A2">
            <v>43462</v>
          </cell>
        </row>
      </sheetData>
      <sheetData sheetId="12523">
        <row r="2">
          <cell r="A2">
            <v>43462</v>
          </cell>
        </row>
      </sheetData>
      <sheetData sheetId="12524">
        <row r="2">
          <cell r="A2">
            <v>43462</v>
          </cell>
        </row>
      </sheetData>
      <sheetData sheetId="12525">
        <row r="2">
          <cell r="A2">
            <v>43462</v>
          </cell>
        </row>
      </sheetData>
      <sheetData sheetId="12526">
        <row r="2">
          <cell r="A2">
            <v>43462</v>
          </cell>
        </row>
      </sheetData>
      <sheetData sheetId="12527">
        <row r="2">
          <cell r="A2">
            <v>43462</v>
          </cell>
        </row>
      </sheetData>
      <sheetData sheetId="12528">
        <row r="2">
          <cell r="A2">
            <v>43462</v>
          </cell>
        </row>
      </sheetData>
      <sheetData sheetId="12529">
        <row r="2">
          <cell r="A2">
            <v>43462</v>
          </cell>
        </row>
      </sheetData>
      <sheetData sheetId="12530">
        <row r="2">
          <cell r="A2">
            <v>43462</v>
          </cell>
        </row>
      </sheetData>
      <sheetData sheetId="12531">
        <row r="2">
          <cell r="A2">
            <v>43462</v>
          </cell>
        </row>
      </sheetData>
      <sheetData sheetId="12532">
        <row r="2">
          <cell r="A2">
            <v>43462</v>
          </cell>
        </row>
      </sheetData>
      <sheetData sheetId="12533">
        <row r="2">
          <cell r="A2">
            <v>43462</v>
          </cell>
        </row>
      </sheetData>
      <sheetData sheetId="12534">
        <row r="2">
          <cell r="A2">
            <v>43462</v>
          </cell>
        </row>
      </sheetData>
      <sheetData sheetId="12535">
        <row r="2">
          <cell r="A2">
            <v>43462</v>
          </cell>
        </row>
      </sheetData>
      <sheetData sheetId="12536">
        <row r="2">
          <cell r="A2">
            <v>43462</v>
          </cell>
        </row>
      </sheetData>
      <sheetData sheetId="12537">
        <row r="2">
          <cell r="A2" t="str">
            <v>Complete</v>
          </cell>
        </row>
      </sheetData>
      <sheetData sheetId="12538">
        <row r="2">
          <cell r="A2">
            <v>43462</v>
          </cell>
        </row>
      </sheetData>
      <sheetData sheetId="12539">
        <row r="2">
          <cell r="A2">
            <v>43462</v>
          </cell>
        </row>
      </sheetData>
      <sheetData sheetId="12540">
        <row r="2">
          <cell r="A2">
            <v>43462</v>
          </cell>
        </row>
      </sheetData>
      <sheetData sheetId="12541">
        <row r="2">
          <cell r="A2">
            <v>43462</v>
          </cell>
        </row>
      </sheetData>
      <sheetData sheetId="12542">
        <row r="2">
          <cell r="A2" t="str">
            <v>Complete</v>
          </cell>
        </row>
      </sheetData>
      <sheetData sheetId="12543">
        <row r="2">
          <cell r="A2" t="str">
            <v>Complete</v>
          </cell>
        </row>
      </sheetData>
      <sheetData sheetId="12544">
        <row r="2">
          <cell r="A2" t="str">
            <v>Complete</v>
          </cell>
        </row>
      </sheetData>
      <sheetData sheetId="12545">
        <row r="2">
          <cell r="A2" t="str">
            <v>Complete</v>
          </cell>
        </row>
      </sheetData>
      <sheetData sheetId="12546">
        <row r="2">
          <cell r="A2" t="str">
            <v>Complete</v>
          </cell>
        </row>
      </sheetData>
      <sheetData sheetId="12547">
        <row r="2">
          <cell r="A2" t="str">
            <v>Complete</v>
          </cell>
        </row>
      </sheetData>
      <sheetData sheetId="12548">
        <row r="2">
          <cell r="A2" t="str">
            <v>Complete</v>
          </cell>
        </row>
      </sheetData>
      <sheetData sheetId="12549">
        <row r="2">
          <cell r="A2" t="str">
            <v>Complete</v>
          </cell>
        </row>
      </sheetData>
      <sheetData sheetId="12550">
        <row r="2">
          <cell r="A2" t="str">
            <v>Complete</v>
          </cell>
        </row>
      </sheetData>
      <sheetData sheetId="12551">
        <row r="2">
          <cell r="A2" t="str">
            <v>Complete</v>
          </cell>
        </row>
      </sheetData>
      <sheetData sheetId="12552">
        <row r="2">
          <cell r="A2" t="str">
            <v>Complete</v>
          </cell>
        </row>
      </sheetData>
      <sheetData sheetId="12553">
        <row r="2">
          <cell r="A2" t="str">
            <v>Complete</v>
          </cell>
        </row>
      </sheetData>
      <sheetData sheetId="12554">
        <row r="2">
          <cell r="A2" t="str">
            <v>Complete</v>
          </cell>
        </row>
      </sheetData>
      <sheetData sheetId="12555">
        <row r="2">
          <cell r="A2" t="str">
            <v>Complete</v>
          </cell>
        </row>
      </sheetData>
      <sheetData sheetId="12556">
        <row r="2">
          <cell r="A2" t="str">
            <v>Complete</v>
          </cell>
        </row>
      </sheetData>
      <sheetData sheetId="12557">
        <row r="2">
          <cell r="A2" t="str">
            <v>Complete</v>
          </cell>
        </row>
      </sheetData>
      <sheetData sheetId="12558">
        <row r="2">
          <cell r="A2" t="str">
            <v>Complete</v>
          </cell>
        </row>
      </sheetData>
      <sheetData sheetId="12559">
        <row r="2">
          <cell r="A2" t="str">
            <v>Complete</v>
          </cell>
        </row>
      </sheetData>
      <sheetData sheetId="12560">
        <row r="2">
          <cell r="A2" t="str">
            <v>Complete</v>
          </cell>
        </row>
      </sheetData>
      <sheetData sheetId="12561">
        <row r="2">
          <cell r="A2" t="str">
            <v>Complete</v>
          </cell>
        </row>
      </sheetData>
      <sheetData sheetId="12562">
        <row r="2">
          <cell r="A2" t="str">
            <v>Complete</v>
          </cell>
        </row>
      </sheetData>
      <sheetData sheetId="12563">
        <row r="2">
          <cell r="A2" t="str">
            <v>Complete</v>
          </cell>
        </row>
      </sheetData>
      <sheetData sheetId="12564">
        <row r="2">
          <cell r="A2">
            <v>43462</v>
          </cell>
        </row>
      </sheetData>
      <sheetData sheetId="12565">
        <row r="2">
          <cell r="A2">
            <v>43462</v>
          </cell>
        </row>
      </sheetData>
      <sheetData sheetId="12566">
        <row r="2">
          <cell r="A2">
            <v>43462</v>
          </cell>
        </row>
      </sheetData>
      <sheetData sheetId="12567">
        <row r="2">
          <cell r="A2">
            <v>43462</v>
          </cell>
        </row>
      </sheetData>
      <sheetData sheetId="12568">
        <row r="2">
          <cell r="A2">
            <v>43462</v>
          </cell>
        </row>
      </sheetData>
      <sheetData sheetId="12569">
        <row r="2">
          <cell r="A2">
            <v>43462</v>
          </cell>
        </row>
      </sheetData>
      <sheetData sheetId="12570">
        <row r="2">
          <cell r="A2">
            <v>43462</v>
          </cell>
        </row>
      </sheetData>
      <sheetData sheetId="12571">
        <row r="2">
          <cell r="A2">
            <v>43462</v>
          </cell>
        </row>
      </sheetData>
      <sheetData sheetId="12572">
        <row r="2">
          <cell r="A2">
            <v>43462</v>
          </cell>
        </row>
      </sheetData>
      <sheetData sheetId="12573">
        <row r="2">
          <cell r="A2">
            <v>43462</v>
          </cell>
        </row>
      </sheetData>
      <sheetData sheetId="12574">
        <row r="2">
          <cell r="A2">
            <v>43462</v>
          </cell>
        </row>
      </sheetData>
      <sheetData sheetId="12575">
        <row r="2">
          <cell r="A2">
            <v>43462</v>
          </cell>
        </row>
      </sheetData>
      <sheetData sheetId="12576">
        <row r="2">
          <cell r="A2">
            <v>43462</v>
          </cell>
        </row>
      </sheetData>
      <sheetData sheetId="12577">
        <row r="2">
          <cell r="A2" t="str">
            <v>Complete</v>
          </cell>
        </row>
      </sheetData>
      <sheetData sheetId="12578">
        <row r="2">
          <cell r="A2">
            <v>43462</v>
          </cell>
        </row>
      </sheetData>
      <sheetData sheetId="12579">
        <row r="2">
          <cell r="A2">
            <v>43462</v>
          </cell>
        </row>
      </sheetData>
      <sheetData sheetId="12580">
        <row r="2">
          <cell r="A2">
            <v>43462</v>
          </cell>
        </row>
      </sheetData>
      <sheetData sheetId="12581">
        <row r="2">
          <cell r="A2">
            <v>43462</v>
          </cell>
        </row>
      </sheetData>
      <sheetData sheetId="12582">
        <row r="2">
          <cell r="A2">
            <v>43462</v>
          </cell>
        </row>
      </sheetData>
      <sheetData sheetId="12583">
        <row r="2">
          <cell r="A2" t="str">
            <v>Complete</v>
          </cell>
        </row>
      </sheetData>
      <sheetData sheetId="12584">
        <row r="2">
          <cell r="A2" t="str">
            <v>Complete</v>
          </cell>
        </row>
      </sheetData>
      <sheetData sheetId="12585">
        <row r="2">
          <cell r="A2" t="str">
            <v>Complete</v>
          </cell>
        </row>
      </sheetData>
      <sheetData sheetId="12586">
        <row r="2">
          <cell r="A2" t="str">
            <v>Complete</v>
          </cell>
        </row>
      </sheetData>
      <sheetData sheetId="12587">
        <row r="2">
          <cell r="A2" t="str">
            <v>Complete</v>
          </cell>
        </row>
      </sheetData>
      <sheetData sheetId="12588">
        <row r="2">
          <cell r="A2" t="str">
            <v>Complete</v>
          </cell>
        </row>
      </sheetData>
      <sheetData sheetId="12589">
        <row r="2">
          <cell r="A2" t="str">
            <v>Complete</v>
          </cell>
        </row>
      </sheetData>
      <sheetData sheetId="12590">
        <row r="2">
          <cell r="A2" t="str">
            <v>Complete</v>
          </cell>
        </row>
      </sheetData>
      <sheetData sheetId="12591">
        <row r="2">
          <cell r="A2" t="str">
            <v>Complete</v>
          </cell>
        </row>
      </sheetData>
      <sheetData sheetId="12592">
        <row r="2">
          <cell r="A2" t="str">
            <v>Complete</v>
          </cell>
        </row>
      </sheetData>
      <sheetData sheetId="12593">
        <row r="2">
          <cell r="A2" t="str">
            <v>Complete</v>
          </cell>
        </row>
      </sheetData>
      <sheetData sheetId="12594">
        <row r="2">
          <cell r="A2" t="str">
            <v>Complete</v>
          </cell>
        </row>
      </sheetData>
      <sheetData sheetId="12595">
        <row r="2">
          <cell r="A2" t="str">
            <v>Complete</v>
          </cell>
        </row>
      </sheetData>
      <sheetData sheetId="12596">
        <row r="2">
          <cell r="A2" t="str">
            <v>Complete</v>
          </cell>
        </row>
      </sheetData>
      <sheetData sheetId="12597">
        <row r="2">
          <cell r="A2" t="str">
            <v>Complete</v>
          </cell>
        </row>
      </sheetData>
      <sheetData sheetId="12598">
        <row r="2">
          <cell r="A2" t="str">
            <v>Complete</v>
          </cell>
        </row>
      </sheetData>
      <sheetData sheetId="12599">
        <row r="2">
          <cell r="A2" t="str">
            <v>Complete</v>
          </cell>
        </row>
      </sheetData>
      <sheetData sheetId="12600">
        <row r="2">
          <cell r="A2" t="str">
            <v>Complete</v>
          </cell>
        </row>
      </sheetData>
      <sheetData sheetId="12601">
        <row r="2">
          <cell r="A2" t="str">
            <v>Complete</v>
          </cell>
        </row>
      </sheetData>
      <sheetData sheetId="12602">
        <row r="2">
          <cell r="A2" t="str">
            <v>Complete</v>
          </cell>
        </row>
      </sheetData>
      <sheetData sheetId="12603">
        <row r="2">
          <cell r="A2" t="str">
            <v>Complete</v>
          </cell>
        </row>
      </sheetData>
      <sheetData sheetId="12604">
        <row r="2">
          <cell r="A2" t="str">
            <v>Complete</v>
          </cell>
        </row>
      </sheetData>
      <sheetData sheetId="12605">
        <row r="2">
          <cell r="A2" t="str">
            <v>Complete</v>
          </cell>
        </row>
      </sheetData>
      <sheetData sheetId="12606">
        <row r="2">
          <cell r="A2" t="str">
            <v>Complete</v>
          </cell>
        </row>
      </sheetData>
      <sheetData sheetId="12607">
        <row r="2">
          <cell r="A2">
            <v>43462</v>
          </cell>
        </row>
      </sheetData>
      <sheetData sheetId="12608">
        <row r="2">
          <cell r="A2">
            <v>43462</v>
          </cell>
        </row>
      </sheetData>
      <sheetData sheetId="12609">
        <row r="2">
          <cell r="A2">
            <v>43462</v>
          </cell>
        </row>
      </sheetData>
      <sheetData sheetId="12610">
        <row r="2">
          <cell r="A2">
            <v>43462</v>
          </cell>
        </row>
      </sheetData>
      <sheetData sheetId="12611">
        <row r="2">
          <cell r="A2">
            <v>43462</v>
          </cell>
        </row>
      </sheetData>
      <sheetData sheetId="12612">
        <row r="2">
          <cell r="A2">
            <v>43462</v>
          </cell>
        </row>
      </sheetData>
      <sheetData sheetId="12613">
        <row r="2">
          <cell r="A2">
            <v>43462</v>
          </cell>
        </row>
      </sheetData>
      <sheetData sheetId="12614">
        <row r="2">
          <cell r="A2">
            <v>43462</v>
          </cell>
        </row>
      </sheetData>
      <sheetData sheetId="12615">
        <row r="2">
          <cell r="A2">
            <v>43462</v>
          </cell>
        </row>
      </sheetData>
      <sheetData sheetId="12616">
        <row r="2">
          <cell r="A2">
            <v>43462</v>
          </cell>
        </row>
      </sheetData>
      <sheetData sheetId="12617">
        <row r="2">
          <cell r="A2" t="str">
            <v>Complete</v>
          </cell>
        </row>
      </sheetData>
      <sheetData sheetId="12618">
        <row r="2">
          <cell r="A2">
            <v>43462</v>
          </cell>
        </row>
      </sheetData>
      <sheetData sheetId="12619">
        <row r="2">
          <cell r="A2">
            <v>43462</v>
          </cell>
        </row>
      </sheetData>
      <sheetData sheetId="12620">
        <row r="2">
          <cell r="A2">
            <v>43462</v>
          </cell>
        </row>
      </sheetData>
      <sheetData sheetId="12621">
        <row r="2">
          <cell r="A2">
            <v>43462</v>
          </cell>
        </row>
      </sheetData>
      <sheetData sheetId="12622">
        <row r="2">
          <cell r="A2">
            <v>43462</v>
          </cell>
        </row>
      </sheetData>
      <sheetData sheetId="12623">
        <row r="2">
          <cell r="A2">
            <v>43462</v>
          </cell>
        </row>
      </sheetData>
      <sheetData sheetId="12624">
        <row r="2">
          <cell r="A2">
            <v>43462</v>
          </cell>
        </row>
      </sheetData>
      <sheetData sheetId="12625">
        <row r="2">
          <cell r="A2" t="str">
            <v>Complete</v>
          </cell>
        </row>
      </sheetData>
      <sheetData sheetId="12626">
        <row r="2">
          <cell r="A2" t="str">
            <v>Complete</v>
          </cell>
        </row>
      </sheetData>
      <sheetData sheetId="12627">
        <row r="2">
          <cell r="A2" t="str">
            <v>Complete</v>
          </cell>
        </row>
      </sheetData>
      <sheetData sheetId="12628">
        <row r="2">
          <cell r="A2" t="str">
            <v>Complete</v>
          </cell>
        </row>
      </sheetData>
      <sheetData sheetId="12629">
        <row r="2">
          <cell r="A2" t="str">
            <v>Complete</v>
          </cell>
        </row>
      </sheetData>
      <sheetData sheetId="12630">
        <row r="2">
          <cell r="A2" t="str">
            <v>Complete</v>
          </cell>
        </row>
      </sheetData>
      <sheetData sheetId="12631">
        <row r="2">
          <cell r="A2" t="str">
            <v>Complete</v>
          </cell>
        </row>
      </sheetData>
      <sheetData sheetId="12632">
        <row r="2">
          <cell r="A2" t="str">
            <v>Complete</v>
          </cell>
        </row>
      </sheetData>
      <sheetData sheetId="12633">
        <row r="2">
          <cell r="A2" t="str">
            <v>Complete</v>
          </cell>
        </row>
      </sheetData>
      <sheetData sheetId="12634">
        <row r="2">
          <cell r="A2" t="str">
            <v>Complete</v>
          </cell>
        </row>
      </sheetData>
      <sheetData sheetId="12635">
        <row r="2">
          <cell r="A2" t="str">
            <v>Complete</v>
          </cell>
        </row>
      </sheetData>
      <sheetData sheetId="12636">
        <row r="2">
          <cell r="A2" t="str">
            <v>Complete</v>
          </cell>
        </row>
      </sheetData>
      <sheetData sheetId="12637">
        <row r="2">
          <cell r="A2" t="str">
            <v>Complete</v>
          </cell>
        </row>
      </sheetData>
      <sheetData sheetId="12638">
        <row r="2">
          <cell r="A2" t="str">
            <v>Complete</v>
          </cell>
        </row>
      </sheetData>
      <sheetData sheetId="12639">
        <row r="2">
          <cell r="A2" t="str">
            <v>Complete</v>
          </cell>
        </row>
      </sheetData>
      <sheetData sheetId="12640">
        <row r="2">
          <cell r="A2" t="str">
            <v>Complete</v>
          </cell>
        </row>
      </sheetData>
      <sheetData sheetId="12641">
        <row r="2">
          <cell r="A2" t="str">
            <v>Complete</v>
          </cell>
        </row>
      </sheetData>
      <sheetData sheetId="12642">
        <row r="2">
          <cell r="A2" t="str">
            <v>Complete</v>
          </cell>
        </row>
      </sheetData>
      <sheetData sheetId="12643">
        <row r="2">
          <cell r="A2" t="str">
            <v>Complete</v>
          </cell>
        </row>
      </sheetData>
      <sheetData sheetId="12644">
        <row r="2">
          <cell r="A2" t="str">
            <v>Complete</v>
          </cell>
        </row>
      </sheetData>
      <sheetData sheetId="12645">
        <row r="2">
          <cell r="A2" t="str">
            <v>Complete</v>
          </cell>
        </row>
      </sheetData>
      <sheetData sheetId="12646">
        <row r="2">
          <cell r="A2" t="str">
            <v>Complete</v>
          </cell>
        </row>
      </sheetData>
      <sheetData sheetId="12647">
        <row r="2">
          <cell r="A2" t="str">
            <v>Complete</v>
          </cell>
        </row>
      </sheetData>
      <sheetData sheetId="12648">
        <row r="2">
          <cell r="A2">
            <v>43462</v>
          </cell>
        </row>
      </sheetData>
      <sheetData sheetId="12649">
        <row r="2">
          <cell r="A2">
            <v>43462</v>
          </cell>
        </row>
      </sheetData>
      <sheetData sheetId="12650">
        <row r="2">
          <cell r="A2">
            <v>43462</v>
          </cell>
        </row>
      </sheetData>
      <sheetData sheetId="12651">
        <row r="2">
          <cell r="A2">
            <v>43462</v>
          </cell>
        </row>
      </sheetData>
      <sheetData sheetId="12652">
        <row r="2">
          <cell r="A2">
            <v>43462</v>
          </cell>
        </row>
      </sheetData>
      <sheetData sheetId="12653">
        <row r="2">
          <cell r="A2">
            <v>43462</v>
          </cell>
        </row>
      </sheetData>
      <sheetData sheetId="12654">
        <row r="2">
          <cell r="A2">
            <v>43462</v>
          </cell>
        </row>
      </sheetData>
      <sheetData sheetId="12655">
        <row r="2">
          <cell r="A2">
            <v>43462</v>
          </cell>
        </row>
      </sheetData>
      <sheetData sheetId="12656">
        <row r="2">
          <cell r="A2">
            <v>43462</v>
          </cell>
        </row>
      </sheetData>
      <sheetData sheetId="12657">
        <row r="2">
          <cell r="A2">
            <v>43462</v>
          </cell>
        </row>
      </sheetData>
      <sheetData sheetId="12658">
        <row r="2">
          <cell r="A2">
            <v>43462</v>
          </cell>
        </row>
      </sheetData>
      <sheetData sheetId="12659">
        <row r="2">
          <cell r="A2">
            <v>43462</v>
          </cell>
        </row>
      </sheetData>
      <sheetData sheetId="12660">
        <row r="2">
          <cell r="A2">
            <v>43462</v>
          </cell>
        </row>
      </sheetData>
      <sheetData sheetId="12661">
        <row r="2">
          <cell r="A2">
            <v>43462</v>
          </cell>
        </row>
      </sheetData>
      <sheetData sheetId="12662">
        <row r="2">
          <cell r="A2">
            <v>43462</v>
          </cell>
        </row>
      </sheetData>
      <sheetData sheetId="12663">
        <row r="2">
          <cell r="A2">
            <v>43462</v>
          </cell>
        </row>
      </sheetData>
      <sheetData sheetId="12664">
        <row r="2">
          <cell r="A2">
            <v>43462</v>
          </cell>
        </row>
      </sheetData>
      <sheetData sheetId="12665">
        <row r="2">
          <cell r="A2" t="str">
            <v>Complete</v>
          </cell>
        </row>
      </sheetData>
      <sheetData sheetId="12666">
        <row r="2">
          <cell r="A2">
            <v>43462</v>
          </cell>
        </row>
      </sheetData>
      <sheetData sheetId="12667">
        <row r="2">
          <cell r="A2">
            <v>43462</v>
          </cell>
        </row>
      </sheetData>
      <sheetData sheetId="12668">
        <row r="2">
          <cell r="A2" t="str">
            <v>Complete</v>
          </cell>
        </row>
      </sheetData>
      <sheetData sheetId="12669">
        <row r="2">
          <cell r="A2" t="str">
            <v>Complete</v>
          </cell>
        </row>
      </sheetData>
      <sheetData sheetId="12670">
        <row r="2">
          <cell r="A2" t="str">
            <v>Complete</v>
          </cell>
        </row>
      </sheetData>
      <sheetData sheetId="12671">
        <row r="2">
          <cell r="A2" t="str">
            <v>Complete</v>
          </cell>
        </row>
      </sheetData>
      <sheetData sheetId="12672">
        <row r="2">
          <cell r="A2" t="str">
            <v>Complete</v>
          </cell>
        </row>
      </sheetData>
      <sheetData sheetId="12673">
        <row r="2">
          <cell r="A2" t="str">
            <v>Complete</v>
          </cell>
        </row>
      </sheetData>
      <sheetData sheetId="12674">
        <row r="2">
          <cell r="A2" t="str">
            <v>Complete</v>
          </cell>
        </row>
      </sheetData>
      <sheetData sheetId="12675">
        <row r="2">
          <cell r="A2" t="str">
            <v>Complete</v>
          </cell>
        </row>
      </sheetData>
      <sheetData sheetId="12676">
        <row r="2">
          <cell r="A2" t="str">
            <v>Complete</v>
          </cell>
        </row>
      </sheetData>
      <sheetData sheetId="12677">
        <row r="2">
          <cell r="A2" t="str">
            <v>Complete</v>
          </cell>
        </row>
      </sheetData>
      <sheetData sheetId="12678">
        <row r="2">
          <cell r="A2" t="str">
            <v>Complete</v>
          </cell>
        </row>
      </sheetData>
      <sheetData sheetId="12679">
        <row r="2">
          <cell r="A2" t="str">
            <v>Complete</v>
          </cell>
        </row>
      </sheetData>
      <sheetData sheetId="12680">
        <row r="2">
          <cell r="A2" t="str">
            <v>Complete</v>
          </cell>
        </row>
      </sheetData>
      <sheetData sheetId="12681">
        <row r="2">
          <cell r="A2" t="str">
            <v>Complete</v>
          </cell>
        </row>
      </sheetData>
      <sheetData sheetId="12682">
        <row r="2">
          <cell r="A2" t="str">
            <v>Complete</v>
          </cell>
        </row>
      </sheetData>
      <sheetData sheetId="12683">
        <row r="2">
          <cell r="A2" t="str">
            <v>Complete</v>
          </cell>
        </row>
      </sheetData>
      <sheetData sheetId="12684">
        <row r="2">
          <cell r="A2" t="str">
            <v>Complete</v>
          </cell>
        </row>
      </sheetData>
      <sheetData sheetId="12685">
        <row r="2">
          <cell r="A2" t="str">
            <v>Complete</v>
          </cell>
        </row>
      </sheetData>
      <sheetData sheetId="12686">
        <row r="2">
          <cell r="A2" t="str">
            <v>Complete</v>
          </cell>
        </row>
      </sheetData>
      <sheetData sheetId="12687">
        <row r="2">
          <cell r="A2" t="str">
            <v>Complete</v>
          </cell>
        </row>
      </sheetData>
      <sheetData sheetId="12688">
        <row r="2">
          <cell r="A2" t="str">
            <v>Complete</v>
          </cell>
        </row>
      </sheetData>
      <sheetData sheetId="12689">
        <row r="2">
          <cell r="A2" t="str">
            <v>Complete</v>
          </cell>
        </row>
      </sheetData>
      <sheetData sheetId="12690">
        <row r="2">
          <cell r="A2" t="str">
            <v>Complete</v>
          </cell>
        </row>
      </sheetData>
      <sheetData sheetId="12691">
        <row r="2">
          <cell r="A2">
            <v>43462</v>
          </cell>
        </row>
      </sheetData>
      <sheetData sheetId="12692">
        <row r="2">
          <cell r="A2">
            <v>43462</v>
          </cell>
        </row>
      </sheetData>
      <sheetData sheetId="12693">
        <row r="2">
          <cell r="A2">
            <v>43462</v>
          </cell>
        </row>
      </sheetData>
      <sheetData sheetId="12694">
        <row r="2">
          <cell r="A2">
            <v>43462</v>
          </cell>
        </row>
      </sheetData>
      <sheetData sheetId="12695">
        <row r="2">
          <cell r="A2">
            <v>43462</v>
          </cell>
        </row>
      </sheetData>
      <sheetData sheetId="12696">
        <row r="2">
          <cell r="A2">
            <v>43462</v>
          </cell>
        </row>
      </sheetData>
      <sheetData sheetId="12697">
        <row r="2">
          <cell r="A2">
            <v>43462</v>
          </cell>
        </row>
      </sheetData>
      <sheetData sheetId="12698">
        <row r="2">
          <cell r="A2">
            <v>43462</v>
          </cell>
        </row>
      </sheetData>
      <sheetData sheetId="12699">
        <row r="2">
          <cell r="A2">
            <v>43462</v>
          </cell>
        </row>
      </sheetData>
      <sheetData sheetId="12700">
        <row r="2">
          <cell r="A2">
            <v>43462</v>
          </cell>
        </row>
      </sheetData>
      <sheetData sheetId="12701">
        <row r="2">
          <cell r="A2">
            <v>43462</v>
          </cell>
        </row>
      </sheetData>
      <sheetData sheetId="12702">
        <row r="2">
          <cell r="A2" t="str">
            <v>Complete</v>
          </cell>
        </row>
      </sheetData>
      <sheetData sheetId="12703">
        <row r="2">
          <cell r="A2">
            <v>43462</v>
          </cell>
        </row>
      </sheetData>
      <sheetData sheetId="12704">
        <row r="2">
          <cell r="A2" t="str">
            <v>Complete</v>
          </cell>
        </row>
      </sheetData>
      <sheetData sheetId="12705">
        <row r="2">
          <cell r="A2">
            <v>43462</v>
          </cell>
        </row>
      </sheetData>
      <sheetData sheetId="12706">
        <row r="2">
          <cell r="A2" t="str">
            <v>Complete</v>
          </cell>
        </row>
      </sheetData>
      <sheetData sheetId="12707">
        <row r="2">
          <cell r="A2">
            <v>43462</v>
          </cell>
        </row>
      </sheetData>
      <sheetData sheetId="12708">
        <row r="2">
          <cell r="A2" t="str">
            <v>Complete</v>
          </cell>
        </row>
      </sheetData>
      <sheetData sheetId="12709">
        <row r="2">
          <cell r="A2">
            <v>43462</v>
          </cell>
        </row>
      </sheetData>
      <sheetData sheetId="12710">
        <row r="2">
          <cell r="A2" t="str">
            <v>Complete</v>
          </cell>
        </row>
      </sheetData>
      <sheetData sheetId="12711">
        <row r="2">
          <cell r="A2" t="str">
            <v>Complete</v>
          </cell>
        </row>
      </sheetData>
      <sheetData sheetId="12712">
        <row r="2">
          <cell r="A2" t="str">
            <v>Complete</v>
          </cell>
        </row>
      </sheetData>
      <sheetData sheetId="12713">
        <row r="2">
          <cell r="A2" t="str">
            <v>Complete</v>
          </cell>
        </row>
      </sheetData>
      <sheetData sheetId="12714">
        <row r="2">
          <cell r="A2" t="str">
            <v>Complete</v>
          </cell>
        </row>
      </sheetData>
      <sheetData sheetId="12715">
        <row r="2">
          <cell r="A2" t="str">
            <v>Complete</v>
          </cell>
        </row>
      </sheetData>
      <sheetData sheetId="12716">
        <row r="2">
          <cell r="A2" t="str">
            <v>Complete</v>
          </cell>
        </row>
      </sheetData>
      <sheetData sheetId="12717">
        <row r="2">
          <cell r="A2" t="str">
            <v>Complete</v>
          </cell>
        </row>
      </sheetData>
      <sheetData sheetId="12718">
        <row r="2">
          <cell r="A2" t="str">
            <v>Complete</v>
          </cell>
        </row>
      </sheetData>
      <sheetData sheetId="12719">
        <row r="2">
          <cell r="A2" t="str">
            <v>Complete</v>
          </cell>
        </row>
      </sheetData>
      <sheetData sheetId="12720">
        <row r="2">
          <cell r="A2" t="str">
            <v>Complete</v>
          </cell>
        </row>
      </sheetData>
      <sheetData sheetId="12721">
        <row r="2">
          <cell r="A2" t="str">
            <v>Complete</v>
          </cell>
        </row>
      </sheetData>
      <sheetData sheetId="12722">
        <row r="2">
          <cell r="A2" t="str">
            <v>Complete</v>
          </cell>
        </row>
      </sheetData>
      <sheetData sheetId="12723">
        <row r="2">
          <cell r="A2" t="str">
            <v>Complete</v>
          </cell>
        </row>
      </sheetData>
      <sheetData sheetId="12724">
        <row r="2">
          <cell r="A2" t="str">
            <v>Complete</v>
          </cell>
        </row>
      </sheetData>
      <sheetData sheetId="12725">
        <row r="2">
          <cell r="A2" t="str">
            <v>Complete</v>
          </cell>
        </row>
      </sheetData>
      <sheetData sheetId="12726">
        <row r="2">
          <cell r="A2" t="str">
            <v>Complete</v>
          </cell>
        </row>
      </sheetData>
      <sheetData sheetId="12727">
        <row r="2">
          <cell r="A2" t="str">
            <v>Complete</v>
          </cell>
        </row>
      </sheetData>
      <sheetData sheetId="12728">
        <row r="2">
          <cell r="A2" t="str">
            <v>Complete</v>
          </cell>
        </row>
      </sheetData>
      <sheetData sheetId="12729">
        <row r="2">
          <cell r="A2" t="str">
            <v>Complete</v>
          </cell>
        </row>
      </sheetData>
      <sheetData sheetId="12730">
        <row r="2">
          <cell r="A2" t="str">
            <v>Complete</v>
          </cell>
        </row>
      </sheetData>
      <sheetData sheetId="12731">
        <row r="2">
          <cell r="A2" t="str">
            <v>Complete</v>
          </cell>
        </row>
      </sheetData>
      <sheetData sheetId="12732">
        <row r="2">
          <cell r="A2" t="str">
            <v>Complete</v>
          </cell>
        </row>
      </sheetData>
      <sheetData sheetId="12733">
        <row r="2">
          <cell r="A2">
            <v>43462</v>
          </cell>
        </row>
      </sheetData>
      <sheetData sheetId="12734">
        <row r="2">
          <cell r="A2">
            <v>43462</v>
          </cell>
        </row>
      </sheetData>
      <sheetData sheetId="12735">
        <row r="2">
          <cell r="A2">
            <v>43462</v>
          </cell>
        </row>
      </sheetData>
      <sheetData sheetId="12736">
        <row r="2">
          <cell r="A2" t="str">
            <v>Complete</v>
          </cell>
        </row>
      </sheetData>
      <sheetData sheetId="12737">
        <row r="2">
          <cell r="A2">
            <v>43462</v>
          </cell>
        </row>
      </sheetData>
      <sheetData sheetId="12738">
        <row r="2">
          <cell r="A2">
            <v>43462</v>
          </cell>
        </row>
      </sheetData>
      <sheetData sheetId="12739">
        <row r="2">
          <cell r="A2">
            <v>43462</v>
          </cell>
        </row>
      </sheetData>
      <sheetData sheetId="12740">
        <row r="2">
          <cell r="A2">
            <v>43462</v>
          </cell>
        </row>
      </sheetData>
      <sheetData sheetId="12741">
        <row r="2">
          <cell r="A2">
            <v>43462</v>
          </cell>
        </row>
      </sheetData>
      <sheetData sheetId="12742">
        <row r="2">
          <cell r="A2">
            <v>43462</v>
          </cell>
        </row>
      </sheetData>
      <sheetData sheetId="12743">
        <row r="2">
          <cell r="A2">
            <v>43462</v>
          </cell>
        </row>
      </sheetData>
      <sheetData sheetId="12744">
        <row r="2">
          <cell r="A2">
            <v>43462</v>
          </cell>
        </row>
      </sheetData>
      <sheetData sheetId="12745">
        <row r="2">
          <cell r="A2">
            <v>43462</v>
          </cell>
        </row>
      </sheetData>
      <sheetData sheetId="12746">
        <row r="2">
          <cell r="A2">
            <v>43462</v>
          </cell>
        </row>
      </sheetData>
      <sheetData sheetId="12747">
        <row r="2">
          <cell r="A2">
            <v>43462</v>
          </cell>
        </row>
      </sheetData>
      <sheetData sheetId="12748">
        <row r="2">
          <cell r="A2">
            <v>43462</v>
          </cell>
        </row>
      </sheetData>
      <sheetData sheetId="12749">
        <row r="2">
          <cell r="A2">
            <v>43462</v>
          </cell>
        </row>
      </sheetData>
      <sheetData sheetId="12750">
        <row r="2">
          <cell r="A2">
            <v>43462</v>
          </cell>
        </row>
      </sheetData>
      <sheetData sheetId="12751">
        <row r="2">
          <cell r="A2" t="str">
            <v>Complete</v>
          </cell>
        </row>
      </sheetData>
      <sheetData sheetId="12752">
        <row r="2">
          <cell r="A2" t="str">
            <v>Complete</v>
          </cell>
        </row>
      </sheetData>
      <sheetData sheetId="12753">
        <row r="2">
          <cell r="A2" t="str">
            <v>Complete</v>
          </cell>
        </row>
      </sheetData>
      <sheetData sheetId="12754">
        <row r="2">
          <cell r="A2" t="str">
            <v>Complete</v>
          </cell>
        </row>
      </sheetData>
      <sheetData sheetId="12755">
        <row r="2">
          <cell r="A2" t="str">
            <v>Complete</v>
          </cell>
        </row>
      </sheetData>
      <sheetData sheetId="12756">
        <row r="2">
          <cell r="A2" t="str">
            <v>Complete</v>
          </cell>
        </row>
      </sheetData>
      <sheetData sheetId="12757">
        <row r="2">
          <cell r="A2" t="str">
            <v>Complete</v>
          </cell>
        </row>
      </sheetData>
      <sheetData sheetId="12758">
        <row r="2">
          <cell r="A2" t="str">
            <v>Complete</v>
          </cell>
        </row>
      </sheetData>
      <sheetData sheetId="12759">
        <row r="2">
          <cell r="A2" t="str">
            <v>Complete</v>
          </cell>
        </row>
      </sheetData>
      <sheetData sheetId="12760">
        <row r="2">
          <cell r="A2" t="str">
            <v>Complete</v>
          </cell>
        </row>
      </sheetData>
      <sheetData sheetId="12761">
        <row r="2">
          <cell r="A2" t="str">
            <v>Complete</v>
          </cell>
        </row>
      </sheetData>
      <sheetData sheetId="12762">
        <row r="2">
          <cell r="A2" t="str">
            <v>Complete</v>
          </cell>
        </row>
      </sheetData>
      <sheetData sheetId="12763">
        <row r="2">
          <cell r="A2" t="str">
            <v>Complete</v>
          </cell>
        </row>
      </sheetData>
      <sheetData sheetId="12764">
        <row r="2">
          <cell r="A2" t="str">
            <v>Complete</v>
          </cell>
        </row>
      </sheetData>
      <sheetData sheetId="12765">
        <row r="2">
          <cell r="A2" t="str">
            <v>Complete</v>
          </cell>
        </row>
      </sheetData>
      <sheetData sheetId="12766">
        <row r="2">
          <cell r="A2" t="str">
            <v>Complete</v>
          </cell>
        </row>
      </sheetData>
      <sheetData sheetId="12767">
        <row r="2">
          <cell r="A2" t="str">
            <v>Complete</v>
          </cell>
        </row>
      </sheetData>
      <sheetData sheetId="12768">
        <row r="2">
          <cell r="A2" t="str">
            <v>Complete</v>
          </cell>
        </row>
      </sheetData>
      <sheetData sheetId="12769">
        <row r="2">
          <cell r="A2" t="str">
            <v>Complete</v>
          </cell>
        </row>
      </sheetData>
      <sheetData sheetId="12770">
        <row r="2">
          <cell r="A2" t="str">
            <v>Complete</v>
          </cell>
        </row>
      </sheetData>
      <sheetData sheetId="12771">
        <row r="2">
          <cell r="A2" t="str">
            <v>Complete</v>
          </cell>
        </row>
      </sheetData>
      <sheetData sheetId="12772">
        <row r="2">
          <cell r="A2" t="str">
            <v>Complete</v>
          </cell>
        </row>
      </sheetData>
      <sheetData sheetId="12773">
        <row r="2">
          <cell r="A2" t="str">
            <v>Complete</v>
          </cell>
        </row>
      </sheetData>
      <sheetData sheetId="12774">
        <row r="2">
          <cell r="A2">
            <v>43462</v>
          </cell>
        </row>
      </sheetData>
      <sheetData sheetId="12775">
        <row r="2">
          <cell r="A2" t="str">
            <v>Complete</v>
          </cell>
        </row>
      </sheetData>
      <sheetData sheetId="12776">
        <row r="2">
          <cell r="A2">
            <v>43462</v>
          </cell>
        </row>
      </sheetData>
      <sheetData sheetId="12777">
        <row r="2">
          <cell r="A2" t="str">
            <v>Complete</v>
          </cell>
        </row>
      </sheetData>
      <sheetData sheetId="12778">
        <row r="2">
          <cell r="A2">
            <v>43462</v>
          </cell>
        </row>
      </sheetData>
      <sheetData sheetId="12779">
        <row r="2">
          <cell r="A2" t="str">
            <v>Complete</v>
          </cell>
        </row>
      </sheetData>
      <sheetData sheetId="12780">
        <row r="2">
          <cell r="A2">
            <v>43462</v>
          </cell>
        </row>
      </sheetData>
      <sheetData sheetId="12781">
        <row r="2">
          <cell r="A2" t="str">
            <v>Complete</v>
          </cell>
        </row>
      </sheetData>
      <sheetData sheetId="12782">
        <row r="2">
          <cell r="A2">
            <v>43462</v>
          </cell>
        </row>
      </sheetData>
      <sheetData sheetId="12783">
        <row r="2">
          <cell r="A2" t="str">
            <v>Complete</v>
          </cell>
        </row>
      </sheetData>
      <sheetData sheetId="12784">
        <row r="2">
          <cell r="A2">
            <v>43462</v>
          </cell>
        </row>
      </sheetData>
      <sheetData sheetId="12785">
        <row r="2">
          <cell r="A2">
            <v>43462</v>
          </cell>
        </row>
      </sheetData>
      <sheetData sheetId="12786">
        <row r="2">
          <cell r="A2">
            <v>43462</v>
          </cell>
        </row>
      </sheetData>
      <sheetData sheetId="12787">
        <row r="2">
          <cell r="A2">
            <v>43462</v>
          </cell>
        </row>
      </sheetData>
      <sheetData sheetId="12788">
        <row r="2">
          <cell r="A2">
            <v>43462</v>
          </cell>
        </row>
      </sheetData>
      <sheetData sheetId="12789">
        <row r="2">
          <cell r="A2">
            <v>43462</v>
          </cell>
        </row>
      </sheetData>
      <sheetData sheetId="12790">
        <row r="2">
          <cell r="A2">
            <v>43462</v>
          </cell>
        </row>
      </sheetData>
      <sheetData sheetId="12791">
        <row r="2">
          <cell r="A2">
            <v>43462</v>
          </cell>
        </row>
      </sheetData>
      <sheetData sheetId="12792">
        <row r="2">
          <cell r="A2">
            <v>43462</v>
          </cell>
        </row>
      </sheetData>
      <sheetData sheetId="12793">
        <row r="2">
          <cell r="A2">
            <v>43462</v>
          </cell>
        </row>
      </sheetData>
      <sheetData sheetId="12794">
        <row r="2">
          <cell r="A2" t="str">
            <v>Complete</v>
          </cell>
        </row>
      </sheetData>
      <sheetData sheetId="12795">
        <row r="2">
          <cell r="A2" t="str">
            <v>Complete</v>
          </cell>
        </row>
      </sheetData>
      <sheetData sheetId="12796">
        <row r="2">
          <cell r="A2" t="str">
            <v>Complete</v>
          </cell>
        </row>
      </sheetData>
      <sheetData sheetId="12797">
        <row r="2">
          <cell r="A2" t="str">
            <v>Complete</v>
          </cell>
        </row>
      </sheetData>
      <sheetData sheetId="12798">
        <row r="2">
          <cell r="A2" t="str">
            <v>Complete</v>
          </cell>
        </row>
      </sheetData>
      <sheetData sheetId="12799">
        <row r="2">
          <cell r="A2" t="str">
            <v>Complete</v>
          </cell>
        </row>
      </sheetData>
      <sheetData sheetId="12800">
        <row r="2">
          <cell r="A2" t="str">
            <v>Complete</v>
          </cell>
        </row>
      </sheetData>
      <sheetData sheetId="12801">
        <row r="2">
          <cell r="A2" t="str">
            <v>Complete</v>
          </cell>
        </row>
      </sheetData>
      <sheetData sheetId="12802">
        <row r="2">
          <cell r="A2" t="str">
            <v>Complete</v>
          </cell>
        </row>
      </sheetData>
      <sheetData sheetId="12803">
        <row r="2">
          <cell r="A2" t="str">
            <v>Complete</v>
          </cell>
        </row>
      </sheetData>
      <sheetData sheetId="12804">
        <row r="2">
          <cell r="A2" t="str">
            <v>Complete</v>
          </cell>
        </row>
      </sheetData>
      <sheetData sheetId="12805">
        <row r="2">
          <cell r="A2" t="str">
            <v>Complete</v>
          </cell>
        </row>
      </sheetData>
      <sheetData sheetId="12806">
        <row r="2">
          <cell r="A2" t="str">
            <v>Complete</v>
          </cell>
        </row>
      </sheetData>
      <sheetData sheetId="12807">
        <row r="2">
          <cell r="A2" t="str">
            <v>Complete</v>
          </cell>
        </row>
      </sheetData>
      <sheetData sheetId="12808">
        <row r="2">
          <cell r="A2" t="str">
            <v>Complete</v>
          </cell>
        </row>
      </sheetData>
      <sheetData sheetId="12809">
        <row r="2">
          <cell r="A2" t="str">
            <v>Complete</v>
          </cell>
        </row>
      </sheetData>
      <sheetData sheetId="12810">
        <row r="2">
          <cell r="A2" t="str">
            <v>Complete</v>
          </cell>
        </row>
      </sheetData>
      <sheetData sheetId="12811">
        <row r="2">
          <cell r="A2" t="str">
            <v>Complete</v>
          </cell>
        </row>
      </sheetData>
      <sheetData sheetId="12812">
        <row r="2">
          <cell r="A2" t="str">
            <v>Complete</v>
          </cell>
        </row>
      </sheetData>
      <sheetData sheetId="12813">
        <row r="2">
          <cell r="A2" t="str">
            <v>Complete</v>
          </cell>
        </row>
      </sheetData>
      <sheetData sheetId="12814">
        <row r="2">
          <cell r="A2" t="str">
            <v>Complete</v>
          </cell>
        </row>
      </sheetData>
      <sheetData sheetId="12815">
        <row r="2">
          <cell r="A2" t="str">
            <v>Complete</v>
          </cell>
        </row>
      </sheetData>
      <sheetData sheetId="12816">
        <row r="2">
          <cell r="A2" t="str">
            <v>Complete</v>
          </cell>
        </row>
      </sheetData>
      <sheetData sheetId="12817">
        <row r="2">
          <cell r="A2">
            <v>43462</v>
          </cell>
        </row>
      </sheetData>
      <sheetData sheetId="12818">
        <row r="2">
          <cell r="A2" t="str">
            <v>Complete</v>
          </cell>
        </row>
      </sheetData>
      <sheetData sheetId="12819">
        <row r="2">
          <cell r="A2">
            <v>43462</v>
          </cell>
        </row>
      </sheetData>
      <sheetData sheetId="12820">
        <row r="2">
          <cell r="A2" t="str">
            <v>Complete</v>
          </cell>
        </row>
      </sheetData>
      <sheetData sheetId="12821">
        <row r="2">
          <cell r="A2">
            <v>43462</v>
          </cell>
        </row>
      </sheetData>
      <sheetData sheetId="12822">
        <row r="2">
          <cell r="A2" t="str">
            <v>Complete</v>
          </cell>
        </row>
      </sheetData>
      <sheetData sheetId="12823">
        <row r="2">
          <cell r="A2">
            <v>43462</v>
          </cell>
        </row>
      </sheetData>
      <sheetData sheetId="12824">
        <row r="2">
          <cell r="A2" t="str">
            <v>Complete</v>
          </cell>
        </row>
      </sheetData>
      <sheetData sheetId="12825">
        <row r="2">
          <cell r="A2">
            <v>43462</v>
          </cell>
        </row>
      </sheetData>
      <sheetData sheetId="12826">
        <row r="2">
          <cell r="A2" t="str">
            <v>Complete</v>
          </cell>
        </row>
      </sheetData>
      <sheetData sheetId="12827">
        <row r="2">
          <cell r="A2">
            <v>43462</v>
          </cell>
        </row>
      </sheetData>
      <sheetData sheetId="12828">
        <row r="2">
          <cell r="A2">
            <v>43462</v>
          </cell>
        </row>
      </sheetData>
      <sheetData sheetId="12829">
        <row r="2">
          <cell r="A2">
            <v>43462</v>
          </cell>
        </row>
      </sheetData>
      <sheetData sheetId="12830">
        <row r="2">
          <cell r="A2">
            <v>43462</v>
          </cell>
        </row>
      </sheetData>
      <sheetData sheetId="12831">
        <row r="2">
          <cell r="A2">
            <v>43462</v>
          </cell>
        </row>
      </sheetData>
      <sheetData sheetId="12832">
        <row r="2">
          <cell r="A2">
            <v>43462</v>
          </cell>
        </row>
      </sheetData>
      <sheetData sheetId="12833">
        <row r="2">
          <cell r="A2">
            <v>43462</v>
          </cell>
        </row>
      </sheetData>
      <sheetData sheetId="12834">
        <row r="2">
          <cell r="A2">
            <v>43462</v>
          </cell>
        </row>
      </sheetData>
      <sheetData sheetId="12835">
        <row r="2">
          <cell r="A2">
            <v>43462</v>
          </cell>
        </row>
      </sheetData>
      <sheetData sheetId="12836">
        <row r="2">
          <cell r="A2" t="str">
            <v>Complete</v>
          </cell>
        </row>
      </sheetData>
      <sheetData sheetId="12837">
        <row r="2">
          <cell r="A2" t="str">
            <v>Complete</v>
          </cell>
        </row>
      </sheetData>
      <sheetData sheetId="12838">
        <row r="2">
          <cell r="A2" t="str">
            <v>Complete</v>
          </cell>
        </row>
      </sheetData>
      <sheetData sheetId="12839">
        <row r="2">
          <cell r="A2" t="str">
            <v>Complete</v>
          </cell>
        </row>
      </sheetData>
      <sheetData sheetId="12840">
        <row r="2">
          <cell r="A2" t="str">
            <v>Complete</v>
          </cell>
        </row>
      </sheetData>
      <sheetData sheetId="12841">
        <row r="2">
          <cell r="A2" t="str">
            <v>Complete</v>
          </cell>
        </row>
      </sheetData>
      <sheetData sheetId="12842">
        <row r="2">
          <cell r="A2" t="str">
            <v>Complete</v>
          </cell>
        </row>
      </sheetData>
      <sheetData sheetId="12843">
        <row r="2">
          <cell r="A2" t="str">
            <v>Complete</v>
          </cell>
        </row>
      </sheetData>
      <sheetData sheetId="12844">
        <row r="2">
          <cell r="A2" t="str">
            <v>Complete</v>
          </cell>
        </row>
      </sheetData>
      <sheetData sheetId="12845">
        <row r="2">
          <cell r="A2" t="str">
            <v>Complete</v>
          </cell>
        </row>
      </sheetData>
      <sheetData sheetId="12846">
        <row r="2">
          <cell r="A2" t="str">
            <v>Complete</v>
          </cell>
        </row>
      </sheetData>
      <sheetData sheetId="12847">
        <row r="2">
          <cell r="A2" t="str">
            <v>Complete</v>
          </cell>
        </row>
      </sheetData>
      <sheetData sheetId="12848">
        <row r="2">
          <cell r="A2" t="str">
            <v>Complete</v>
          </cell>
        </row>
      </sheetData>
      <sheetData sheetId="12849">
        <row r="2">
          <cell r="A2" t="str">
            <v>Complete</v>
          </cell>
        </row>
      </sheetData>
      <sheetData sheetId="12850">
        <row r="2">
          <cell r="A2" t="str">
            <v>Complete</v>
          </cell>
        </row>
      </sheetData>
      <sheetData sheetId="12851">
        <row r="2">
          <cell r="A2" t="str">
            <v>Complete</v>
          </cell>
        </row>
      </sheetData>
      <sheetData sheetId="12852">
        <row r="2">
          <cell r="A2" t="str">
            <v>Complete</v>
          </cell>
        </row>
      </sheetData>
      <sheetData sheetId="12853">
        <row r="2">
          <cell r="A2" t="str">
            <v>Complete</v>
          </cell>
        </row>
      </sheetData>
      <sheetData sheetId="12854">
        <row r="2">
          <cell r="A2" t="str">
            <v>Complete</v>
          </cell>
        </row>
      </sheetData>
      <sheetData sheetId="12855">
        <row r="2">
          <cell r="A2" t="str">
            <v>Complete</v>
          </cell>
        </row>
      </sheetData>
      <sheetData sheetId="12856">
        <row r="2">
          <cell r="A2" t="str">
            <v>Complete</v>
          </cell>
        </row>
      </sheetData>
      <sheetData sheetId="12857">
        <row r="2">
          <cell r="A2" t="str">
            <v>Complete</v>
          </cell>
        </row>
      </sheetData>
      <sheetData sheetId="12858">
        <row r="2">
          <cell r="A2" t="str">
            <v>Complete</v>
          </cell>
        </row>
      </sheetData>
      <sheetData sheetId="12859">
        <row r="2">
          <cell r="A2" t="str">
            <v>Complete</v>
          </cell>
        </row>
      </sheetData>
      <sheetData sheetId="12860">
        <row r="2">
          <cell r="A2">
            <v>43462</v>
          </cell>
        </row>
      </sheetData>
      <sheetData sheetId="12861">
        <row r="2">
          <cell r="A2" t="str">
            <v>Complete</v>
          </cell>
        </row>
      </sheetData>
      <sheetData sheetId="12862">
        <row r="2">
          <cell r="A2">
            <v>43462</v>
          </cell>
        </row>
      </sheetData>
      <sheetData sheetId="12863">
        <row r="2">
          <cell r="A2" t="str">
            <v>Complete</v>
          </cell>
        </row>
      </sheetData>
      <sheetData sheetId="12864">
        <row r="2">
          <cell r="A2">
            <v>43462</v>
          </cell>
        </row>
      </sheetData>
      <sheetData sheetId="12865">
        <row r="2">
          <cell r="A2" t="str">
            <v>Complete</v>
          </cell>
        </row>
      </sheetData>
      <sheetData sheetId="12866">
        <row r="2">
          <cell r="A2">
            <v>43462</v>
          </cell>
        </row>
      </sheetData>
      <sheetData sheetId="12867">
        <row r="2">
          <cell r="A2" t="str">
            <v>Complete</v>
          </cell>
        </row>
      </sheetData>
      <sheetData sheetId="12868">
        <row r="2">
          <cell r="A2">
            <v>43462</v>
          </cell>
        </row>
      </sheetData>
      <sheetData sheetId="12869">
        <row r="2">
          <cell r="A2" t="str">
            <v>Complete</v>
          </cell>
        </row>
      </sheetData>
      <sheetData sheetId="12870">
        <row r="2">
          <cell r="A2">
            <v>43462</v>
          </cell>
        </row>
      </sheetData>
      <sheetData sheetId="12871">
        <row r="2">
          <cell r="A2" t="str">
            <v>Complete</v>
          </cell>
        </row>
      </sheetData>
      <sheetData sheetId="12872">
        <row r="2">
          <cell r="A2">
            <v>43462</v>
          </cell>
        </row>
      </sheetData>
      <sheetData sheetId="12873">
        <row r="2">
          <cell r="A2" t="str">
            <v>Complete</v>
          </cell>
        </row>
      </sheetData>
      <sheetData sheetId="12874">
        <row r="2">
          <cell r="A2">
            <v>43462</v>
          </cell>
        </row>
      </sheetData>
      <sheetData sheetId="12875">
        <row r="2">
          <cell r="A2" t="str">
            <v>Complete</v>
          </cell>
        </row>
      </sheetData>
      <sheetData sheetId="12876">
        <row r="2">
          <cell r="A2">
            <v>43462</v>
          </cell>
        </row>
      </sheetData>
      <sheetData sheetId="12877">
        <row r="2">
          <cell r="A2">
            <v>43462</v>
          </cell>
        </row>
      </sheetData>
      <sheetData sheetId="12878">
        <row r="2">
          <cell r="A2" t="str">
            <v>Complete</v>
          </cell>
        </row>
      </sheetData>
      <sheetData sheetId="12879">
        <row r="2">
          <cell r="A2" t="str">
            <v>Complete</v>
          </cell>
        </row>
      </sheetData>
      <sheetData sheetId="12880">
        <row r="2">
          <cell r="A2" t="str">
            <v>Complete</v>
          </cell>
        </row>
      </sheetData>
      <sheetData sheetId="12881">
        <row r="2">
          <cell r="A2" t="str">
            <v>Complete</v>
          </cell>
        </row>
      </sheetData>
      <sheetData sheetId="12882">
        <row r="2">
          <cell r="A2" t="str">
            <v>Complete</v>
          </cell>
        </row>
      </sheetData>
      <sheetData sheetId="12883">
        <row r="2">
          <cell r="A2" t="str">
            <v>Complete</v>
          </cell>
        </row>
      </sheetData>
      <sheetData sheetId="12884">
        <row r="2">
          <cell r="A2" t="str">
            <v>Complete</v>
          </cell>
        </row>
      </sheetData>
      <sheetData sheetId="12885">
        <row r="2">
          <cell r="A2" t="str">
            <v>Complete</v>
          </cell>
        </row>
      </sheetData>
      <sheetData sheetId="12886">
        <row r="2">
          <cell r="A2" t="str">
            <v>Complete</v>
          </cell>
        </row>
      </sheetData>
      <sheetData sheetId="12887">
        <row r="2">
          <cell r="A2" t="str">
            <v>Complete</v>
          </cell>
        </row>
      </sheetData>
      <sheetData sheetId="12888">
        <row r="2">
          <cell r="A2" t="str">
            <v>Complete</v>
          </cell>
        </row>
      </sheetData>
      <sheetData sheetId="12889">
        <row r="2">
          <cell r="A2" t="str">
            <v>Complete</v>
          </cell>
        </row>
      </sheetData>
      <sheetData sheetId="12890">
        <row r="2">
          <cell r="A2" t="str">
            <v>Complete</v>
          </cell>
        </row>
      </sheetData>
      <sheetData sheetId="12891">
        <row r="2">
          <cell r="A2" t="str">
            <v>Complete</v>
          </cell>
        </row>
      </sheetData>
      <sheetData sheetId="12892">
        <row r="2">
          <cell r="A2" t="str">
            <v>Complete</v>
          </cell>
        </row>
      </sheetData>
      <sheetData sheetId="12893">
        <row r="2">
          <cell r="A2" t="str">
            <v>Complete</v>
          </cell>
        </row>
      </sheetData>
      <sheetData sheetId="12894">
        <row r="2">
          <cell r="A2" t="str">
            <v>Complete</v>
          </cell>
        </row>
      </sheetData>
      <sheetData sheetId="12895">
        <row r="2">
          <cell r="A2" t="str">
            <v>Complete</v>
          </cell>
        </row>
      </sheetData>
      <sheetData sheetId="12896">
        <row r="2">
          <cell r="A2" t="str">
            <v>Complete</v>
          </cell>
        </row>
      </sheetData>
      <sheetData sheetId="12897">
        <row r="2">
          <cell r="A2" t="str">
            <v>Complete</v>
          </cell>
        </row>
      </sheetData>
      <sheetData sheetId="12898">
        <row r="2">
          <cell r="A2" t="str">
            <v>Complete</v>
          </cell>
        </row>
      </sheetData>
      <sheetData sheetId="12899">
        <row r="2">
          <cell r="A2" t="str">
            <v>Complete</v>
          </cell>
        </row>
      </sheetData>
      <sheetData sheetId="12900">
        <row r="2">
          <cell r="A2" t="str">
            <v>Complete</v>
          </cell>
        </row>
      </sheetData>
      <sheetData sheetId="12901">
        <row r="2">
          <cell r="A2" t="str">
            <v>Complete</v>
          </cell>
        </row>
      </sheetData>
      <sheetData sheetId="12902">
        <row r="2">
          <cell r="A2" t="str">
            <v>Complete</v>
          </cell>
        </row>
      </sheetData>
      <sheetData sheetId="12903">
        <row r="2">
          <cell r="A2">
            <v>43462</v>
          </cell>
        </row>
      </sheetData>
      <sheetData sheetId="12904">
        <row r="2">
          <cell r="A2" t="str">
            <v>Complete</v>
          </cell>
        </row>
      </sheetData>
      <sheetData sheetId="12905">
        <row r="2">
          <cell r="A2">
            <v>43462</v>
          </cell>
        </row>
      </sheetData>
      <sheetData sheetId="12906">
        <row r="2">
          <cell r="A2" t="str">
            <v>Complete</v>
          </cell>
        </row>
      </sheetData>
      <sheetData sheetId="12907">
        <row r="2">
          <cell r="A2">
            <v>43462</v>
          </cell>
        </row>
      </sheetData>
      <sheetData sheetId="12908">
        <row r="2">
          <cell r="A2" t="str">
            <v>Complete</v>
          </cell>
        </row>
      </sheetData>
      <sheetData sheetId="12909">
        <row r="2">
          <cell r="A2">
            <v>43462</v>
          </cell>
        </row>
      </sheetData>
      <sheetData sheetId="12910">
        <row r="2">
          <cell r="A2" t="str">
            <v>Complete</v>
          </cell>
        </row>
      </sheetData>
      <sheetData sheetId="12911">
        <row r="2">
          <cell r="A2">
            <v>43462</v>
          </cell>
        </row>
      </sheetData>
      <sheetData sheetId="12912">
        <row r="2">
          <cell r="A2" t="str">
            <v>Complete</v>
          </cell>
        </row>
      </sheetData>
      <sheetData sheetId="12913">
        <row r="2">
          <cell r="A2">
            <v>43462</v>
          </cell>
        </row>
      </sheetData>
      <sheetData sheetId="12914">
        <row r="2">
          <cell r="A2" t="str">
            <v>Complete</v>
          </cell>
        </row>
      </sheetData>
      <sheetData sheetId="12915">
        <row r="2">
          <cell r="A2">
            <v>43462</v>
          </cell>
        </row>
      </sheetData>
      <sheetData sheetId="12916">
        <row r="2">
          <cell r="A2" t="str">
            <v>Complete</v>
          </cell>
        </row>
      </sheetData>
      <sheetData sheetId="12917">
        <row r="2">
          <cell r="A2">
            <v>43462</v>
          </cell>
        </row>
      </sheetData>
      <sheetData sheetId="12918">
        <row r="2">
          <cell r="A2" t="str">
            <v>Complete</v>
          </cell>
        </row>
      </sheetData>
      <sheetData sheetId="12919">
        <row r="2">
          <cell r="A2">
            <v>43462</v>
          </cell>
        </row>
      </sheetData>
      <sheetData sheetId="12920">
        <row r="2">
          <cell r="A2" t="str">
            <v>Complete</v>
          </cell>
        </row>
      </sheetData>
      <sheetData sheetId="12921">
        <row r="2">
          <cell r="A2" t="str">
            <v>Complete</v>
          </cell>
        </row>
      </sheetData>
      <sheetData sheetId="12922">
        <row r="2">
          <cell r="A2" t="str">
            <v>Complete</v>
          </cell>
        </row>
      </sheetData>
      <sheetData sheetId="12923">
        <row r="2">
          <cell r="A2" t="str">
            <v>Complete</v>
          </cell>
        </row>
      </sheetData>
      <sheetData sheetId="12924">
        <row r="2">
          <cell r="A2" t="str">
            <v>Complete</v>
          </cell>
        </row>
      </sheetData>
      <sheetData sheetId="12925">
        <row r="2">
          <cell r="A2" t="str">
            <v>Complete</v>
          </cell>
        </row>
      </sheetData>
      <sheetData sheetId="12926">
        <row r="2">
          <cell r="A2" t="str">
            <v>Complete</v>
          </cell>
        </row>
      </sheetData>
      <sheetData sheetId="12927">
        <row r="2">
          <cell r="A2" t="str">
            <v>Complete</v>
          </cell>
        </row>
      </sheetData>
      <sheetData sheetId="12928">
        <row r="2">
          <cell r="A2" t="str">
            <v>Complete</v>
          </cell>
        </row>
      </sheetData>
      <sheetData sheetId="12929">
        <row r="2">
          <cell r="A2" t="str">
            <v>Complete</v>
          </cell>
        </row>
      </sheetData>
      <sheetData sheetId="12930">
        <row r="2">
          <cell r="A2" t="str">
            <v>Complete</v>
          </cell>
        </row>
      </sheetData>
      <sheetData sheetId="12931">
        <row r="2">
          <cell r="A2" t="str">
            <v>Complete</v>
          </cell>
        </row>
      </sheetData>
      <sheetData sheetId="12932">
        <row r="2">
          <cell r="A2" t="str">
            <v>Complete</v>
          </cell>
        </row>
      </sheetData>
      <sheetData sheetId="12933">
        <row r="2">
          <cell r="A2" t="str">
            <v>Complete</v>
          </cell>
        </row>
      </sheetData>
      <sheetData sheetId="12934">
        <row r="2">
          <cell r="A2" t="str">
            <v>Complete</v>
          </cell>
        </row>
      </sheetData>
      <sheetData sheetId="12935">
        <row r="2">
          <cell r="A2" t="str">
            <v>Complete</v>
          </cell>
        </row>
      </sheetData>
      <sheetData sheetId="12936">
        <row r="2">
          <cell r="A2" t="str">
            <v>Complete</v>
          </cell>
        </row>
      </sheetData>
      <sheetData sheetId="12937">
        <row r="2">
          <cell r="A2" t="str">
            <v>Complete</v>
          </cell>
        </row>
      </sheetData>
      <sheetData sheetId="12938">
        <row r="2">
          <cell r="A2" t="str">
            <v>Complete</v>
          </cell>
        </row>
      </sheetData>
      <sheetData sheetId="12939">
        <row r="2">
          <cell r="A2" t="str">
            <v>Complete</v>
          </cell>
        </row>
      </sheetData>
      <sheetData sheetId="12940">
        <row r="2">
          <cell r="A2" t="str">
            <v>Complete</v>
          </cell>
        </row>
      </sheetData>
      <sheetData sheetId="12941">
        <row r="2">
          <cell r="A2" t="str">
            <v>Complete</v>
          </cell>
        </row>
      </sheetData>
      <sheetData sheetId="12942">
        <row r="2">
          <cell r="A2" t="str">
            <v>Complete</v>
          </cell>
        </row>
      </sheetData>
      <sheetData sheetId="12943">
        <row r="2">
          <cell r="A2">
            <v>43462</v>
          </cell>
        </row>
      </sheetData>
      <sheetData sheetId="12944">
        <row r="2">
          <cell r="A2">
            <v>43462</v>
          </cell>
        </row>
      </sheetData>
      <sheetData sheetId="12945">
        <row r="2">
          <cell r="A2" t="str">
            <v>Complete</v>
          </cell>
        </row>
      </sheetData>
      <sheetData sheetId="12946">
        <row r="2">
          <cell r="A2">
            <v>43462</v>
          </cell>
        </row>
      </sheetData>
      <sheetData sheetId="12947">
        <row r="2">
          <cell r="A2" t="str">
            <v>Complete</v>
          </cell>
        </row>
      </sheetData>
      <sheetData sheetId="12948">
        <row r="2">
          <cell r="A2">
            <v>43462</v>
          </cell>
        </row>
      </sheetData>
      <sheetData sheetId="12949">
        <row r="2">
          <cell r="A2">
            <v>43462</v>
          </cell>
        </row>
      </sheetData>
      <sheetData sheetId="12950">
        <row r="2">
          <cell r="A2">
            <v>43462</v>
          </cell>
        </row>
      </sheetData>
      <sheetData sheetId="12951">
        <row r="2">
          <cell r="A2" t="str">
            <v>Complete</v>
          </cell>
        </row>
      </sheetData>
      <sheetData sheetId="12952">
        <row r="2">
          <cell r="A2">
            <v>43462</v>
          </cell>
        </row>
      </sheetData>
      <sheetData sheetId="12953">
        <row r="2">
          <cell r="A2" t="str">
            <v>Complete</v>
          </cell>
        </row>
      </sheetData>
      <sheetData sheetId="12954">
        <row r="2">
          <cell r="A2">
            <v>43462</v>
          </cell>
        </row>
      </sheetData>
      <sheetData sheetId="12955">
        <row r="2">
          <cell r="A2" t="str">
            <v>Complete</v>
          </cell>
        </row>
      </sheetData>
      <sheetData sheetId="12956">
        <row r="2">
          <cell r="A2">
            <v>43462</v>
          </cell>
        </row>
      </sheetData>
      <sheetData sheetId="12957">
        <row r="2">
          <cell r="A2" t="str">
            <v>Complete</v>
          </cell>
        </row>
      </sheetData>
      <sheetData sheetId="12958">
        <row r="2">
          <cell r="A2">
            <v>43462</v>
          </cell>
        </row>
      </sheetData>
      <sheetData sheetId="12959">
        <row r="2">
          <cell r="A2" t="str">
            <v>Complete</v>
          </cell>
        </row>
      </sheetData>
      <sheetData sheetId="12960">
        <row r="2">
          <cell r="A2">
            <v>43462</v>
          </cell>
        </row>
      </sheetData>
      <sheetData sheetId="12961">
        <row r="2">
          <cell r="A2" t="str">
            <v>Complete</v>
          </cell>
        </row>
      </sheetData>
      <sheetData sheetId="12962">
        <row r="2">
          <cell r="A2" t="str">
            <v>Complete</v>
          </cell>
        </row>
      </sheetData>
      <sheetData sheetId="12963">
        <row r="2">
          <cell r="A2" t="str">
            <v>Complete</v>
          </cell>
        </row>
      </sheetData>
      <sheetData sheetId="12964">
        <row r="2">
          <cell r="A2" t="str">
            <v>Complete</v>
          </cell>
        </row>
      </sheetData>
      <sheetData sheetId="12965">
        <row r="2">
          <cell r="A2" t="str">
            <v>Complete</v>
          </cell>
        </row>
      </sheetData>
      <sheetData sheetId="12966">
        <row r="2">
          <cell r="A2" t="str">
            <v>Complete</v>
          </cell>
        </row>
      </sheetData>
      <sheetData sheetId="12967">
        <row r="2">
          <cell r="A2" t="str">
            <v>Complete</v>
          </cell>
        </row>
      </sheetData>
      <sheetData sheetId="12968">
        <row r="2">
          <cell r="A2" t="str">
            <v>Complete</v>
          </cell>
        </row>
      </sheetData>
      <sheetData sheetId="12969">
        <row r="2">
          <cell r="A2" t="str">
            <v>Complete</v>
          </cell>
        </row>
      </sheetData>
      <sheetData sheetId="12970">
        <row r="2">
          <cell r="A2" t="str">
            <v>Complete</v>
          </cell>
        </row>
      </sheetData>
      <sheetData sheetId="12971">
        <row r="2">
          <cell r="A2" t="str">
            <v>Complete</v>
          </cell>
        </row>
      </sheetData>
      <sheetData sheetId="12972">
        <row r="2">
          <cell r="A2" t="str">
            <v>Complete</v>
          </cell>
        </row>
      </sheetData>
      <sheetData sheetId="12973">
        <row r="2">
          <cell r="A2" t="str">
            <v>Complete</v>
          </cell>
        </row>
      </sheetData>
      <sheetData sheetId="12974">
        <row r="2">
          <cell r="A2" t="str">
            <v>Complete</v>
          </cell>
        </row>
      </sheetData>
      <sheetData sheetId="12975">
        <row r="2">
          <cell r="A2" t="str">
            <v>Complete</v>
          </cell>
        </row>
      </sheetData>
      <sheetData sheetId="12976">
        <row r="2">
          <cell r="A2" t="str">
            <v>Complete</v>
          </cell>
        </row>
      </sheetData>
      <sheetData sheetId="12977">
        <row r="2">
          <cell r="A2" t="str">
            <v>Complete</v>
          </cell>
        </row>
      </sheetData>
      <sheetData sheetId="12978">
        <row r="2">
          <cell r="A2" t="str">
            <v>Complete</v>
          </cell>
        </row>
      </sheetData>
      <sheetData sheetId="12979">
        <row r="2">
          <cell r="A2" t="str">
            <v>Complete</v>
          </cell>
        </row>
      </sheetData>
      <sheetData sheetId="12980">
        <row r="2">
          <cell r="A2" t="str">
            <v>Complete</v>
          </cell>
        </row>
      </sheetData>
      <sheetData sheetId="12981">
        <row r="2">
          <cell r="A2" t="str">
            <v>Complete</v>
          </cell>
        </row>
      </sheetData>
      <sheetData sheetId="12982">
        <row r="2">
          <cell r="A2" t="str">
            <v>Complete</v>
          </cell>
        </row>
      </sheetData>
      <sheetData sheetId="12983">
        <row r="2">
          <cell r="A2">
            <v>43462</v>
          </cell>
        </row>
      </sheetData>
      <sheetData sheetId="12984">
        <row r="2">
          <cell r="A2">
            <v>43462</v>
          </cell>
        </row>
      </sheetData>
      <sheetData sheetId="12985">
        <row r="2">
          <cell r="A2">
            <v>43462</v>
          </cell>
        </row>
      </sheetData>
      <sheetData sheetId="12986">
        <row r="2">
          <cell r="A2">
            <v>43462</v>
          </cell>
        </row>
      </sheetData>
      <sheetData sheetId="12987">
        <row r="2">
          <cell r="A2" t="str">
            <v>Complete</v>
          </cell>
        </row>
      </sheetData>
      <sheetData sheetId="12988">
        <row r="2">
          <cell r="A2">
            <v>43462</v>
          </cell>
        </row>
      </sheetData>
      <sheetData sheetId="12989">
        <row r="2">
          <cell r="A2">
            <v>43462</v>
          </cell>
        </row>
      </sheetData>
      <sheetData sheetId="12990">
        <row r="2">
          <cell r="A2">
            <v>43462</v>
          </cell>
        </row>
      </sheetData>
      <sheetData sheetId="12991">
        <row r="2">
          <cell r="A2">
            <v>43462</v>
          </cell>
        </row>
      </sheetData>
      <sheetData sheetId="12992">
        <row r="2">
          <cell r="A2">
            <v>43462</v>
          </cell>
        </row>
      </sheetData>
      <sheetData sheetId="12993">
        <row r="2">
          <cell r="A2">
            <v>43462</v>
          </cell>
        </row>
      </sheetData>
      <sheetData sheetId="12994">
        <row r="2">
          <cell r="A2">
            <v>43462</v>
          </cell>
        </row>
      </sheetData>
      <sheetData sheetId="12995">
        <row r="2">
          <cell r="A2">
            <v>43462</v>
          </cell>
        </row>
      </sheetData>
      <sheetData sheetId="12996">
        <row r="2">
          <cell r="A2">
            <v>43462</v>
          </cell>
        </row>
      </sheetData>
      <sheetData sheetId="12997">
        <row r="2">
          <cell r="A2">
            <v>43462</v>
          </cell>
        </row>
      </sheetData>
      <sheetData sheetId="12998">
        <row r="2">
          <cell r="A2">
            <v>43462</v>
          </cell>
        </row>
      </sheetData>
      <sheetData sheetId="12999">
        <row r="2">
          <cell r="A2">
            <v>43462</v>
          </cell>
        </row>
      </sheetData>
      <sheetData sheetId="13000">
        <row r="2">
          <cell r="A2">
            <v>43462</v>
          </cell>
        </row>
      </sheetData>
      <sheetData sheetId="13001">
        <row r="2">
          <cell r="A2">
            <v>43462</v>
          </cell>
        </row>
      </sheetData>
      <sheetData sheetId="13002">
        <row r="2">
          <cell r="A2">
            <v>43462</v>
          </cell>
        </row>
      </sheetData>
      <sheetData sheetId="13003">
        <row r="2">
          <cell r="A2">
            <v>43462</v>
          </cell>
        </row>
      </sheetData>
      <sheetData sheetId="13004">
        <row r="2">
          <cell r="A2" t="str">
            <v>Complete</v>
          </cell>
        </row>
      </sheetData>
      <sheetData sheetId="13005">
        <row r="2">
          <cell r="A2" t="str">
            <v>Complete</v>
          </cell>
        </row>
      </sheetData>
      <sheetData sheetId="13006">
        <row r="2">
          <cell r="A2" t="str">
            <v>Complete</v>
          </cell>
        </row>
      </sheetData>
      <sheetData sheetId="13007">
        <row r="2">
          <cell r="A2" t="str">
            <v>Complete</v>
          </cell>
        </row>
      </sheetData>
      <sheetData sheetId="13008">
        <row r="2">
          <cell r="A2" t="str">
            <v>Complete</v>
          </cell>
        </row>
      </sheetData>
      <sheetData sheetId="13009">
        <row r="2">
          <cell r="A2" t="str">
            <v>Complete</v>
          </cell>
        </row>
      </sheetData>
      <sheetData sheetId="13010">
        <row r="2">
          <cell r="A2" t="str">
            <v>Complete</v>
          </cell>
        </row>
      </sheetData>
      <sheetData sheetId="13011">
        <row r="2">
          <cell r="A2" t="str">
            <v>Complete</v>
          </cell>
        </row>
      </sheetData>
      <sheetData sheetId="13012">
        <row r="2">
          <cell r="A2" t="str">
            <v>Complete</v>
          </cell>
        </row>
      </sheetData>
      <sheetData sheetId="13013">
        <row r="2">
          <cell r="A2" t="str">
            <v>Complete</v>
          </cell>
        </row>
      </sheetData>
      <sheetData sheetId="13014">
        <row r="2">
          <cell r="A2" t="str">
            <v>Complete</v>
          </cell>
        </row>
      </sheetData>
      <sheetData sheetId="13015">
        <row r="2">
          <cell r="A2" t="str">
            <v>Complete</v>
          </cell>
        </row>
      </sheetData>
      <sheetData sheetId="13016">
        <row r="2">
          <cell r="A2" t="str">
            <v>Complete</v>
          </cell>
        </row>
      </sheetData>
      <sheetData sheetId="13017">
        <row r="2">
          <cell r="A2" t="str">
            <v>Complete</v>
          </cell>
        </row>
      </sheetData>
      <sheetData sheetId="13018">
        <row r="2">
          <cell r="A2" t="str">
            <v>Complete</v>
          </cell>
        </row>
      </sheetData>
      <sheetData sheetId="13019">
        <row r="2">
          <cell r="A2" t="str">
            <v>Complete</v>
          </cell>
        </row>
      </sheetData>
      <sheetData sheetId="13020">
        <row r="2">
          <cell r="A2" t="str">
            <v>Complete</v>
          </cell>
        </row>
      </sheetData>
      <sheetData sheetId="13021">
        <row r="2">
          <cell r="A2" t="str">
            <v>Complete</v>
          </cell>
        </row>
      </sheetData>
      <sheetData sheetId="13022">
        <row r="2">
          <cell r="A2" t="str">
            <v>Complete</v>
          </cell>
        </row>
      </sheetData>
      <sheetData sheetId="13023">
        <row r="2">
          <cell r="A2" t="str">
            <v>Complete</v>
          </cell>
        </row>
      </sheetData>
      <sheetData sheetId="13024">
        <row r="2">
          <cell r="A2" t="str">
            <v>Complete</v>
          </cell>
        </row>
      </sheetData>
      <sheetData sheetId="13025">
        <row r="2">
          <cell r="A2">
            <v>43462</v>
          </cell>
        </row>
      </sheetData>
      <sheetData sheetId="13026">
        <row r="2">
          <cell r="A2">
            <v>43462</v>
          </cell>
        </row>
      </sheetData>
      <sheetData sheetId="13027">
        <row r="2">
          <cell r="A2">
            <v>43462</v>
          </cell>
        </row>
      </sheetData>
      <sheetData sheetId="13028">
        <row r="2">
          <cell r="A2">
            <v>43462</v>
          </cell>
        </row>
      </sheetData>
      <sheetData sheetId="13029">
        <row r="2">
          <cell r="A2">
            <v>43462</v>
          </cell>
        </row>
      </sheetData>
      <sheetData sheetId="13030">
        <row r="2">
          <cell r="A2">
            <v>43462</v>
          </cell>
        </row>
      </sheetData>
      <sheetData sheetId="13031">
        <row r="2">
          <cell r="A2">
            <v>43462</v>
          </cell>
        </row>
      </sheetData>
      <sheetData sheetId="13032">
        <row r="2">
          <cell r="A2">
            <v>43462</v>
          </cell>
        </row>
      </sheetData>
      <sheetData sheetId="13033">
        <row r="2">
          <cell r="A2">
            <v>43462</v>
          </cell>
        </row>
      </sheetData>
      <sheetData sheetId="13034">
        <row r="2">
          <cell r="A2">
            <v>43462</v>
          </cell>
        </row>
      </sheetData>
      <sheetData sheetId="13035">
        <row r="2">
          <cell r="A2">
            <v>43462</v>
          </cell>
        </row>
      </sheetData>
      <sheetData sheetId="13036">
        <row r="2">
          <cell r="A2">
            <v>43462</v>
          </cell>
        </row>
      </sheetData>
      <sheetData sheetId="13037">
        <row r="2">
          <cell r="A2">
            <v>43462</v>
          </cell>
        </row>
      </sheetData>
      <sheetData sheetId="13038">
        <row r="2">
          <cell r="A2">
            <v>43462</v>
          </cell>
        </row>
      </sheetData>
      <sheetData sheetId="13039">
        <row r="2">
          <cell r="A2">
            <v>43462</v>
          </cell>
        </row>
      </sheetData>
      <sheetData sheetId="13040">
        <row r="2">
          <cell r="A2">
            <v>43462</v>
          </cell>
        </row>
      </sheetData>
      <sheetData sheetId="13041">
        <row r="2">
          <cell r="A2">
            <v>43462</v>
          </cell>
        </row>
      </sheetData>
      <sheetData sheetId="13042">
        <row r="2">
          <cell r="A2">
            <v>43462</v>
          </cell>
        </row>
      </sheetData>
      <sheetData sheetId="13043">
        <row r="2">
          <cell r="A2">
            <v>43462</v>
          </cell>
        </row>
      </sheetData>
      <sheetData sheetId="13044">
        <row r="2">
          <cell r="A2">
            <v>43462</v>
          </cell>
        </row>
      </sheetData>
      <sheetData sheetId="13045">
        <row r="2">
          <cell r="A2" t="str">
            <v>Complete</v>
          </cell>
        </row>
      </sheetData>
      <sheetData sheetId="13046">
        <row r="2">
          <cell r="A2" t="str">
            <v>Complete</v>
          </cell>
        </row>
      </sheetData>
      <sheetData sheetId="13047">
        <row r="2">
          <cell r="A2" t="str">
            <v>Complete</v>
          </cell>
        </row>
      </sheetData>
      <sheetData sheetId="13048">
        <row r="2">
          <cell r="A2" t="str">
            <v>Complete</v>
          </cell>
        </row>
      </sheetData>
      <sheetData sheetId="13049">
        <row r="2">
          <cell r="A2" t="str">
            <v>Complete</v>
          </cell>
        </row>
      </sheetData>
      <sheetData sheetId="13050">
        <row r="2">
          <cell r="A2" t="str">
            <v>Complete</v>
          </cell>
        </row>
      </sheetData>
      <sheetData sheetId="13051">
        <row r="2">
          <cell r="A2" t="str">
            <v>Complete</v>
          </cell>
        </row>
      </sheetData>
      <sheetData sheetId="13052">
        <row r="2">
          <cell r="A2" t="str">
            <v>Complete</v>
          </cell>
        </row>
      </sheetData>
      <sheetData sheetId="13053">
        <row r="2">
          <cell r="A2" t="str">
            <v>Complete</v>
          </cell>
        </row>
      </sheetData>
      <sheetData sheetId="13054">
        <row r="2">
          <cell r="A2" t="str">
            <v>Complete</v>
          </cell>
        </row>
      </sheetData>
      <sheetData sheetId="13055">
        <row r="2">
          <cell r="A2" t="str">
            <v>Complete</v>
          </cell>
        </row>
      </sheetData>
      <sheetData sheetId="13056">
        <row r="2">
          <cell r="A2" t="str">
            <v>Complete</v>
          </cell>
        </row>
      </sheetData>
      <sheetData sheetId="13057">
        <row r="2">
          <cell r="A2" t="str">
            <v>Complete</v>
          </cell>
        </row>
      </sheetData>
      <sheetData sheetId="13058">
        <row r="2">
          <cell r="A2" t="str">
            <v>Complete</v>
          </cell>
        </row>
      </sheetData>
      <sheetData sheetId="13059">
        <row r="2">
          <cell r="A2" t="str">
            <v>Complete</v>
          </cell>
        </row>
      </sheetData>
      <sheetData sheetId="13060">
        <row r="2">
          <cell r="A2" t="str">
            <v>Complete</v>
          </cell>
        </row>
      </sheetData>
      <sheetData sheetId="13061">
        <row r="2">
          <cell r="A2" t="str">
            <v>Complete</v>
          </cell>
        </row>
      </sheetData>
      <sheetData sheetId="13062">
        <row r="2">
          <cell r="A2" t="str">
            <v>Complete</v>
          </cell>
        </row>
      </sheetData>
      <sheetData sheetId="13063">
        <row r="2">
          <cell r="A2" t="str">
            <v>Complete</v>
          </cell>
        </row>
      </sheetData>
      <sheetData sheetId="13064">
        <row r="2">
          <cell r="A2" t="str">
            <v>Complete</v>
          </cell>
        </row>
      </sheetData>
      <sheetData sheetId="13065">
        <row r="2">
          <cell r="A2" t="str">
            <v>Complete</v>
          </cell>
        </row>
      </sheetData>
      <sheetData sheetId="13066">
        <row r="2">
          <cell r="A2">
            <v>43462</v>
          </cell>
        </row>
      </sheetData>
      <sheetData sheetId="13067">
        <row r="2">
          <cell r="A2">
            <v>43462</v>
          </cell>
        </row>
      </sheetData>
      <sheetData sheetId="13068">
        <row r="2">
          <cell r="A2">
            <v>43462</v>
          </cell>
        </row>
      </sheetData>
      <sheetData sheetId="13069">
        <row r="2">
          <cell r="A2">
            <v>43462</v>
          </cell>
        </row>
      </sheetData>
      <sheetData sheetId="13070">
        <row r="2">
          <cell r="A2">
            <v>43462</v>
          </cell>
        </row>
      </sheetData>
      <sheetData sheetId="13071">
        <row r="2">
          <cell r="A2">
            <v>43462</v>
          </cell>
        </row>
      </sheetData>
      <sheetData sheetId="13072">
        <row r="2">
          <cell r="A2">
            <v>43462</v>
          </cell>
        </row>
      </sheetData>
      <sheetData sheetId="13073">
        <row r="2">
          <cell r="A2">
            <v>43462</v>
          </cell>
        </row>
      </sheetData>
      <sheetData sheetId="13074">
        <row r="2">
          <cell r="A2">
            <v>43462</v>
          </cell>
        </row>
      </sheetData>
      <sheetData sheetId="13075">
        <row r="2">
          <cell r="A2">
            <v>43462</v>
          </cell>
        </row>
      </sheetData>
      <sheetData sheetId="13076">
        <row r="2">
          <cell r="A2">
            <v>43462</v>
          </cell>
        </row>
      </sheetData>
      <sheetData sheetId="13077">
        <row r="2">
          <cell r="A2">
            <v>43462</v>
          </cell>
        </row>
      </sheetData>
      <sheetData sheetId="13078">
        <row r="2">
          <cell r="A2">
            <v>43462</v>
          </cell>
        </row>
      </sheetData>
      <sheetData sheetId="13079">
        <row r="2">
          <cell r="A2">
            <v>43462</v>
          </cell>
        </row>
      </sheetData>
      <sheetData sheetId="13080">
        <row r="2">
          <cell r="A2">
            <v>43462</v>
          </cell>
        </row>
      </sheetData>
      <sheetData sheetId="13081">
        <row r="2">
          <cell r="A2">
            <v>43462</v>
          </cell>
        </row>
      </sheetData>
      <sheetData sheetId="13082">
        <row r="2">
          <cell r="A2">
            <v>43462</v>
          </cell>
        </row>
      </sheetData>
      <sheetData sheetId="13083">
        <row r="2">
          <cell r="A2">
            <v>43462</v>
          </cell>
        </row>
      </sheetData>
      <sheetData sheetId="13084">
        <row r="2">
          <cell r="A2">
            <v>43462</v>
          </cell>
        </row>
      </sheetData>
      <sheetData sheetId="13085">
        <row r="2">
          <cell r="A2">
            <v>43462</v>
          </cell>
        </row>
      </sheetData>
      <sheetData sheetId="13086">
        <row r="2">
          <cell r="A2">
            <v>43462</v>
          </cell>
        </row>
      </sheetData>
      <sheetData sheetId="13087">
        <row r="2">
          <cell r="A2">
            <v>43462</v>
          </cell>
        </row>
      </sheetData>
      <sheetData sheetId="13088">
        <row r="2">
          <cell r="A2" t="str">
            <v>Complete</v>
          </cell>
        </row>
      </sheetData>
      <sheetData sheetId="13089">
        <row r="2">
          <cell r="A2" t="str">
            <v>Complete</v>
          </cell>
        </row>
      </sheetData>
      <sheetData sheetId="13090">
        <row r="2">
          <cell r="A2" t="str">
            <v>Complete</v>
          </cell>
        </row>
      </sheetData>
      <sheetData sheetId="13091">
        <row r="2">
          <cell r="A2" t="str">
            <v>Complete</v>
          </cell>
        </row>
      </sheetData>
      <sheetData sheetId="13092">
        <row r="2">
          <cell r="A2" t="str">
            <v>Complete</v>
          </cell>
        </row>
      </sheetData>
      <sheetData sheetId="13093">
        <row r="2">
          <cell r="A2" t="str">
            <v>Complete</v>
          </cell>
        </row>
      </sheetData>
      <sheetData sheetId="13094">
        <row r="2">
          <cell r="A2" t="str">
            <v>Complete</v>
          </cell>
        </row>
      </sheetData>
      <sheetData sheetId="13095">
        <row r="2">
          <cell r="A2" t="str">
            <v>Complete</v>
          </cell>
        </row>
      </sheetData>
      <sheetData sheetId="13096">
        <row r="2">
          <cell r="A2" t="str">
            <v>Complete</v>
          </cell>
        </row>
      </sheetData>
      <sheetData sheetId="13097">
        <row r="2">
          <cell r="A2" t="str">
            <v>Complete</v>
          </cell>
        </row>
      </sheetData>
      <sheetData sheetId="13098">
        <row r="2">
          <cell r="A2" t="str">
            <v>Complete</v>
          </cell>
        </row>
      </sheetData>
      <sheetData sheetId="13099">
        <row r="2">
          <cell r="A2" t="str">
            <v>Complete</v>
          </cell>
        </row>
      </sheetData>
      <sheetData sheetId="13100">
        <row r="2">
          <cell r="A2" t="str">
            <v>Complete</v>
          </cell>
        </row>
      </sheetData>
      <sheetData sheetId="13101">
        <row r="2">
          <cell r="A2" t="str">
            <v>Complete</v>
          </cell>
        </row>
      </sheetData>
      <sheetData sheetId="13102">
        <row r="2">
          <cell r="A2" t="str">
            <v>Complete</v>
          </cell>
        </row>
      </sheetData>
      <sheetData sheetId="13103">
        <row r="2">
          <cell r="A2" t="str">
            <v>Complete</v>
          </cell>
        </row>
      </sheetData>
      <sheetData sheetId="13104">
        <row r="2">
          <cell r="A2" t="str">
            <v>Complete</v>
          </cell>
        </row>
      </sheetData>
      <sheetData sheetId="13105">
        <row r="2">
          <cell r="A2" t="str">
            <v>Complete</v>
          </cell>
        </row>
      </sheetData>
      <sheetData sheetId="13106">
        <row r="2">
          <cell r="A2" t="str">
            <v>Complete</v>
          </cell>
        </row>
      </sheetData>
      <sheetData sheetId="13107">
        <row r="2">
          <cell r="A2" t="str">
            <v>Complete</v>
          </cell>
        </row>
      </sheetData>
      <sheetData sheetId="13108">
        <row r="2">
          <cell r="A2" t="str">
            <v>Complete</v>
          </cell>
        </row>
      </sheetData>
      <sheetData sheetId="13109">
        <row r="2">
          <cell r="A2">
            <v>43462</v>
          </cell>
        </row>
      </sheetData>
      <sheetData sheetId="13110">
        <row r="2">
          <cell r="A2">
            <v>43462</v>
          </cell>
        </row>
      </sheetData>
      <sheetData sheetId="13111">
        <row r="2">
          <cell r="A2">
            <v>43462</v>
          </cell>
        </row>
      </sheetData>
      <sheetData sheetId="13112">
        <row r="2">
          <cell r="A2">
            <v>43462</v>
          </cell>
        </row>
      </sheetData>
      <sheetData sheetId="13113">
        <row r="2">
          <cell r="A2">
            <v>43462</v>
          </cell>
        </row>
      </sheetData>
      <sheetData sheetId="13114">
        <row r="2">
          <cell r="A2">
            <v>43462</v>
          </cell>
        </row>
      </sheetData>
      <sheetData sheetId="13115">
        <row r="2">
          <cell r="A2">
            <v>43462</v>
          </cell>
        </row>
      </sheetData>
      <sheetData sheetId="13116">
        <row r="2">
          <cell r="A2">
            <v>43462</v>
          </cell>
        </row>
      </sheetData>
      <sheetData sheetId="13117">
        <row r="2">
          <cell r="A2">
            <v>43462</v>
          </cell>
        </row>
      </sheetData>
      <sheetData sheetId="13118">
        <row r="2">
          <cell r="A2">
            <v>43462</v>
          </cell>
        </row>
      </sheetData>
      <sheetData sheetId="13119">
        <row r="2">
          <cell r="A2">
            <v>43462</v>
          </cell>
        </row>
      </sheetData>
      <sheetData sheetId="13120">
        <row r="2">
          <cell r="A2">
            <v>43462</v>
          </cell>
        </row>
      </sheetData>
      <sheetData sheetId="13121">
        <row r="2">
          <cell r="A2">
            <v>43462</v>
          </cell>
        </row>
      </sheetData>
      <sheetData sheetId="13122">
        <row r="2">
          <cell r="A2">
            <v>43462</v>
          </cell>
        </row>
      </sheetData>
      <sheetData sheetId="13123">
        <row r="2">
          <cell r="A2">
            <v>43462</v>
          </cell>
        </row>
      </sheetData>
      <sheetData sheetId="13124">
        <row r="2">
          <cell r="A2">
            <v>43462</v>
          </cell>
        </row>
      </sheetData>
      <sheetData sheetId="13125">
        <row r="2">
          <cell r="A2">
            <v>43462</v>
          </cell>
        </row>
      </sheetData>
      <sheetData sheetId="13126">
        <row r="2">
          <cell r="A2">
            <v>43462</v>
          </cell>
        </row>
      </sheetData>
      <sheetData sheetId="13127">
        <row r="2">
          <cell r="A2">
            <v>43462</v>
          </cell>
        </row>
      </sheetData>
      <sheetData sheetId="13128">
        <row r="2">
          <cell r="A2">
            <v>43462</v>
          </cell>
        </row>
      </sheetData>
      <sheetData sheetId="13129">
        <row r="2">
          <cell r="A2">
            <v>43462</v>
          </cell>
        </row>
      </sheetData>
      <sheetData sheetId="13130">
        <row r="2">
          <cell r="A2" t="str">
            <v>Complete</v>
          </cell>
        </row>
      </sheetData>
      <sheetData sheetId="13131">
        <row r="2">
          <cell r="A2" t="str">
            <v>Complete</v>
          </cell>
        </row>
      </sheetData>
      <sheetData sheetId="13132">
        <row r="2">
          <cell r="A2" t="str">
            <v>Complete</v>
          </cell>
        </row>
      </sheetData>
      <sheetData sheetId="13133">
        <row r="2">
          <cell r="A2" t="str">
            <v>Complete</v>
          </cell>
        </row>
      </sheetData>
      <sheetData sheetId="13134">
        <row r="2">
          <cell r="A2" t="str">
            <v>Complete</v>
          </cell>
        </row>
      </sheetData>
      <sheetData sheetId="13135">
        <row r="2">
          <cell r="A2" t="str">
            <v>Complete</v>
          </cell>
        </row>
      </sheetData>
      <sheetData sheetId="13136">
        <row r="2">
          <cell r="A2" t="str">
            <v>Complete</v>
          </cell>
        </row>
      </sheetData>
      <sheetData sheetId="13137">
        <row r="2">
          <cell r="A2" t="str">
            <v>Complete</v>
          </cell>
        </row>
      </sheetData>
      <sheetData sheetId="13138">
        <row r="2">
          <cell r="A2" t="str">
            <v>Complete</v>
          </cell>
        </row>
      </sheetData>
      <sheetData sheetId="13139">
        <row r="2">
          <cell r="A2" t="str">
            <v>Complete</v>
          </cell>
        </row>
      </sheetData>
      <sheetData sheetId="13140">
        <row r="2">
          <cell r="A2" t="str">
            <v>Complete</v>
          </cell>
        </row>
      </sheetData>
      <sheetData sheetId="13141">
        <row r="2">
          <cell r="A2" t="str">
            <v>Complete</v>
          </cell>
        </row>
      </sheetData>
      <sheetData sheetId="13142">
        <row r="2">
          <cell r="A2" t="str">
            <v>Complete</v>
          </cell>
        </row>
      </sheetData>
      <sheetData sheetId="13143">
        <row r="2">
          <cell r="A2" t="str">
            <v>Complete</v>
          </cell>
        </row>
      </sheetData>
      <sheetData sheetId="13144">
        <row r="2">
          <cell r="A2" t="str">
            <v>Complete</v>
          </cell>
        </row>
      </sheetData>
      <sheetData sheetId="13145">
        <row r="2">
          <cell r="A2" t="str">
            <v>Complete</v>
          </cell>
        </row>
      </sheetData>
      <sheetData sheetId="13146">
        <row r="2">
          <cell r="A2" t="str">
            <v>Complete</v>
          </cell>
        </row>
      </sheetData>
      <sheetData sheetId="13147">
        <row r="2">
          <cell r="A2" t="str">
            <v>Complete</v>
          </cell>
        </row>
      </sheetData>
      <sheetData sheetId="13148">
        <row r="2">
          <cell r="A2" t="str">
            <v>Complete</v>
          </cell>
        </row>
      </sheetData>
      <sheetData sheetId="13149">
        <row r="2">
          <cell r="A2">
            <v>43462</v>
          </cell>
        </row>
      </sheetData>
      <sheetData sheetId="13150">
        <row r="2">
          <cell r="A2">
            <v>43462</v>
          </cell>
        </row>
      </sheetData>
      <sheetData sheetId="13151">
        <row r="2">
          <cell r="A2">
            <v>43462</v>
          </cell>
        </row>
      </sheetData>
      <sheetData sheetId="13152">
        <row r="2">
          <cell r="A2">
            <v>43462</v>
          </cell>
        </row>
      </sheetData>
      <sheetData sheetId="13153">
        <row r="2">
          <cell r="A2">
            <v>43462</v>
          </cell>
        </row>
      </sheetData>
      <sheetData sheetId="13154">
        <row r="2">
          <cell r="A2">
            <v>43462</v>
          </cell>
        </row>
      </sheetData>
      <sheetData sheetId="13155">
        <row r="2">
          <cell r="A2">
            <v>43462</v>
          </cell>
        </row>
      </sheetData>
      <sheetData sheetId="13156">
        <row r="2">
          <cell r="A2">
            <v>43462</v>
          </cell>
        </row>
      </sheetData>
      <sheetData sheetId="13157">
        <row r="2">
          <cell r="A2">
            <v>43462</v>
          </cell>
        </row>
      </sheetData>
      <sheetData sheetId="13158">
        <row r="2">
          <cell r="A2">
            <v>43462</v>
          </cell>
        </row>
      </sheetData>
      <sheetData sheetId="13159">
        <row r="2">
          <cell r="A2">
            <v>43462</v>
          </cell>
        </row>
      </sheetData>
      <sheetData sheetId="13160">
        <row r="2">
          <cell r="A2">
            <v>43462</v>
          </cell>
        </row>
      </sheetData>
      <sheetData sheetId="13161">
        <row r="2">
          <cell r="A2">
            <v>43462</v>
          </cell>
        </row>
      </sheetData>
      <sheetData sheetId="13162">
        <row r="2">
          <cell r="A2">
            <v>43462</v>
          </cell>
        </row>
      </sheetData>
      <sheetData sheetId="13163">
        <row r="2">
          <cell r="A2">
            <v>43462</v>
          </cell>
        </row>
      </sheetData>
      <sheetData sheetId="13164">
        <row r="2">
          <cell r="A2">
            <v>43462</v>
          </cell>
        </row>
      </sheetData>
      <sheetData sheetId="13165">
        <row r="2">
          <cell r="A2">
            <v>43462</v>
          </cell>
        </row>
      </sheetData>
      <sheetData sheetId="13166">
        <row r="2">
          <cell r="A2">
            <v>43462</v>
          </cell>
        </row>
      </sheetData>
      <sheetData sheetId="13167">
        <row r="2">
          <cell r="A2">
            <v>43462</v>
          </cell>
        </row>
      </sheetData>
      <sheetData sheetId="13168">
        <row r="2">
          <cell r="A2">
            <v>43462</v>
          </cell>
        </row>
      </sheetData>
      <sheetData sheetId="13169">
        <row r="2">
          <cell r="A2">
            <v>43462</v>
          </cell>
        </row>
      </sheetData>
      <sheetData sheetId="13170">
        <row r="2">
          <cell r="A2">
            <v>43462</v>
          </cell>
        </row>
      </sheetData>
      <sheetData sheetId="13171">
        <row r="2">
          <cell r="A2" t="str">
            <v>Complete</v>
          </cell>
        </row>
      </sheetData>
      <sheetData sheetId="13172">
        <row r="2">
          <cell r="A2" t="str">
            <v>Complete</v>
          </cell>
        </row>
      </sheetData>
      <sheetData sheetId="13173">
        <row r="2">
          <cell r="A2" t="str">
            <v>Complete</v>
          </cell>
        </row>
      </sheetData>
      <sheetData sheetId="13174">
        <row r="2">
          <cell r="A2" t="str">
            <v>Complete</v>
          </cell>
        </row>
      </sheetData>
      <sheetData sheetId="13175">
        <row r="2">
          <cell r="A2" t="str">
            <v>Complete</v>
          </cell>
        </row>
      </sheetData>
      <sheetData sheetId="13176">
        <row r="2">
          <cell r="A2" t="str">
            <v>Complete</v>
          </cell>
        </row>
      </sheetData>
      <sheetData sheetId="13177">
        <row r="2">
          <cell r="A2" t="str">
            <v>Complete</v>
          </cell>
        </row>
      </sheetData>
      <sheetData sheetId="13178">
        <row r="2">
          <cell r="A2" t="str">
            <v>Complete</v>
          </cell>
        </row>
      </sheetData>
      <sheetData sheetId="13179">
        <row r="2">
          <cell r="A2" t="str">
            <v>Complete</v>
          </cell>
        </row>
      </sheetData>
      <sheetData sheetId="13180">
        <row r="2">
          <cell r="A2" t="str">
            <v>Complete</v>
          </cell>
        </row>
      </sheetData>
      <sheetData sheetId="13181">
        <row r="2">
          <cell r="A2" t="str">
            <v>Complete</v>
          </cell>
        </row>
      </sheetData>
      <sheetData sheetId="13182">
        <row r="2">
          <cell r="A2" t="str">
            <v>Complete</v>
          </cell>
        </row>
      </sheetData>
      <sheetData sheetId="13183">
        <row r="2">
          <cell r="A2" t="str">
            <v>Complete</v>
          </cell>
        </row>
      </sheetData>
      <sheetData sheetId="13184">
        <row r="2">
          <cell r="A2" t="str">
            <v>Complete</v>
          </cell>
        </row>
      </sheetData>
      <sheetData sheetId="13185">
        <row r="2">
          <cell r="A2" t="str">
            <v>Complete</v>
          </cell>
        </row>
      </sheetData>
      <sheetData sheetId="13186">
        <row r="2">
          <cell r="A2" t="str">
            <v>Complete</v>
          </cell>
        </row>
      </sheetData>
      <sheetData sheetId="13187">
        <row r="2">
          <cell r="A2" t="str">
            <v>Complete</v>
          </cell>
        </row>
      </sheetData>
      <sheetData sheetId="13188">
        <row r="2">
          <cell r="A2" t="str">
            <v>Complete</v>
          </cell>
        </row>
      </sheetData>
      <sheetData sheetId="13189">
        <row r="2">
          <cell r="A2" t="str">
            <v>Complete</v>
          </cell>
        </row>
      </sheetData>
      <sheetData sheetId="13190">
        <row r="2">
          <cell r="A2" t="str">
            <v>Complete</v>
          </cell>
        </row>
      </sheetData>
      <sheetData sheetId="13191">
        <row r="2">
          <cell r="A2" t="str">
            <v>Complete</v>
          </cell>
        </row>
      </sheetData>
      <sheetData sheetId="13192">
        <row r="2">
          <cell r="A2">
            <v>43462</v>
          </cell>
        </row>
      </sheetData>
      <sheetData sheetId="13193">
        <row r="2">
          <cell r="A2">
            <v>43462</v>
          </cell>
        </row>
      </sheetData>
      <sheetData sheetId="13194">
        <row r="2">
          <cell r="A2">
            <v>43462</v>
          </cell>
        </row>
      </sheetData>
      <sheetData sheetId="13195">
        <row r="2">
          <cell r="A2">
            <v>43462</v>
          </cell>
        </row>
      </sheetData>
      <sheetData sheetId="13196">
        <row r="2">
          <cell r="A2">
            <v>43462</v>
          </cell>
        </row>
      </sheetData>
      <sheetData sheetId="13197">
        <row r="2">
          <cell r="A2">
            <v>43462</v>
          </cell>
        </row>
      </sheetData>
      <sheetData sheetId="13198">
        <row r="2">
          <cell r="A2">
            <v>43462</v>
          </cell>
        </row>
      </sheetData>
      <sheetData sheetId="13199">
        <row r="2">
          <cell r="A2">
            <v>43462</v>
          </cell>
        </row>
      </sheetData>
      <sheetData sheetId="13200">
        <row r="2">
          <cell r="A2">
            <v>43462</v>
          </cell>
        </row>
      </sheetData>
      <sheetData sheetId="13201">
        <row r="2">
          <cell r="A2">
            <v>43462</v>
          </cell>
        </row>
      </sheetData>
      <sheetData sheetId="13202">
        <row r="2">
          <cell r="A2">
            <v>43462</v>
          </cell>
        </row>
      </sheetData>
      <sheetData sheetId="13203">
        <row r="2">
          <cell r="A2">
            <v>43462</v>
          </cell>
        </row>
      </sheetData>
      <sheetData sheetId="13204">
        <row r="2">
          <cell r="A2">
            <v>43462</v>
          </cell>
        </row>
      </sheetData>
      <sheetData sheetId="13205">
        <row r="2">
          <cell r="A2">
            <v>43462</v>
          </cell>
        </row>
      </sheetData>
      <sheetData sheetId="13206">
        <row r="2">
          <cell r="A2">
            <v>43462</v>
          </cell>
        </row>
      </sheetData>
      <sheetData sheetId="13207">
        <row r="2">
          <cell r="A2">
            <v>43462</v>
          </cell>
        </row>
      </sheetData>
      <sheetData sheetId="13208">
        <row r="2">
          <cell r="A2">
            <v>43462</v>
          </cell>
        </row>
      </sheetData>
      <sheetData sheetId="13209">
        <row r="2">
          <cell r="A2">
            <v>43462</v>
          </cell>
        </row>
      </sheetData>
      <sheetData sheetId="13210">
        <row r="2">
          <cell r="A2">
            <v>43462</v>
          </cell>
        </row>
      </sheetData>
      <sheetData sheetId="13211">
        <row r="2">
          <cell r="A2">
            <v>43462</v>
          </cell>
        </row>
      </sheetData>
      <sheetData sheetId="13212">
        <row r="2">
          <cell r="A2">
            <v>43462</v>
          </cell>
        </row>
      </sheetData>
      <sheetData sheetId="13213">
        <row r="2">
          <cell r="A2">
            <v>43462</v>
          </cell>
        </row>
      </sheetData>
      <sheetData sheetId="13214">
        <row r="2">
          <cell r="A2" t="str">
            <v>Complete</v>
          </cell>
        </row>
      </sheetData>
      <sheetData sheetId="13215">
        <row r="2">
          <cell r="A2" t="str">
            <v>Complete</v>
          </cell>
        </row>
      </sheetData>
      <sheetData sheetId="13216">
        <row r="2">
          <cell r="A2" t="str">
            <v>Complete</v>
          </cell>
        </row>
      </sheetData>
      <sheetData sheetId="13217">
        <row r="2">
          <cell r="A2" t="str">
            <v>Complete</v>
          </cell>
        </row>
      </sheetData>
      <sheetData sheetId="13218">
        <row r="2">
          <cell r="A2" t="str">
            <v>Complete</v>
          </cell>
        </row>
      </sheetData>
      <sheetData sheetId="13219">
        <row r="2">
          <cell r="A2" t="str">
            <v>Complete</v>
          </cell>
        </row>
      </sheetData>
      <sheetData sheetId="13220">
        <row r="2">
          <cell r="A2" t="str">
            <v>Complete</v>
          </cell>
        </row>
      </sheetData>
      <sheetData sheetId="13221">
        <row r="2">
          <cell r="A2" t="str">
            <v>Complete</v>
          </cell>
        </row>
      </sheetData>
      <sheetData sheetId="13222">
        <row r="2">
          <cell r="A2" t="str">
            <v>Complete</v>
          </cell>
        </row>
      </sheetData>
      <sheetData sheetId="13223">
        <row r="2">
          <cell r="A2" t="str">
            <v>Complete</v>
          </cell>
        </row>
      </sheetData>
      <sheetData sheetId="13224">
        <row r="2">
          <cell r="A2" t="str">
            <v>Complete</v>
          </cell>
        </row>
      </sheetData>
      <sheetData sheetId="13225">
        <row r="2">
          <cell r="A2" t="str">
            <v>Complete</v>
          </cell>
        </row>
      </sheetData>
      <sheetData sheetId="13226">
        <row r="2">
          <cell r="A2" t="str">
            <v>Complete</v>
          </cell>
        </row>
      </sheetData>
      <sheetData sheetId="13227">
        <row r="2">
          <cell r="A2" t="str">
            <v>Complete</v>
          </cell>
        </row>
      </sheetData>
      <sheetData sheetId="13228">
        <row r="2">
          <cell r="A2" t="str">
            <v>Complete</v>
          </cell>
        </row>
      </sheetData>
      <sheetData sheetId="13229">
        <row r="2">
          <cell r="A2" t="str">
            <v>Complete</v>
          </cell>
        </row>
      </sheetData>
      <sheetData sheetId="13230">
        <row r="2">
          <cell r="A2" t="str">
            <v>Complete</v>
          </cell>
        </row>
      </sheetData>
      <sheetData sheetId="13231">
        <row r="2">
          <cell r="A2" t="str">
            <v>Complete</v>
          </cell>
        </row>
      </sheetData>
      <sheetData sheetId="13232">
        <row r="2">
          <cell r="A2" t="str">
            <v>Complete</v>
          </cell>
        </row>
      </sheetData>
      <sheetData sheetId="13233">
        <row r="2">
          <cell r="A2">
            <v>43462</v>
          </cell>
        </row>
      </sheetData>
      <sheetData sheetId="13234">
        <row r="2">
          <cell r="A2">
            <v>43462</v>
          </cell>
        </row>
      </sheetData>
      <sheetData sheetId="13235">
        <row r="2">
          <cell r="A2">
            <v>43462</v>
          </cell>
        </row>
      </sheetData>
      <sheetData sheetId="13236">
        <row r="2">
          <cell r="A2">
            <v>43462</v>
          </cell>
        </row>
      </sheetData>
      <sheetData sheetId="13237">
        <row r="2">
          <cell r="A2">
            <v>43462</v>
          </cell>
        </row>
      </sheetData>
      <sheetData sheetId="13238">
        <row r="2">
          <cell r="A2">
            <v>43462</v>
          </cell>
        </row>
      </sheetData>
      <sheetData sheetId="13239">
        <row r="2">
          <cell r="A2">
            <v>43462</v>
          </cell>
        </row>
      </sheetData>
      <sheetData sheetId="13240">
        <row r="2">
          <cell r="A2">
            <v>43462</v>
          </cell>
        </row>
      </sheetData>
      <sheetData sheetId="13241">
        <row r="2">
          <cell r="A2">
            <v>43462</v>
          </cell>
        </row>
      </sheetData>
      <sheetData sheetId="13242">
        <row r="2">
          <cell r="A2">
            <v>43462</v>
          </cell>
        </row>
      </sheetData>
      <sheetData sheetId="13243">
        <row r="2">
          <cell r="A2">
            <v>43462</v>
          </cell>
        </row>
      </sheetData>
      <sheetData sheetId="13244">
        <row r="2">
          <cell r="A2">
            <v>43462</v>
          </cell>
        </row>
      </sheetData>
      <sheetData sheetId="13245">
        <row r="2">
          <cell r="A2">
            <v>43462</v>
          </cell>
        </row>
      </sheetData>
      <sheetData sheetId="13246">
        <row r="2">
          <cell r="A2">
            <v>43462</v>
          </cell>
        </row>
      </sheetData>
      <sheetData sheetId="13247">
        <row r="2">
          <cell r="A2">
            <v>43462</v>
          </cell>
        </row>
      </sheetData>
      <sheetData sheetId="13248">
        <row r="2">
          <cell r="A2">
            <v>43462</v>
          </cell>
        </row>
      </sheetData>
      <sheetData sheetId="13249">
        <row r="2">
          <cell r="A2">
            <v>43462</v>
          </cell>
        </row>
      </sheetData>
      <sheetData sheetId="13250">
        <row r="2">
          <cell r="A2">
            <v>43462</v>
          </cell>
        </row>
      </sheetData>
      <sheetData sheetId="13251">
        <row r="2">
          <cell r="A2">
            <v>43462</v>
          </cell>
        </row>
      </sheetData>
      <sheetData sheetId="13252">
        <row r="2">
          <cell r="A2">
            <v>43462</v>
          </cell>
        </row>
      </sheetData>
      <sheetData sheetId="13253">
        <row r="2">
          <cell r="A2">
            <v>43462</v>
          </cell>
        </row>
      </sheetData>
      <sheetData sheetId="13254">
        <row r="2">
          <cell r="A2">
            <v>43462</v>
          </cell>
        </row>
      </sheetData>
      <sheetData sheetId="13255">
        <row r="2">
          <cell r="A2" t="str">
            <v>Complete</v>
          </cell>
        </row>
      </sheetData>
      <sheetData sheetId="13256">
        <row r="2">
          <cell r="A2" t="str">
            <v>Complete</v>
          </cell>
        </row>
      </sheetData>
      <sheetData sheetId="13257">
        <row r="2">
          <cell r="A2" t="str">
            <v>Complete</v>
          </cell>
        </row>
      </sheetData>
      <sheetData sheetId="13258">
        <row r="2">
          <cell r="A2" t="str">
            <v>Complete</v>
          </cell>
        </row>
      </sheetData>
      <sheetData sheetId="13259">
        <row r="2">
          <cell r="A2" t="str">
            <v>Complete</v>
          </cell>
        </row>
      </sheetData>
      <sheetData sheetId="13260">
        <row r="2">
          <cell r="A2" t="str">
            <v>Complete</v>
          </cell>
        </row>
      </sheetData>
      <sheetData sheetId="13261">
        <row r="2">
          <cell r="A2" t="str">
            <v>Complete</v>
          </cell>
        </row>
      </sheetData>
      <sheetData sheetId="13262">
        <row r="2">
          <cell r="A2" t="str">
            <v>Complete</v>
          </cell>
        </row>
      </sheetData>
      <sheetData sheetId="13263">
        <row r="2">
          <cell r="A2" t="str">
            <v>Complete</v>
          </cell>
        </row>
      </sheetData>
      <sheetData sheetId="13264">
        <row r="2">
          <cell r="A2" t="str">
            <v>Complete</v>
          </cell>
        </row>
      </sheetData>
      <sheetData sheetId="13265">
        <row r="2">
          <cell r="A2" t="str">
            <v>Complete</v>
          </cell>
        </row>
      </sheetData>
      <sheetData sheetId="13266">
        <row r="2">
          <cell r="A2" t="str">
            <v>Complete</v>
          </cell>
        </row>
      </sheetData>
      <sheetData sheetId="13267">
        <row r="2">
          <cell r="A2" t="str">
            <v>Complete</v>
          </cell>
        </row>
      </sheetData>
      <sheetData sheetId="13268">
        <row r="2">
          <cell r="A2" t="str">
            <v>Complete</v>
          </cell>
        </row>
      </sheetData>
      <sheetData sheetId="13269">
        <row r="2">
          <cell r="A2" t="str">
            <v>Complete</v>
          </cell>
        </row>
      </sheetData>
      <sheetData sheetId="13270">
        <row r="2">
          <cell r="A2" t="str">
            <v>Complete</v>
          </cell>
        </row>
      </sheetData>
      <sheetData sheetId="13271">
        <row r="2">
          <cell r="A2" t="str">
            <v>Complete</v>
          </cell>
        </row>
      </sheetData>
      <sheetData sheetId="13272">
        <row r="2">
          <cell r="A2" t="str">
            <v>Complete</v>
          </cell>
        </row>
      </sheetData>
      <sheetData sheetId="13273">
        <row r="2">
          <cell r="A2" t="str">
            <v>Complete</v>
          </cell>
        </row>
      </sheetData>
      <sheetData sheetId="13274">
        <row r="2">
          <cell r="A2" t="str">
            <v>Complete</v>
          </cell>
        </row>
      </sheetData>
      <sheetData sheetId="13275">
        <row r="2">
          <cell r="A2">
            <v>43462</v>
          </cell>
        </row>
      </sheetData>
      <sheetData sheetId="13276">
        <row r="2">
          <cell r="A2">
            <v>43462</v>
          </cell>
        </row>
      </sheetData>
      <sheetData sheetId="13277">
        <row r="2">
          <cell r="A2">
            <v>43462</v>
          </cell>
        </row>
      </sheetData>
      <sheetData sheetId="13278">
        <row r="2">
          <cell r="A2">
            <v>43462</v>
          </cell>
        </row>
      </sheetData>
      <sheetData sheetId="13279">
        <row r="2">
          <cell r="A2">
            <v>43462</v>
          </cell>
        </row>
      </sheetData>
      <sheetData sheetId="13280">
        <row r="2">
          <cell r="A2">
            <v>43462</v>
          </cell>
        </row>
      </sheetData>
      <sheetData sheetId="13281">
        <row r="2">
          <cell r="A2">
            <v>43462</v>
          </cell>
        </row>
      </sheetData>
      <sheetData sheetId="13282">
        <row r="2">
          <cell r="A2">
            <v>43462</v>
          </cell>
        </row>
      </sheetData>
      <sheetData sheetId="13283">
        <row r="2">
          <cell r="A2">
            <v>43462</v>
          </cell>
        </row>
      </sheetData>
      <sheetData sheetId="13284">
        <row r="2">
          <cell r="A2">
            <v>43462</v>
          </cell>
        </row>
      </sheetData>
      <sheetData sheetId="13285">
        <row r="2">
          <cell r="A2">
            <v>43462</v>
          </cell>
        </row>
      </sheetData>
      <sheetData sheetId="13286">
        <row r="2">
          <cell r="A2">
            <v>43462</v>
          </cell>
        </row>
      </sheetData>
      <sheetData sheetId="13287">
        <row r="2">
          <cell r="A2">
            <v>43462</v>
          </cell>
        </row>
      </sheetData>
      <sheetData sheetId="13288">
        <row r="2">
          <cell r="A2">
            <v>43462</v>
          </cell>
        </row>
      </sheetData>
      <sheetData sheetId="13289">
        <row r="2">
          <cell r="A2">
            <v>43462</v>
          </cell>
        </row>
      </sheetData>
      <sheetData sheetId="13290">
        <row r="2">
          <cell r="A2">
            <v>43462</v>
          </cell>
        </row>
      </sheetData>
      <sheetData sheetId="13291">
        <row r="2">
          <cell r="A2">
            <v>43462</v>
          </cell>
        </row>
      </sheetData>
      <sheetData sheetId="13292">
        <row r="2">
          <cell r="A2">
            <v>43462</v>
          </cell>
        </row>
      </sheetData>
      <sheetData sheetId="13293">
        <row r="2">
          <cell r="A2">
            <v>43462</v>
          </cell>
        </row>
      </sheetData>
      <sheetData sheetId="13294">
        <row r="2">
          <cell r="A2">
            <v>43462</v>
          </cell>
        </row>
      </sheetData>
      <sheetData sheetId="13295">
        <row r="2">
          <cell r="A2">
            <v>43462</v>
          </cell>
        </row>
      </sheetData>
      <sheetData sheetId="13296">
        <row r="2">
          <cell r="A2">
            <v>43462</v>
          </cell>
        </row>
      </sheetData>
      <sheetData sheetId="13297">
        <row r="2">
          <cell r="A2" t="str">
            <v>Complete</v>
          </cell>
        </row>
      </sheetData>
      <sheetData sheetId="13298">
        <row r="2">
          <cell r="A2" t="str">
            <v>Complete</v>
          </cell>
        </row>
      </sheetData>
      <sheetData sheetId="13299">
        <row r="2">
          <cell r="A2" t="str">
            <v>Complete</v>
          </cell>
        </row>
      </sheetData>
      <sheetData sheetId="13300">
        <row r="2">
          <cell r="A2" t="str">
            <v>Complete</v>
          </cell>
        </row>
      </sheetData>
      <sheetData sheetId="13301">
        <row r="2">
          <cell r="A2" t="str">
            <v>Complete</v>
          </cell>
        </row>
      </sheetData>
      <sheetData sheetId="13302">
        <row r="2">
          <cell r="A2" t="str">
            <v>Complete</v>
          </cell>
        </row>
      </sheetData>
      <sheetData sheetId="13303">
        <row r="2">
          <cell r="A2" t="str">
            <v>Complete</v>
          </cell>
        </row>
      </sheetData>
      <sheetData sheetId="13304">
        <row r="2">
          <cell r="A2" t="str">
            <v>Complete</v>
          </cell>
        </row>
      </sheetData>
      <sheetData sheetId="13305">
        <row r="2">
          <cell r="A2" t="str">
            <v>Complete</v>
          </cell>
        </row>
      </sheetData>
      <sheetData sheetId="13306">
        <row r="2">
          <cell r="A2" t="str">
            <v>Complete</v>
          </cell>
        </row>
      </sheetData>
      <sheetData sheetId="13307">
        <row r="2">
          <cell r="A2" t="str">
            <v>Complete</v>
          </cell>
        </row>
      </sheetData>
      <sheetData sheetId="13308">
        <row r="2">
          <cell r="A2" t="str">
            <v>Complete</v>
          </cell>
        </row>
      </sheetData>
      <sheetData sheetId="13309">
        <row r="2">
          <cell r="A2" t="str">
            <v>Complete</v>
          </cell>
        </row>
      </sheetData>
      <sheetData sheetId="13310">
        <row r="2">
          <cell r="A2" t="str">
            <v>Complete</v>
          </cell>
        </row>
      </sheetData>
      <sheetData sheetId="13311">
        <row r="2">
          <cell r="A2" t="str">
            <v>Complete</v>
          </cell>
        </row>
      </sheetData>
      <sheetData sheetId="13312">
        <row r="2">
          <cell r="A2" t="str">
            <v>Complete</v>
          </cell>
        </row>
      </sheetData>
      <sheetData sheetId="13313">
        <row r="2">
          <cell r="A2" t="str">
            <v>Complete</v>
          </cell>
        </row>
      </sheetData>
      <sheetData sheetId="13314">
        <row r="2">
          <cell r="A2" t="str">
            <v>Complete</v>
          </cell>
        </row>
      </sheetData>
      <sheetData sheetId="13315">
        <row r="2">
          <cell r="A2" t="str">
            <v>Complete</v>
          </cell>
        </row>
      </sheetData>
      <sheetData sheetId="13316">
        <row r="2">
          <cell r="A2" t="str">
            <v>Complete</v>
          </cell>
        </row>
      </sheetData>
      <sheetData sheetId="13317">
        <row r="2">
          <cell r="A2" t="str">
            <v>Complete</v>
          </cell>
        </row>
      </sheetData>
      <sheetData sheetId="13318">
        <row r="2">
          <cell r="A2" t="str">
            <v>Complete</v>
          </cell>
        </row>
      </sheetData>
      <sheetData sheetId="13319">
        <row r="2">
          <cell r="A2" t="str">
            <v>Complete</v>
          </cell>
        </row>
      </sheetData>
      <sheetData sheetId="13320">
        <row r="2">
          <cell r="A2" t="str">
            <v>Complete</v>
          </cell>
        </row>
      </sheetData>
      <sheetData sheetId="13321">
        <row r="2">
          <cell r="A2">
            <v>43462</v>
          </cell>
        </row>
      </sheetData>
      <sheetData sheetId="13322">
        <row r="2">
          <cell r="A2">
            <v>43462</v>
          </cell>
        </row>
      </sheetData>
      <sheetData sheetId="13323">
        <row r="2">
          <cell r="A2">
            <v>43462</v>
          </cell>
        </row>
      </sheetData>
      <sheetData sheetId="13324">
        <row r="2">
          <cell r="A2">
            <v>43462</v>
          </cell>
        </row>
      </sheetData>
      <sheetData sheetId="13325">
        <row r="2">
          <cell r="A2">
            <v>43462</v>
          </cell>
        </row>
      </sheetData>
      <sheetData sheetId="13326">
        <row r="2">
          <cell r="A2">
            <v>43462</v>
          </cell>
        </row>
      </sheetData>
      <sheetData sheetId="13327">
        <row r="2">
          <cell r="A2">
            <v>43462</v>
          </cell>
        </row>
      </sheetData>
      <sheetData sheetId="13328">
        <row r="2">
          <cell r="A2">
            <v>43462</v>
          </cell>
        </row>
      </sheetData>
      <sheetData sheetId="13329">
        <row r="2">
          <cell r="A2">
            <v>43462</v>
          </cell>
        </row>
      </sheetData>
      <sheetData sheetId="13330">
        <row r="2">
          <cell r="A2">
            <v>43462</v>
          </cell>
        </row>
      </sheetData>
      <sheetData sheetId="13331">
        <row r="2">
          <cell r="A2">
            <v>43462</v>
          </cell>
        </row>
      </sheetData>
      <sheetData sheetId="13332">
        <row r="2">
          <cell r="A2">
            <v>43462</v>
          </cell>
        </row>
      </sheetData>
      <sheetData sheetId="13333">
        <row r="2">
          <cell r="A2">
            <v>43462</v>
          </cell>
        </row>
      </sheetData>
      <sheetData sheetId="13334">
        <row r="2">
          <cell r="A2">
            <v>43462</v>
          </cell>
        </row>
      </sheetData>
      <sheetData sheetId="13335">
        <row r="2">
          <cell r="A2">
            <v>43462</v>
          </cell>
        </row>
      </sheetData>
      <sheetData sheetId="13336">
        <row r="2">
          <cell r="A2">
            <v>43462</v>
          </cell>
        </row>
      </sheetData>
      <sheetData sheetId="13337">
        <row r="2">
          <cell r="A2">
            <v>43462</v>
          </cell>
        </row>
      </sheetData>
      <sheetData sheetId="13338">
        <row r="2">
          <cell r="A2">
            <v>43462</v>
          </cell>
        </row>
      </sheetData>
      <sheetData sheetId="13339">
        <row r="2">
          <cell r="A2" t="str">
            <v>Complete</v>
          </cell>
        </row>
      </sheetData>
      <sheetData sheetId="13340">
        <row r="2">
          <cell r="A2" t="str">
            <v>Complete</v>
          </cell>
        </row>
      </sheetData>
      <sheetData sheetId="13341">
        <row r="2">
          <cell r="A2" t="str">
            <v>Complete</v>
          </cell>
        </row>
      </sheetData>
      <sheetData sheetId="13342">
        <row r="2">
          <cell r="A2" t="str">
            <v>Complete</v>
          </cell>
        </row>
      </sheetData>
      <sheetData sheetId="13343">
        <row r="2">
          <cell r="A2" t="str">
            <v>Complete</v>
          </cell>
        </row>
      </sheetData>
      <sheetData sheetId="13344">
        <row r="2">
          <cell r="A2" t="str">
            <v>Complete</v>
          </cell>
        </row>
      </sheetData>
      <sheetData sheetId="13345">
        <row r="2">
          <cell r="A2" t="str">
            <v>Complete</v>
          </cell>
        </row>
      </sheetData>
      <sheetData sheetId="13346">
        <row r="2">
          <cell r="A2" t="str">
            <v>Complete</v>
          </cell>
        </row>
      </sheetData>
      <sheetData sheetId="13347">
        <row r="2">
          <cell r="A2" t="str">
            <v>Complete</v>
          </cell>
        </row>
      </sheetData>
      <sheetData sheetId="13348">
        <row r="2">
          <cell r="A2" t="str">
            <v>Complete</v>
          </cell>
        </row>
      </sheetData>
      <sheetData sheetId="13349">
        <row r="2">
          <cell r="A2" t="str">
            <v>Complete</v>
          </cell>
        </row>
      </sheetData>
      <sheetData sheetId="13350">
        <row r="2">
          <cell r="A2" t="str">
            <v>Complete</v>
          </cell>
        </row>
      </sheetData>
      <sheetData sheetId="13351">
        <row r="2">
          <cell r="A2" t="str">
            <v>Complete</v>
          </cell>
        </row>
      </sheetData>
      <sheetData sheetId="13352">
        <row r="2">
          <cell r="A2" t="str">
            <v>Complete</v>
          </cell>
        </row>
      </sheetData>
      <sheetData sheetId="13353">
        <row r="2">
          <cell r="A2" t="str">
            <v>Complete</v>
          </cell>
        </row>
      </sheetData>
      <sheetData sheetId="13354">
        <row r="2">
          <cell r="A2" t="str">
            <v>Complete</v>
          </cell>
        </row>
      </sheetData>
      <sheetData sheetId="13355">
        <row r="2">
          <cell r="A2" t="str">
            <v>Complete</v>
          </cell>
        </row>
      </sheetData>
      <sheetData sheetId="13356">
        <row r="2">
          <cell r="A2" t="str">
            <v>Complete</v>
          </cell>
        </row>
      </sheetData>
      <sheetData sheetId="13357">
        <row r="2">
          <cell r="A2" t="str">
            <v>Complete</v>
          </cell>
        </row>
      </sheetData>
      <sheetData sheetId="13358">
        <row r="2">
          <cell r="A2" t="str">
            <v>Complete</v>
          </cell>
        </row>
      </sheetData>
      <sheetData sheetId="13359">
        <row r="2">
          <cell r="A2" t="str">
            <v>Complete</v>
          </cell>
        </row>
      </sheetData>
      <sheetData sheetId="13360">
        <row r="2">
          <cell r="A2" t="str">
            <v>Complete</v>
          </cell>
        </row>
      </sheetData>
      <sheetData sheetId="13361">
        <row r="2">
          <cell r="A2" t="str">
            <v>Complete</v>
          </cell>
        </row>
      </sheetData>
      <sheetData sheetId="13362">
        <row r="2">
          <cell r="A2" t="str">
            <v>Complete</v>
          </cell>
        </row>
      </sheetData>
      <sheetData sheetId="13363">
        <row r="2">
          <cell r="A2" t="str">
            <v>Complete</v>
          </cell>
        </row>
      </sheetData>
      <sheetData sheetId="13364">
        <row r="2">
          <cell r="A2">
            <v>43462</v>
          </cell>
        </row>
      </sheetData>
      <sheetData sheetId="13365">
        <row r="2">
          <cell r="A2">
            <v>43462</v>
          </cell>
        </row>
      </sheetData>
      <sheetData sheetId="13366">
        <row r="2">
          <cell r="A2">
            <v>43462</v>
          </cell>
        </row>
      </sheetData>
      <sheetData sheetId="13367">
        <row r="2">
          <cell r="A2">
            <v>43462</v>
          </cell>
        </row>
      </sheetData>
      <sheetData sheetId="13368">
        <row r="2">
          <cell r="A2">
            <v>43462</v>
          </cell>
        </row>
      </sheetData>
      <sheetData sheetId="13369">
        <row r="2">
          <cell r="A2">
            <v>43462</v>
          </cell>
        </row>
      </sheetData>
      <sheetData sheetId="13370">
        <row r="2">
          <cell r="A2">
            <v>43462</v>
          </cell>
        </row>
      </sheetData>
      <sheetData sheetId="13371">
        <row r="2">
          <cell r="A2">
            <v>43462</v>
          </cell>
        </row>
      </sheetData>
      <sheetData sheetId="13372">
        <row r="2">
          <cell r="A2">
            <v>43462</v>
          </cell>
        </row>
      </sheetData>
      <sheetData sheetId="13373">
        <row r="2">
          <cell r="A2">
            <v>43462</v>
          </cell>
        </row>
      </sheetData>
      <sheetData sheetId="13374">
        <row r="2">
          <cell r="A2">
            <v>43462</v>
          </cell>
        </row>
      </sheetData>
      <sheetData sheetId="13375">
        <row r="2">
          <cell r="A2">
            <v>43462</v>
          </cell>
        </row>
      </sheetData>
      <sheetData sheetId="13376">
        <row r="2">
          <cell r="A2">
            <v>43462</v>
          </cell>
        </row>
      </sheetData>
      <sheetData sheetId="13377">
        <row r="2">
          <cell r="A2">
            <v>43462</v>
          </cell>
        </row>
      </sheetData>
      <sheetData sheetId="13378">
        <row r="2">
          <cell r="A2">
            <v>43462</v>
          </cell>
        </row>
      </sheetData>
      <sheetData sheetId="13379">
        <row r="2">
          <cell r="A2">
            <v>43462</v>
          </cell>
        </row>
      </sheetData>
      <sheetData sheetId="13380">
        <row r="2">
          <cell r="A2">
            <v>43462</v>
          </cell>
        </row>
      </sheetData>
      <sheetData sheetId="13381">
        <row r="2">
          <cell r="A2" t="str">
            <v>Complete</v>
          </cell>
        </row>
      </sheetData>
      <sheetData sheetId="13382">
        <row r="2">
          <cell r="A2" t="str">
            <v>Complete</v>
          </cell>
        </row>
      </sheetData>
      <sheetData sheetId="13383">
        <row r="2">
          <cell r="A2" t="str">
            <v>Complete</v>
          </cell>
        </row>
      </sheetData>
      <sheetData sheetId="13384">
        <row r="2">
          <cell r="A2" t="str">
            <v>Complete</v>
          </cell>
        </row>
      </sheetData>
      <sheetData sheetId="13385">
        <row r="2">
          <cell r="A2" t="str">
            <v>Complete</v>
          </cell>
        </row>
      </sheetData>
      <sheetData sheetId="13386">
        <row r="2">
          <cell r="A2" t="str">
            <v>Complete</v>
          </cell>
        </row>
      </sheetData>
      <sheetData sheetId="13387">
        <row r="2">
          <cell r="A2" t="str">
            <v>Complete</v>
          </cell>
        </row>
      </sheetData>
      <sheetData sheetId="13388">
        <row r="2">
          <cell r="A2" t="str">
            <v>Complete</v>
          </cell>
        </row>
      </sheetData>
      <sheetData sheetId="13389">
        <row r="2">
          <cell r="A2" t="str">
            <v>Complete</v>
          </cell>
        </row>
      </sheetData>
      <sheetData sheetId="13390">
        <row r="2">
          <cell r="A2" t="str">
            <v>Complete</v>
          </cell>
        </row>
      </sheetData>
      <sheetData sheetId="13391">
        <row r="2">
          <cell r="A2" t="str">
            <v>Complete</v>
          </cell>
        </row>
      </sheetData>
      <sheetData sheetId="13392">
        <row r="2">
          <cell r="A2" t="str">
            <v>Complete</v>
          </cell>
        </row>
      </sheetData>
      <sheetData sheetId="13393">
        <row r="2">
          <cell r="A2" t="str">
            <v>Complete</v>
          </cell>
        </row>
      </sheetData>
      <sheetData sheetId="13394">
        <row r="2">
          <cell r="A2" t="str">
            <v>Complete</v>
          </cell>
        </row>
      </sheetData>
      <sheetData sheetId="13395">
        <row r="2">
          <cell r="A2" t="str">
            <v>Complete</v>
          </cell>
        </row>
      </sheetData>
      <sheetData sheetId="13396">
        <row r="2">
          <cell r="A2" t="str">
            <v>Complete</v>
          </cell>
        </row>
      </sheetData>
      <sheetData sheetId="13397">
        <row r="2">
          <cell r="A2" t="str">
            <v>Complete</v>
          </cell>
        </row>
      </sheetData>
      <sheetData sheetId="13398">
        <row r="2">
          <cell r="A2" t="str">
            <v>Complete</v>
          </cell>
        </row>
      </sheetData>
      <sheetData sheetId="13399">
        <row r="2">
          <cell r="A2" t="str">
            <v>Complete</v>
          </cell>
        </row>
      </sheetData>
      <sheetData sheetId="13400">
        <row r="2">
          <cell r="A2" t="str">
            <v>Complete</v>
          </cell>
        </row>
      </sheetData>
      <sheetData sheetId="13401">
        <row r="2">
          <cell r="A2" t="str">
            <v>Complete</v>
          </cell>
        </row>
      </sheetData>
      <sheetData sheetId="13402">
        <row r="2">
          <cell r="A2" t="str">
            <v>Complete</v>
          </cell>
        </row>
      </sheetData>
      <sheetData sheetId="13403">
        <row r="2">
          <cell r="A2" t="str">
            <v>Complete</v>
          </cell>
        </row>
      </sheetData>
      <sheetData sheetId="13404">
        <row r="2">
          <cell r="A2" t="str">
            <v>Complete</v>
          </cell>
        </row>
      </sheetData>
      <sheetData sheetId="13405">
        <row r="2">
          <cell r="A2" t="str">
            <v>Complete</v>
          </cell>
        </row>
      </sheetData>
      <sheetData sheetId="13406">
        <row r="2">
          <cell r="A2" t="str">
            <v>Complete</v>
          </cell>
        </row>
      </sheetData>
      <sheetData sheetId="13407">
        <row r="2">
          <cell r="A2">
            <v>43462</v>
          </cell>
        </row>
      </sheetData>
      <sheetData sheetId="13408">
        <row r="2">
          <cell r="A2">
            <v>43462</v>
          </cell>
        </row>
      </sheetData>
      <sheetData sheetId="13409">
        <row r="2">
          <cell r="A2">
            <v>43462</v>
          </cell>
        </row>
      </sheetData>
      <sheetData sheetId="13410">
        <row r="2">
          <cell r="A2">
            <v>43462</v>
          </cell>
        </row>
      </sheetData>
      <sheetData sheetId="13411">
        <row r="2">
          <cell r="A2">
            <v>43462</v>
          </cell>
        </row>
      </sheetData>
      <sheetData sheetId="13412">
        <row r="2">
          <cell r="A2">
            <v>43462</v>
          </cell>
        </row>
      </sheetData>
      <sheetData sheetId="13413">
        <row r="2">
          <cell r="A2">
            <v>43462</v>
          </cell>
        </row>
      </sheetData>
      <sheetData sheetId="13414">
        <row r="2">
          <cell r="A2">
            <v>43462</v>
          </cell>
        </row>
      </sheetData>
      <sheetData sheetId="13415">
        <row r="2">
          <cell r="A2">
            <v>43462</v>
          </cell>
        </row>
      </sheetData>
      <sheetData sheetId="13416">
        <row r="2">
          <cell r="A2">
            <v>43462</v>
          </cell>
        </row>
      </sheetData>
      <sheetData sheetId="13417">
        <row r="2">
          <cell r="A2">
            <v>43462</v>
          </cell>
        </row>
      </sheetData>
      <sheetData sheetId="13418">
        <row r="2">
          <cell r="A2">
            <v>43462</v>
          </cell>
        </row>
      </sheetData>
      <sheetData sheetId="13419">
        <row r="2">
          <cell r="A2">
            <v>43462</v>
          </cell>
        </row>
      </sheetData>
      <sheetData sheetId="13420">
        <row r="2">
          <cell r="A2">
            <v>43462</v>
          </cell>
        </row>
      </sheetData>
      <sheetData sheetId="13421">
        <row r="2">
          <cell r="A2">
            <v>43462</v>
          </cell>
        </row>
      </sheetData>
      <sheetData sheetId="13422">
        <row r="2">
          <cell r="A2">
            <v>43462</v>
          </cell>
        </row>
      </sheetData>
      <sheetData sheetId="13423">
        <row r="2">
          <cell r="A2" t="str">
            <v>Complete</v>
          </cell>
        </row>
      </sheetData>
      <sheetData sheetId="13424">
        <row r="2">
          <cell r="A2" t="str">
            <v>Complete</v>
          </cell>
        </row>
      </sheetData>
      <sheetData sheetId="13425">
        <row r="2">
          <cell r="A2" t="str">
            <v>Complete</v>
          </cell>
        </row>
      </sheetData>
      <sheetData sheetId="13426">
        <row r="2">
          <cell r="A2" t="str">
            <v>Complete</v>
          </cell>
        </row>
      </sheetData>
      <sheetData sheetId="13427">
        <row r="2">
          <cell r="A2" t="str">
            <v>Complete</v>
          </cell>
        </row>
      </sheetData>
      <sheetData sheetId="13428">
        <row r="2">
          <cell r="A2" t="str">
            <v>Complete</v>
          </cell>
        </row>
      </sheetData>
      <sheetData sheetId="13429">
        <row r="2">
          <cell r="A2" t="str">
            <v>Complete</v>
          </cell>
        </row>
      </sheetData>
      <sheetData sheetId="13430">
        <row r="2">
          <cell r="A2" t="str">
            <v>Complete</v>
          </cell>
        </row>
      </sheetData>
      <sheetData sheetId="13431">
        <row r="2">
          <cell r="A2" t="str">
            <v>Complete</v>
          </cell>
        </row>
      </sheetData>
      <sheetData sheetId="13432">
        <row r="2">
          <cell r="A2" t="str">
            <v>Complete</v>
          </cell>
        </row>
      </sheetData>
      <sheetData sheetId="13433">
        <row r="2">
          <cell r="A2" t="str">
            <v>Complete</v>
          </cell>
        </row>
      </sheetData>
      <sheetData sheetId="13434">
        <row r="2">
          <cell r="A2" t="str">
            <v>Complete</v>
          </cell>
        </row>
      </sheetData>
      <sheetData sheetId="13435">
        <row r="2">
          <cell r="A2" t="str">
            <v>Complete</v>
          </cell>
        </row>
      </sheetData>
      <sheetData sheetId="13436">
        <row r="2">
          <cell r="A2" t="str">
            <v>Complete</v>
          </cell>
        </row>
      </sheetData>
      <sheetData sheetId="13437">
        <row r="2">
          <cell r="A2" t="str">
            <v>Complete</v>
          </cell>
        </row>
      </sheetData>
      <sheetData sheetId="13438">
        <row r="2">
          <cell r="A2" t="str">
            <v>Complete</v>
          </cell>
        </row>
      </sheetData>
      <sheetData sheetId="13439">
        <row r="2">
          <cell r="A2" t="str">
            <v>Complete</v>
          </cell>
        </row>
      </sheetData>
      <sheetData sheetId="13440">
        <row r="2">
          <cell r="A2" t="str">
            <v>Complete</v>
          </cell>
        </row>
      </sheetData>
      <sheetData sheetId="13441">
        <row r="2">
          <cell r="A2" t="str">
            <v>Complete</v>
          </cell>
        </row>
      </sheetData>
      <sheetData sheetId="13442">
        <row r="2">
          <cell r="A2" t="str">
            <v>Complete</v>
          </cell>
        </row>
      </sheetData>
      <sheetData sheetId="13443">
        <row r="2">
          <cell r="A2" t="str">
            <v>Complete</v>
          </cell>
        </row>
      </sheetData>
      <sheetData sheetId="13444">
        <row r="2">
          <cell r="A2" t="str">
            <v>Complete</v>
          </cell>
        </row>
      </sheetData>
      <sheetData sheetId="13445">
        <row r="2">
          <cell r="A2" t="str">
            <v>Complete</v>
          </cell>
        </row>
      </sheetData>
      <sheetData sheetId="13446">
        <row r="2">
          <cell r="A2" t="str">
            <v>Complete</v>
          </cell>
        </row>
      </sheetData>
      <sheetData sheetId="13447">
        <row r="2">
          <cell r="A2" t="str">
            <v>Complete</v>
          </cell>
        </row>
      </sheetData>
      <sheetData sheetId="13448">
        <row r="2">
          <cell r="A2" t="str">
            <v>Complete</v>
          </cell>
        </row>
      </sheetData>
      <sheetData sheetId="13449">
        <row r="2">
          <cell r="A2">
            <v>43462</v>
          </cell>
        </row>
      </sheetData>
      <sheetData sheetId="13450">
        <row r="2">
          <cell r="A2">
            <v>43462</v>
          </cell>
        </row>
      </sheetData>
      <sheetData sheetId="13451">
        <row r="2">
          <cell r="A2">
            <v>43462</v>
          </cell>
        </row>
      </sheetData>
      <sheetData sheetId="13452">
        <row r="2">
          <cell r="A2">
            <v>43462</v>
          </cell>
        </row>
      </sheetData>
      <sheetData sheetId="13453">
        <row r="2">
          <cell r="A2">
            <v>43462</v>
          </cell>
        </row>
      </sheetData>
      <sheetData sheetId="13454">
        <row r="2">
          <cell r="A2">
            <v>43462</v>
          </cell>
        </row>
      </sheetData>
      <sheetData sheetId="13455">
        <row r="2">
          <cell r="A2">
            <v>43462</v>
          </cell>
        </row>
      </sheetData>
      <sheetData sheetId="13456">
        <row r="2">
          <cell r="A2">
            <v>43462</v>
          </cell>
        </row>
      </sheetData>
      <sheetData sheetId="13457">
        <row r="2">
          <cell r="A2">
            <v>43462</v>
          </cell>
        </row>
      </sheetData>
      <sheetData sheetId="13458">
        <row r="2">
          <cell r="A2">
            <v>43462</v>
          </cell>
        </row>
      </sheetData>
      <sheetData sheetId="13459">
        <row r="2">
          <cell r="A2">
            <v>43462</v>
          </cell>
        </row>
      </sheetData>
      <sheetData sheetId="13460">
        <row r="2">
          <cell r="A2">
            <v>43462</v>
          </cell>
        </row>
      </sheetData>
      <sheetData sheetId="13461">
        <row r="2">
          <cell r="A2">
            <v>43462</v>
          </cell>
        </row>
      </sheetData>
      <sheetData sheetId="13462">
        <row r="2">
          <cell r="A2">
            <v>43462</v>
          </cell>
        </row>
      </sheetData>
      <sheetData sheetId="13463">
        <row r="2">
          <cell r="A2">
            <v>43462</v>
          </cell>
        </row>
      </sheetData>
      <sheetData sheetId="13464">
        <row r="2">
          <cell r="A2">
            <v>43462</v>
          </cell>
        </row>
      </sheetData>
      <sheetData sheetId="13465">
        <row r="2">
          <cell r="A2" t="str">
            <v>Complete</v>
          </cell>
        </row>
      </sheetData>
      <sheetData sheetId="13466">
        <row r="2">
          <cell r="A2" t="str">
            <v>Complete</v>
          </cell>
        </row>
      </sheetData>
      <sheetData sheetId="13467">
        <row r="2">
          <cell r="A2" t="str">
            <v>Complete</v>
          </cell>
        </row>
      </sheetData>
      <sheetData sheetId="13468">
        <row r="2">
          <cell r="A2" t="str">
            <v>Complete</v>
          </cell>
        </row>
      </sheetData>
      <sheetData sheetId="13469">
        <row r="2">
          <cell r="A2" t="str">
            <v>Complete</v>
          </cell>
        </row>
      </sheetData>
      <sheetData sheetId="13470">
        <row r="2">
          <cell r="A2" t="str">
            <v>Complete</v>
          </cell>
        </row>
      </sheetData>
      <sheetData sheetId="13471">
        <row r="2">
          <cell r="A2" t="str">
            <v>Complete</v>
          </cell>
        </row>
      </sheetData>
      <sheetData sheetId="13472">
        <row r="2">
          <cell r="A2" t="str">
            <v>Complete</v>
          </cell>
        </row>
      </sheetData>
      <sheetData sheetId="13473">
        <row r="2">
          <cell r="A2" t="str">
            <v>Complete</v>
          </cell>
        </row>
      </sheetData>
      <sheetData sheetId="13474">
        <row r="2">
          <cell r="A2" t="str">
            <v>Complete</v>
          </cell>
        </row>
      </sheetData>
      <sheetData sheetId="13475">
        <row r="2">
          <cell r="A2" t="str">
            <v>Complete</v>
          </cell>
        </row>
      </sheetData>
      <sheetData sheetId="13476">
        <row r="2">
          <cell r="A2" t="str">
            <v>Complete</v>
          </cell>
        </row>
      </sheetData>
      <sheetData sheetId="13477">
        <row r="2">
          <cell r="A2" t="str">
            <v>Complete</v>
          </cell>
        </row>
      </sheetData>
      <sheetData sheetId="13478">
        <row r="2">
          <cell r="A2" t="str">
            <v>Complete</v>
          </cell>
        </row>
      </sheetData>
      <sheetData sheetId="13479">
        <row r="2">
          <cell r="A2" t="str">
            <v>Complete</v>
          </cell>
        </row>
      </sheetData>
      <sheetData sheetId="13480">
        <row r="2">
          <cell r="A2" t="str">
            <v>Complete</v>
          </cell>
        </row>
      </sheetData>
      <sheetData sheetId="13481">
        <row r="2">
          <cell r="A2" t="str">
            <v>Complete</v>
          </cell>
        </row>
      </sheetData>
      <sheetData sheetId="13482">
        <row r="2">
          <cell r="A2" t="str">
            <v>Complete</v>
          </cell>
        </row>
      </sheetData>
      <sheetData sheetId="13483">
        <row r="2">
          <cell r="A2" t="str">
            <v>Complete</v>
          </cell>
        </row>
      </sheetData>
      <sheetData sheetId="13484">
        <row r="2">
          <cell r="A2" t="str">
            <v>Complete</v>
          </cell>
        </row>
      </sheetData>
      <sheetData sheetId="13485">
        <row r="2">
          <cell r="A2" t="str">
            <v>Complete</v>
          </cell>
        </row>
      </sheetData>
      <sheetData sheetId="13486">
        <row r="2">
          <cell r="A2" t="str">
            <v>Complete</v>
          </cell>
        </row>
      </sheetData>
      <sheetData sheetId="13487">
        <row r="2">
          <cell r="A2" t="str">
            <v>Complete</v>
          </cell>
        </row>
      </sheetData>
      <sheetData sheetId="13488">
        <row r="2">
          <cell r="A2" t="str">
            <v>Complete</v>
          </cell>
        </row>
      </sheetData>
      <sheetData sheetId="13489">
        <row r="2">
          <cell r="A2" t="str">
            <v>Complete</v>
          </cell>
        </row>
      </sheetData>
      <sheetData sheetId="13490">
        <row r="2">
          <cell r="A2" t="str">
            <v>Complete</v>
          </cell>
        </row>
      </sheetData>
      <sheetData sheetId="13491">
        <row r="2">
          <cell r="A2">
            <v>43462</v>
          </cell>
        </row>
      </sheetData>
      <sheetData sheetId="13492">
        <row r="2">
          <cell r="A2">
            <v>43462</v>
          </cell>
        </row>
      </sheetData>
      <sheetData sheetId="13493">
        <row r="2">
          <cell r="A2">
            <v>43462</v>
          </cell>
        </row>
      </sheetData>
      <sheetData sheetId="13494">
        <row r="2">
          <cell r="A2">
            <v>43462</v>
          </cell>
        </row>
      </sheetData>
      <sheetData sheetId="13495">
        <row r="2">
          <cell r="A2">
            <v>43462</v>
          </cell>
        </row>
      </sheetData>
      <sheetData sheetId="13496">
        <row r="2">
          <cell r="A2">
            <v>43462</v>
          </cell>
        </row>
      </sheetData>
      <sheetData sheetId="13497">
        <row r="2">
          <cell r="A2">
            <v>43462</v>
          </cell>
        </row>
      </sheetData>
      <sheetData sheetId="13498">
        <row r="2">
          <cell r="A2">
            <v>43462</v>
          </cell>
        </row>
      </sheetData>
      <sheetData sheetId="13499">
        <row r="2">
          <cell r="A2">
            <v>43462</v>
          </cell>
        </row>
      </sheetData>
      <sheetData sheetId="13500">
        <row r="2">
          <cell r="A2">
            <v>43462</v>
          </cell>
        </row>
      </sheetData>
      <sheetData sheetId="13501">
        <row r="2">
          <cell r="A2">
            <v>43462</v>
          </cell>
        </row>
      </sheetData>
      <sheetData sheetId="13502">
        <row r="2">
          <cell r="A2">
            <v>43462</v>
          </cell>
        </row>
      </sheetData>
      <sheetData sheetId="13503">
        <row r="2">
          <cell r="A2">
            <v>43462</v>
          </cell>
        </row>
      </sheetData>
      <sheetData sheetId="13504">
        <row r="2">
          <cell r="A2">
            <v>43462</v>
          </cell>
        </row>
      </sheetData>
      <sheetData sheetId="13505">
        <row r="2">
          <cell r="A2">
            <v>43462</v>
          </cell>
        </row>
      </sheetData>
      <sheetData sheetId="13506">
        <row r="2">
          <cell r="A2">
            <v>43462</v>
          </cell>
        </row>
      </sheetData>
      <sheetData sheetId="13507">
        <row r="2">
          <cell r="A2" t="str">
            <v>Complete</v>
          </cell>
        </row>
      </sheetData>
      <sheetData sheetId="13508">
        <row r="2">
          <cell r="A2" t="str">
            <v>Complete</v>
          </cell>
        </row>
      </sheetData>
      <sheetData sheetId="13509">
        <row r="2">
          <cell r="A2" t="str">
            <v>Complete</v>
          </cell>
        </row>
      </sheetData>
      <sheetData sheetId="13510">
        <row r="2">
          <cell r="A2" t="str">
            <v>Complete</v>
          </cell>
        </row>
      </sheetData>
      <sheetData sheetId="13511">
        <row r="2">
          <cell r="A2" t="str">
            <v>Complete</v>
          </cell>
        </row>
      </sheetData>
      <sheetData sheetId="13512">
        <row r="2">
          <cell r="A2" t="str">
            <v>Complete</v>
          </cell>
        </row>
      </sheetData>
      <sheetData sheetId="13513">
        <row r="2">
          <cell r="A2" t="str">
            <v>Complete</v>
          </cell>
        </row>
      </sheetData>
      <sheetData sheetId="13514">
        <row r="2">
          <cell r="A2" t="str">
            <v>Complete</v>
          </cell>
        </row>
      </sheetData>
      <sheetData sheetId="13515">
        <row r="2">
          <cell r="A2" t="str">
            <v>Complete</v>
          </cell>
        </row>
      </sheetData>
      <sheetData sheetId="13516">
        <row r="2">
          <cell r="A2" t="str">
            <v>Complete</v>
          </cell>
        </row>
      </sheetData>
      <sheetData sheetId="13517">
        <row r="2">
          <cell r="A2" t="str">
            <v>Complete</v>
          </cell>
        </row>
      </sheetData>
      <sheetData sheetId="13518">
        <row r="2">
          <cell r="A2" t="str">
            <v>Complete</v>
          </cell>
        </row>
      </sheetData>
      <sheetData sheetId="13519">
        <row r="2">
          <cell r="A2" t="str">
            <v>Complete</v>
          </cell>
        </row>
      </sheetData>
      <sheetData sheetId="13520">
        <row r="2">
          <cell r="A2" t="str">
            <v>Complete</v>
          </cell>
        </row>
      </sheetData>
      <sheetData sheetId="13521">
        <row r="2">
          <cell r="A2" t="str">
            <v>Complete</v>
          </cell>
        </row>
      </sheetData>
      <sheetData sheetId="13522">
        <row r="2">
          <cell r="A2" t="str">
            <v>Complete</v>
          </cell>
        </row>
      </sheetData>
      <sheetData sheetId="13523">
        <row r="2">
          <cell r="A2" t="str">
            <v>Complete</v>
          </cell>
        </row>
      </sheetData>
      <sheetData sheetId="13524">
        <row r="2">
          <cell r="A2" t="str">
            <v>Complete</v>
          </cell>
        </row>
      </sheetData>
      <sheetData sheetId="13525">
        <row r="2">
          <cell r="A2" t="str">
            <v>Complete</v>
          </cell>
        </row>
      </sheetData>
      <sheetData sheetId="13526">
        <row r="2">
          <cell r="A2" t="str">
            <v>Complete</v>
          </cell>
        </row>
      </sheetData>
      <sheetData sheetId="13527">
        <row r="2">
          <cell r="A2" t="str">
            <v>Complete</v>
          </cell>
        </row>
      </sheetData>
      <sheetData sheetId="13528">
        <row r="2">
          <cell r="A2" t="str">
            <v>Complete</v>
          </cell>
        </row>
      </sheetData>
      <sheetData sheetId="13529">
        <row r="2">
          <cell r="A2" t="str">
            <v>Complete</v>
          </cell>
        </row>
      </sheetData>
      <sheetData sheetId="13530">
        <row r="2">
          <cell r="A2" t="str">
            <v>Complete</v>
          </cell>
        </row>
      </sheetData>
      <sheetData sheetId="13531">
        <row r="2">
          <cell r="A2" t="str">
            <v>Complete</v>
          </cell>
        </row>
      </sheetData>
      <sheetData sheetId="13532">
        <row r="2">
          <cell r="A2" t="str">
            <v>Complete</v>
          </cell>
        </row>
      </sheetData>
      <sheetData sheetId="13533">
        <row r="2">
          <cell r="A2">
            <v>43462</v>
          </cell>
        </row>
      </sheetData>
      <sheetData sheetId="13534">
        <row r="2">
          <cell r="A2">
            <v>43462</v>
          </cell>
        </row>
      </sheetData>
      <sheetData sheetId="13535">
        <row r="2">
          <cell r="A2">
            <v>43462</v>
          </cell>
        </row>
      </sheetData>
      <sheetData sheetId="13536">
        <row r="2">
          <cell r="A2">
            <v>43462</v>
          </cell>
        </row>
      </sheetData>
      <sheetData sheetId="13537">
        <row r="2">
          <cell r="A2">
            <v>43462</v>
          </cell>
        </row>
      </sheetData>
      <sheetData sheetId="13538">
        <row r="2">
          <cell r="A2">
            <v>43462</v>
          </cell>
        </row>
      </sheetData>
      <sheetData sheetId="13539">
        <row r="2">
          <cell r="A2">
            <v>43462</v>
          </cell>
        </row>
      </sheetData>
      <sheetData sheetId="13540">
        <row r="2">
          <cell r="A2">
            <v>43462</v>
          </cell>
        </row>
      </sheetData>
      <sheetData sheetId="13541">
        <row r="2">
          <cell r="A2">
            <v>43462</v>
          </cell>
        </row>
      </sheetData>
      <sheetData sheetId="13542">
        <row r="2">
          <cell r="A2">
            <v>43462</v>
          </cell>
        </row>
      </sheetData>
      <sheetData sheetId="13543">
        <row r="2">
          <cell r="A2">
            <v>43462</v>
          </cell>
        </row>
      </sheetData>
      <sheetData sheetId="13544">
        <row r="2">
          <cell r="A2">
            <v>43462</v>
          </cell>
        </row>
      </sheetData>
      <sheetData sheetId="13545">
        <row r="2">
          <cell r="A2">
            <v>43462</v>
          </cell>
        </row>
      </sheetData>
      <sheetData sheetId="13546">
        <row r="2">
          <cell r="A2">
            <v>43462</v>
          </cell>
        </row>
      </sheetData>
      <sheetData sheetId="13547">
        <row r="2">
          <cell r="A2">
            <v>43462</v>
          </cell>
        </row>
      </sheetData>
      <sheetData sheetId="13548">
        <row r="2">
          <cell r="A2">
            <v>43462</v>
          </cell>
        </row>
      </sheetData>
      <sheetData sheetId="13549">
        <row r="2">
          <cell r="A2" t="str">
            <v>Complete</v>
          </cell>
        </row>
      </sheetData>
      <sheetData sheetId="13550">
        <row r="2">
          <cell r="A2" t="str">
            <v>Complete</v>
          </cell>
        </row>
      </sheetData>
      <sheetData sheetId="13551">
        <row r="2">
          <cell r="A2" t="str">
            <v>Complete</v>
          </cell>
        </row>
      </sheetData>
      <sheetData sheetId="13552">
        <row r="2">
          <cell r="A2" t="str">
            <v>Complete</v>
          </cell>
        </row>
      </sheetData>
      <sheetData sheetId="13553">
        <row r="2">
          <cell r="A2" t="str">
            <v>Complete</v>
          </cell>
        </row>
      </sheetData>
      <sheetData sheetId="13554">
        <row r="2">
          <cell r="A2" t="str">
            <v>Complete</v>
          </cell>
        </row>
      </sheetData>
      <sheetData sheetId="13555">
        <row r="2">
          <cell r="A2" t="str">
            <v>Complete</v>
          </cell>
        </row>
      </sheetData>
      <sheetData sheetId="13556">
        <row r="2">
          <cell r="A2" t="str">
            <v>Complete</v>
          </cell>
        </row>
      </sheetData>
      <sheetData sheetId="13557">
        <row r="2">
          <cell r="A2" t="str">
            <v>Complete</v>
          </cell>
        </row>
      </sheetData>
      <sheetData sheetId="13558">
        <row r="2">
          <cell r="A2" t="str">
            <v>Complete</v>
          </cell>
        </row>
      </sheetData>
      <sheetData sheetId="13559">
        <row r="2">
          <cell r="A2" t="str">
            <v>Complete</v>
          </cell>
        </row>
      </sheetData>
      <sheetData sheetId="13560">
        <row r="2">
          <cell r="A2" t="str">
            <v>Complete</v>
          </cell>
        </row>
      </sheetData>
      <sheetData sheetId="13561">
        <row r="2">
          <cell r="A2" t="str">
            <v>Complete</v>
          </cell>
        </row>
      </sheetData>
      <sheetData sheetId="13562">
        <row r="2">
          <cell r="A2" t="str">
            <v>Complete</v>
          </cell>
        </row>
      </sheetData>
      <sheetData sheetId="13563">
        <row r="2">
          <cell r="A2" t="str">
            <v>Complete</v>
          </cell>
        </row>
      </sheetData>
      <sheetData sheetId="13564">
        <row r="2">
          <cell r="A2" t="str">
            <v>Complete</v>
          </cell>
        </row>
      </sheetData>
      <sheetData sheetId="13565">
        <row r="2">
          <cell r="A2" t="str">
            <v>Complete</v>
          </cell>
        </row>
      </sheetData>
      <sheetData sheetId="13566">
        <row r="2">
          <cell r="A2" t="str">
            <v>Complete</v>
          </cell>
        </row>
      </sheetData>
      <sheetData sheetId="13567">
        <row r="2">
          <cell r="A2" t="str">
            <v>Complete</v>
          </cell>
        </row>
      </sheetData>
      <sheetData sheetId="13568">
        <row r="2">
          <cell r="A2" t="str">
            <v>Complete</v>
          </cell>
        </row>
      </sheetData>
      <sheetData sheetId="13569">
        <row r="2">
          <cell r="A2" t="str">
            <v>Complete</v>
          </cell>
        </row>
      </sheetData>
      <sheetData sheetId="13570">
        <row r="2">
          <cell r="A2" t="str">
            <v>Complete</v>
          </cell>
        </row>
      </sheetData>
      <sheetData sheetId="13571">
        <row r="2">
          <cell r="A2" t="str">
            <v>Complete</v>
          </cell>
        </row>
      </sheetData>
      <sheetData sheetId="13572">
        <row r="2">
          <cell r="A2" t="str">
            <v>Complete</v>
          </cell>
        </row>
      </sheetData>
      <sheetData sheetId="13573">
        <row r="2">
          <cell r="A2" t="str">
            <v>Complete</v>
          </cell>
        </row>
      </sheetData>
      <sheetData sheetId="13574">
        <row r="2">
          <cell r="A2" t="str">
            <v>Complete</v>
          </cell>
        </row>
      </sheetData>
      <sheetData sheetId="13575">
        <row r="2">
          <cell r="A2">
            <v>43462</v>
          </cell>
        </row>
      </sheetData>
      <sheetData sheetId="13576">
        <row r="2">
          <cell r="A2">
            <v>43462</v>
          </cell>
        </row>
      </sheetData>
      <sheetData sheetId="13577">
        <row r="2">
          <cell r="A2">
            <v>43462</v>
          </cell>
        </row>
      </sheetData>
      <sheetData sheetId="13578">
        <row r="2">
          <cell r="A2">
            <v>43462</v>
          </cell>
        </row>
      </sheetData>
      <sheetData sheetId="13579">
        <row r="2">
          <cell r="A2">
            <v>43462</v>
          </cell>
        </row>
      </sheetData>
      <sheetData sheetId="13580">
        <row r="2">
          <cell r="A2">
            <v>43462</v>
          </cell>
        </row>
      </sheetData>
      <sheetData sheetId="13581">
        <row r="2">
          <cell r="A2">
            <v>43462</v>
          </cell>
        </row>
      </sheetData>
      <sheetData sheetId="13582">
        <row r="2">
          <cell r="A2">
            <v>43462</v>
          </cell>
        </row>
      </sheetData>
      <sheetData sheetId="13583">
        <row r="2">
          <cell r="A2">
            <v>43462</v>
          </cell>
        </row>
      </sheetData>
      <sheetData sheetId="13584">
        <row r="2">
          <cell r="A2">
            <v>43462</v>
          </cell>
        </row>
      </sheetData>
      <sheetData sheetId="13585">
        <row r="2">
          <cell r="A2">
            <v>43462</v>
          </cell>
        </row>
      </sheetData>
      <sheetData sheetId="13586">
        <row r="2">
          <cell r="A2">
            <v>43462</v>
          </cell>
        </row>
      </sheetData>
      <sheetData sheetId="13587">
        <row r="2">
          <cell r="A2">
            <v>43462</v>
          </cell>
        </row>
      </sheetData>
      <sheetData sheetId="13588">
        <row r="2">
          <cell r="A2">
            <v>43462</v>
          </cell>
        </row>
      </sheetData>
      <sheetData sheetId="13589">
        <row r="2">
          <cell r="A2">
            <v>43462</v>
          </cell>
        </row>
      </sheetData>
      <sheetData sheetId="13590">
        <row r="2">
          <cell r="A2">
            <v>43462</v>
          </cell>
        </row>
      </sheetData>
      <sheetData sheetId="13591">
        <row r="2">
          <cell r="A2" t="str">
            <v>Complete</v>
          </cell>
        </row>
      </sheetData>
      <sheetData sheetId="13592">
        <row r="2">
          <cell r="A2" t="str">
            <v>Complete</v>
          </cell>
        </row>
      </sheetData>
      <sheetData sheetId="13593">
        <row r="2">
          <cell r="A2" t="str">
            <v>Complete</v>
          </cell>
        </row>
      </sheetData>
      <sheetData sheetId="13594">
        <row r="2">
          <cell r="A2" t="str">
            <v>Complete</v>
          </cell>
        </row>
      </sheetData>
      <sheetData sheetId="13595">
        <row r="2">
          <cell r="A2" t="str">
            <v>Complete</v>
          </cell>
        </row>
      </sheetData>
      <sheetData sheetId="13596">
        <row r="2">
          <cell r="A2" t="str">
            <v>Complete</v>
          </cell>
        </row>
      </sheetData>
      <sheetData sheetId="13597">
        <row r="2">
          <cell r="A2" t="str">
            <v>Complete</v>
          </cell>
        </row>
      </sheetData>
      <sheetData sheetId="13598">
        <row r="2">
          <cell r="A2" t="str">
            <v>Complete</v>
          </cell>
        </row>
      </sheetData>
      <sheetData sheetId="13599">
        <row r="2">
          <cell r="A2" t="str">
            <v>Complete</v>
          </cell>
        </row>
      </sheetData>
      <sheetData sheetId="13600">
        <row r="2">
          <cell r="A2" t="str">
            <v>Complete</v>
          </cell>
        </row>
      </sheetData>
      <sheetData sheetId="13601">
        <row r="2">
          <cell r="A2" t="str">
            <v>Complete</v>
          </cell>
        </row>
      </sheetData>
      <sheetData sheetId="13602">
        <row r="2">
          <cell r="A2" t="str">
            <v>Complete</v>
          </cell>
        </row>
      </sheetData>
      <sheetData sheetId="13603">
        <row r="2">
          <cell r="A2" t="str">
            <v>Complete</v>
          </cell>
        </row>
      </sheetData>
      <sheetData sheetId="13604">
        <row r="2">
          <cell r="A2" t="str">
            <v>Complete</v>
          </cell>
        </row>
      </sheetData>
      <sheetData sheetId="13605">
        <row r="2">
          <cell r="A2" t="str">
            <v>Complete</v>
          </cell>
        </row>
      </sheetData>
      <sheetData sheetId="13606">
        <row r="2">
          <cell r="A2" t="str">
            <v>Complete</v>
          </cell>
        </row>
      </sheetData>
      <sheetData sheetId="13607">
        <row r="2">
          <cell r="A2" t="str">
            <v>Complete</v>
          </cell>
        </row>
      </sheetData>
      <sheetData sheetId="13608">
        <row r="2">
          <cell r="A2" t="str">
            <v>Complete</v>
          </cell>
        </row>
      </sheetData>
      <sheetData sheetId="13609">
        <row r="2">
          <cell r="A2" t="str">
            <v>Complete</v>
          </cell>
        </row>
      </sheetData>
      <sheetData sheetId="13610">
        <row r="2">
          <cell r="A2" t="str">
            <v>Complete</v>
          </cell>
        </row>
      </sheetData>
      <sheetData sheetId="13611">
        <row r="2">
          <cell r="A2" t="str">
            <v>Complete</v>
          </cell>
        </row>
      </sheetData>
      <sheetData sheetId="13612">
        <row r="2">
          <cell r="A2" t="str">
            <v>Complete</v>
          </cell>
        </row>
      </sheetData>
      <sheetData sheetId="13613">
        <row r="2">
          <cell r="A2" t="str">
            <v>Complete</v>
          </cell>
        </row>
      </sheetData>
      <sheetData sheetId="13614">
        <row r="2">
          <cell r="A2" t="str">
            <v>Complete</v>
          </cell>
        </row>
      </sheetData>
      <sheetData sheetId="13615">
        <row r="2">
          <cell r="A2" t="str">
            <v>Complete</v>
          </cell>
        </row>
      </sheetData>
      <sheetData sheetId="13616">
        <row r="2">
          <cell r="A2" t="str">
            <v>Complete</v>
          </cell>
        </row>
      </sheetData>
      <sheetData sheetId="13617">
        <row r="2">
          <cell r="A2">
            <v>43462</v>
          </cell>
        </row>
      </sheetData>
      <sheetData sheetId="13618">
        <row r="2">
          <cell r="A2">
            <v>43462</v>
          </cell>
        </row>
      </sheetData>
      <sheetData sheetId="13619">
        <row r="2">
          <cell r="A2">
            <v>43462</v>
          </cell>
        </row>
      </sheetData>
      <sheetData sheetId="13620">
        <row r="2">
          <cell r="A2">
            <v>43462</v>
          </cell>
        </row>
      </sheetData>
      <sheetData sheetId="13621">
        <row r="2">
          <cell r="A2">
            <v>43462</v>
          </cell>
        </row>
      </sheetData>
      <sheetData sheetId="13622">
        <row r="2">
          <cell r="A2">
            <v>43462</v>
          </cell>
        </row>
      </sheetData>
      <sheetData sheetId="13623">
        <row r="2">
          <cell r="A2">
            <v>43462</v>
          </cell>
        </row>
      </sheetData>
      <sheetData sheetId="13624">
        <row r="2">
          <cell r="A2">
            <v>43462</v>
          </cell>
        </row>
      </sheetData>
      <sheetData sheetId="13625">
        <row r="2">
          <cell r="A2">
            <v>43462</v>
          </cell>
        </row>
      </sheetData>
      <sheetData sheetId="13626">
        <row r="2">
          <cell r="A2">
            <v>43462</v>
          </cell>
        </row>
      </sheetData>
      <sheetData sheetId="13627">
        <row r="2">
          <cell r="A2">
            <v>43462</v>
          </cell>
        </row>
      </sheetData>
      <sheetData sheetId="13628">
        <row r="2">
          <cell r="A2">
            <v>43462</v>
          </cell>
        </row>
      </sheetData>
      <sheetData sheetId="13629">
        <row r="2">
          <cell r="A2">
            <v>43462</v>
          </cell>
        </row>
      </sheetData>
      <sheetData sheetId="13630">
        <row r="2">
          <cell r="A2">
            <v>43462</v>
          </cell>
        </row>
      </sheetData>
      <sheetData sheetId="13631">
        <row r="2">
          <cell r="A2">
            <v>43462</v>
          </cell>
        </row>
      </sheetData>
      <sheetData sheetId="13632">
        <row r="2">
          <cell r="A2">
            <v>43462</v>
          </cell>
        </row>
      </sheetData>
      <sheetData sheetId="13633">
        <row r="2">
          <cell r="A2" t="str">
            <v>Complete</v>
          </cell>
        </row>
      </sheetData>
      <sheetData sheetId="13634">
        <row r="2">
          <cell r="A2" t="str">
            <v>Complete</v>
          </cell>
        </row>
      </sheetData>
      <sheetData sheetId="13635">
        <row r="2">
          <cell r="A2" t="str">
            <v>Complete</v>
          </cell>
        </row>
      </sheetData>
      <sheetData sheetId="13636">
        <row r="2">
          <cell r="A2" t="str">
            <v>Complete</v>
          </cell>
        </row>
      </sheetData>
      <sheetData sheetId="13637">
        <row r="2">
          <cell r="A2" t="str">
            <v>Complete</v>
          </cell>
        </row>
      </sheetData>
      <sheetData sheetId="13638">
        <row r="2">
          <cell r="A2" t="str">
            <v>Complete</v>
          </cell>
        </row>
      </sheetData>
      <sheetData sheetId="13639">
        <row r="2">
          <cell r="A2" t="str">
            <v>Complete</v>
          </cell>
        </row>
      </sheetData>
      <sheetData sheetId="13640">
        <row r="2">
          <cell r="A2" t="str">
            <v>Complete</v>
          </cell>
        </row>
      </sheetData>
      <sheetData sheetId="13641">
        <row r="2">
          <cell r="A2" t="str">
            <v>Complete</v>
          </cell>
        </row>
      </sheetData>
      <sheetData sheetId="13642">
        <row r="2">
          <cell r="A2" t="str">
            <v>Complete</v>
          </cell>
        </row>
      </sheetData>
      <sheetData sheetId="13643">
        <row r="2">
          <cell r="A2" t="str">
            <v>Complete</v>
          </cell>
        </row>
      </sheetData>
      <sheetData sheetId="13644">
        <row r="2">
          <cell r="A2" t="str">
            <v>Complete</v>
          </cell>
        </row>
      </sheetData>
      <sheetData sheetId="13645">
        <row r="2">
          <cell r="A2" t="str">
            <v>Complete</v>
          </cell>
        </row>
      </sheetData>
      <sheetData sheetId="13646">
        <row r="2">
          <cell r="A2" t="str">
            <v>Complete</v>
          </cell>
        </row>
      </sheetData>
      <sheetData sheetId="13647">
        <row r="2">
          <cell r="A2" t="str">
            <v>Complete</v>
          </cell>
        </row>
      </sheetData>
      <sheetData sheetId="13648">
        <row r="2">
          <cell r="A2" t="str">
            <v>Complete</v>
          </cell>
        </row>
      </sheetData>
      <sheetData sheetId="13649">
        <row r="2">
          <cell r="A2" t="str">
            <v>Complete</v>
          </cell>
        </row>
      </sheetData>
      <sheetData sheetId="13650">
        <row r="2">
          <cell r="A2" t="str">
            <v>Complete</v>
          </cell>
        </row>
      </sheetData>
      <sheetData sheetId="13651">
        <row r="2">
          <cell r="A2" t="str">
            <v>Complete</v>
          </cell>
        </row>
      </sheetData>
      <sheetData sheetId="13652">
        <row r="2">
          <cell r="A2" t="str">
            <v>Complete</v>
          </cell>
        </row>
      </sheetData>
      <sheetData sheetId="13653">
        <row r="2">
          <cell r="A2" t="str">
            <v>Complete</v>
          </cell>
        </row>
      </sheetData>
      <sheetData sheetId="13654">
        <row r="2">
          <cell r="A2" t="str">
            <v>Complete</v>
          </cell>
        </row>
      </sheetData>
      <sheetData sheetId="13655">
        <row r="2">
          <cell r="A2" t="str">
            <v>Complete</v>
          </cell>
        </row>
      </sheetData>
      <sheetData sheetId="13656">
        <row r="2">
          <cell r="A2" t="str">
            <v>Complete</v>
          </cell>
        </row>
      </sheetData>
      <sheetData sheetId="13657">
        <row r="2">
          <cell r="A2" t="str">
            <v>Complete</v>
          </cell>
        </row>
      </sheetData>
      <sheetData sheetId="13658">
        <row r="2">
          <cell r="A2" t="str">
            <v>Complete</v>
          </cell>
        </row>
      </sheetData>
      <sheetData sheetId="13659">
        <row r="2">
          <cell r="A2">
            <v>43462</v>
          </cell>
        </row>
      </sheetData>
      <sheetData sheetId="13660">
        <row r="2">
          <cell r="A2">
            <v>43462</v>
          </cell>
        </row>
      </sheetData>
      <sheetData sheetId="13661">
        <row r="2">
          <cell r="A2">
            <v>43462</v>
          </cell>
        </row>
      </sheetData>
      <sheetData sheetId="13662">
        <row r="2">
          <cell r="A2">
            <v>43462</v>
          </cell>
        </row>
      </sheetData>
      <sheetData sheetId="13663">
        <row r="2">
          <cell r="A2">
            <v>43462</v>
          </cell>
        </row>
      </sheetData>
      <sheetData sheetId="13664">
        <row r="2">
          <cell r="A2">
            <v>43462</v>
          </cell>
        </row>
      </sheetData>
      <sheetData sheetId="13665">
        <row r="2">
          <cell r="A2">
            <v>43462</v>
          </cell>
        </row>
      </sheetData>
      <sheetData sheetId="13666">
        <row r="2">
          <cell r="A2">
            <v>43462</v>
          </cell>
        </row>
      </sheetData>
      <sheetData sheetId="13667">
        <row r="2">
          <cell r="A2">
            <v>43462</v>
          </cell>
        </row>
      </sheetData>
      <sheetData sheetId="13668">
        <row r="2">
          <cell r="A2">
            <v>43462</v>
          </cell>
        </row>
      </sheetData>
      <sheetData sheetId="13669">
        <row r="2">
          <cell r="A2">
            <v>43462</v>
          </cell>
        </row>
      </sheetData>
      <sheetData sheetId="13670">
        <row r="2">
          <cell r="A2">
            <v>43462</v>
          </cell>
        </row>
      </sheetData>
      <sheetData sheetId="13671">
        <row r="2">
          <cell r="A2">
            <v>43462</v>
          </cell>
        </row>
      </sheetData>
      <sheetData sheetId="13672">
        <row r="2">
          <cell r="A2">
            <v>43462</v>
          </cell>
        </row>
      </sheetData>
      <sheetData sheetId="13673">
        <row r="2">
          <cell r="A2">
            <v>43462</v>
          </cell>
        </row>
      </sheetData>
      <sheetData sheetId="13674">
        <row r="2">
          <cell r="A2">
            <v>43462</v>
          </cell>
        </row>
      </sheetData>
      <sheetData sheetId="13675">
        <row r="2">
          <cell r="A2" t="str">
            <v>Complete</v>
          </cell>
        </row>
      </sheetData>
      <sheetData sheetId="13676">
        <row r="2">
          <cell r="A2" t="str">
            <v>Complete</v>
          </cell>
        </row>
      </sheetData>
      <sheetData sheetId="13677">
        <row r="2">
          <cell r="A2" t="str">
            <v>Complete</v>
          </cell>
        </row>
      </sheetData>
      <sheetData sheetId="13678">
        <row r="2">
          <cell r="A2" t="str">
            <v>Complete</v>
          </cell>
        </row>
      </sheetData>
      <sheetData sheetId="13679">
        <row r="2">
          <cell r="A2" t="str">
            <v>Complete</v>
          </cell>
        </row>
      </sheetData>
      <sheetData sheetId="13680">
        <row r="2">
          <cell r="A2" t="str">
            <v>Complete</v>
          </cell>
        </row>
      </sheetData>
      <sheetData sheetId="13681">
        <row r="2">
          <cell r="A2" t="str">
            <v>Complete</v>
          </cell>
        </row>
      </sheetData>
      <sheetData sheetId="13682">
        <row r="2">
          <cell r="A2" t="str">
            <v>Complete</v>
          </cell>
        </row>
      </sheetData>
      <sheetData sheetId="13683">
        <row r="2">
          <cell r="A2" t="str">
            <v>Complete</v>
          </cell>
        </row>
      </sheetData>
      <sheetData sheetId="13684">
        <row r="2">
          <cell r="A2" t="str">
            <v>Complete</v>
          </cell>
        </row>
      </sheetData>
      <sheetData sheetId="13685">
        <row r="2">
          <cell r="A2" t="str">
            <v>Complete</v>
          </cell>
        </row>
      </sheetData>
      <sheetData sheetId="13686">
        <row r="2">
          <cell r="A2" t="str">
            <v>Complete</v>
          </cell>
        </row>
      </sheetData>
      <sheetData sheetId="13687">
        <row r="2">
          <cell r="A2" t="str">
            <v>Complete</v>
          </cell>
        </row>
      </sheetData>
      <sheetData sheetId="13688">
        <row r="2">
          <cell r="A2" t="str">
            <v>Complete</v>
          </cell>
        </row>
      </sheetData>
      <sheetData sheetId="13689">
        <row r="2">
          <cell r="A2" t="str">
            <v>Complete</v>
          </cell>
        </row>
      </sheetData>
      <sheetData sheetId="13690">
        <row r="2">
          <cell r="A2" t="str">
            <v>Complete</v>
          </cell>
        </row>
      </sheetData>
      <sheetData sheetId="13691">
        <row r="2">
          <cell r="A2" t="str">
            <v>Complete</v>
          </cell>
        </row>
      </sheetData>
      <sheetData sheetId="13692">
        <row r="2">
          <cell r="A2" t="str">
            <v>Complete</v>
          </cell>
        </row>
      </sheetData>
      <sheetData sheetId="13693">
        <row r="2">
          <cell r="A2" t="str">
            <v>Complete</v>
          </cell>
        </row>
      </sheetData>
      <sheetData sheetId="13694">
        <row r="2">
          <cell r="A2" t="str">
            <v>Complete</v>
          </cell>
        </row>
      </sheetData>
      <sheetData sheetId="13695">
        <row r="2">
          <cell r="A2" t="str">
            <v>Complete</v>
          </cell>
        </row>
      </sheetData>
      <sheetData sheetId="13696">
        <row r="2">
          <cell r="A2" t="str">
            <v>Complete</v>
          </cell>
        </row>
      </sheetData>
      <sheetData sheetId="13697">
        <row r="2">
          <cell r="A2" t="str">
            <v>Complete</v>
          </cell>
        </row>
      </sheetData>
      <sheetData sheetId="13698">
        <row r="2">
          <cell r="A2" t="str">
            <v>Complete</v>
          </cell>
        </row>
      </sheetData>
      <sheetData sheetId="13699">
        <row r="2">
          <cell r="A2" t="str">
            <v>Complete</v>
          </cell>
        </row>
      </sheetData>
      <sheetData sheetId="13700">
        <row r="2">
          <cell r="A2" t="str">
            <v>Complete</v>
          </cell>
        </row>
      </sheetData>
      <sheetData sheetId="13701">
        <row r="2">
          <cell r="A2">
            <v>43462</v>
          </cell>
        </row>
      </sheetData>
      <sheetData sheetId="13702">
        <row r="2">
          <cell r="A2">
            <v>43462</v>
          </cell>
        </row>
      </sheetData>
      <sheetData sheetId="13703">
        <row r="2">
          <cell r="A2">
            <v>43462</v>
          </cell>
        </row>
      </sheetData>
      <sheetData sheetId="13704">
        <row r="2">
          <cell r="A2">
            <v>43462</v>
          </cell>
        </row>
      </sheetData>
      <sheetData sheetId="13705">
        <row r="2">
          <cell r="A2">
            <v>43462</v>
          </cell>
        </row>
      </sheetData>
      <sheetData sheetId="13706">
        <row r="2">
          <cell r="A2">
            <v>43462</v>
          </cell>
        </row>
      </sheetData>
      <sheetData sheetId="13707">
        <row r="2">
          <cell r="A2">
            <v>43462</v>
          </cell>
        </row>
      </sheetData>
      <sheetData sheetId="13708">
        <row r="2">
          <cell r="A2">
            <v>43462</v>
          </cell>
        </row>
      </sheetData>
      <sheetData sheetId="13709">
        <row r="2">
          <cell r="A2">
            <v>43462</v>
          </cell>
        </row>
      </sheetData>
      <sheetData sheetId="13710">
        <row r="2">
          <cell r="A2">
            <v>43462</v>
          </cell>
        </row>
      </sheetData>
      <sheetData sheetId="13711">
        <row r="2">
          <cell r="A2">
            <v>43462</v>
          </cell>
        </row>
      </sheetData>
      <sheetData sheetId="13712">
        <row r="2">
          <cell r="A2">
            <v>43462</v>
          </cell>
        </row>
      </sheetData>
      <sheetData sheetId="13713">
        <row r="2">
          <cell r="A2">
            <v>43462</v>
          </cell>
        </row>
      </sheetData>
      <sheetData sheetId="13714">
        <row r="2">
          <cell r="A2">
            <v>43462</v>
          </cell>
        </row>
      </sheetData>
      <sheetData sheetId="13715">
        <row r="2">
          <cell r="A2">
            <v>43462</v>
          </cell>
        </row>
      </sheetData>
      <sheetData sheetId="13716">
        <row r="2">
          <cell r="A2">
            <v>43462</v>
          </cell>
        </row>
      </sheetData>
      <sheetData sheetId="13717">
        <row r="2">
          <cell r="A2" t="str">
            <v>Complete</v>
          </cell>
        </row>
      </sheetData>
      <sheetData sheetId="13718">
        <row r="2">
          <cell r="A2" t="str">
            <v>Complete</v>
          </cell>
        </row>
      </sheetData>
      <sheetData sheetId="13719">
        <row r="2">
          <cell r="A2" t="str">
            <v>Complete</v>
          </cell>
        </row>
      </sheetData>
      <sheetData sheetId="13720">
        <row r="2">
          <cell r="A2" t="str">
            <v>Complete</v>
          </cell>
        </row>
      </sheetData>
      <sheetData sheetId="13721">
        <row r="2">
          <cell r="A2" t="str">
            <v>Complete</v>
          </cell>
        </row>
      </sheetData>
      <sheetData sheetId="13722">
        <row r="2">
          <cell r="A2" t="str">
            <v>Complete</v>
          </cell>
        </row>
      </sheetData>
      <sheetData sheetId="13723">
        <row r="2">
          <cell r="A2" t="str">
            <v>Complete</v>
          </cell>
        </row>
      </sheetData>
      <sheetData sheetId="13724">
        <row r="2">
          <cell r="A2" t="str">
            <v>Complete</v>
          </cell>
        </row>
      </sheetData>
      <sheetData sheetId="13725">
        <row r="2">
          <cell r="A2" t="str">
            <v>Complete</v>
          </cell>
        </row>
      </sheetData>
      <sheetData sheetId="13726">
        <row r="2">
          <cell r="A2" t="str">
            <v>Complete</v>
          </cell>
        </row>
      </sheetData>
      <sheetData sheetId="13727">
        <row r="2">
          <cell r="A2" t="str">
            <v>Complete</v>
          </cell>
        </row>
      </sheetData>
      <sheetData sheetId="13728">
        <row r="2">
          <cell r="A2" t="str">
            <v>Complete</v>
          </cell>
        </row>
      </sheetData>
      <sheetData sheetId="13729">
        <row r="2">
          <cell r="A2" t="str">
            <v>Complete</v>
          </cell>
        </row>
      </sheetData>
      <sheetData sheetId="13730">
        <row r="2">
          <cell r="A2" t="str">
            <v>Complete</v>
          </cell>
        </row>
      </sheetData>
      <sheetData sheetId="13731">
        <row r="2">
          <cell r="A2" t="str">
            <v>Complete</v>
          </cell>
        </row>
      </sheetData>
      <sheetData sheetId="13732">
        <row r="2">
          <cell r="A2" t="str">
            <v>Complete</v>
          </cell>
        </row>
      </sheetData>
      <sheetData sheetId="13733">
        <row r="2">
          <cell r="A2" t="str">
            <v>Complete</v>
          </cell>
        </row>
      </sheetData>
      <sheetData sheetId="13734">
        <row r="2">
          <cell r="A2" t="str">
            <v>Complete</v>
          </cell>
        </row>
      </sheetData>
      <sheetData sheetId="13735">
        <row r="2">
          <cell r="A2" t="str">
            <v>Complete</v>
          </cell>
        </row>
      </sheetData>
      <sheetData sheetId="13736">
        <row r="2">
          <cell r="A2" t="str">
            <v>Complete</v>
          </cell>
        </row>
      </sheetData>
      <sheetData sheetId="13737">
        <row r="2">
          <cell r="A2" t="str">
            <v>Complete</v>
          </cell>
        </row>
      </sheetData>
      <sheetData sheetId="13738">
        <row r="2">
          <cell r="A2" t="str">
            <v>Complete</v>
          </cell>
        </row>
      </sheetData>
      <sheetData sheetId="13739">
        <row r="2">
          <cell r="A2" t="str">
            <v>Complete</v>
          </cell>
        </row>
      </sheetData>
      <sheetData sheetId="13740">
        <row r="2">
          <cell r="A2" t="str">
            <v>Complete</v>
          </cell>
        </row>
      </sheetData>
      <sheetData sheetId="13741">
        <row r="2">
          <cell r="A2" t="str">
            <v>Complete</v>
          </cell>
        </row>
      </sheetData>
      <sheetData sheetId="13742">
        <row r="2">
          <cell r="A2" t="str">
            <v>Complete</v>
          </cell>
        </row>
      </sheetData>
      <sheetData sheetId="13743">
        <row r="2">
          <cell r="A2">
            <v>43462</v>
          </cell>
        </row>
      </sheetData>
      <sheetData sheetId="13744">
        <row r="2">
          <cell r="A2">
            <v>43462</v>
          </cell>
        </row>
      </sheetData>
      <sheetData sheetId="13745">
        <row r="2">
          <cell r="A2">
            <v>43462</v>
          </cell>
        </row>
      </sheetData>
      <sheetData sheetId="13746">
        <row r="2">
          <cell r="A2">
            <v>43462</v>
          </cell>
        </row>
      </sheetData>
      <sheetData sheetId="13747">
        <row r="2">
          <cell r="A2">
            <v>43462</v>
          </cell>
        </row>
      </sheetData>
      <sheetData sheetId="13748">
        <row r="2">
          <cell r="A2">
            <v>43462</v>
          </cell>
        </row>
      </sheetData>
      <sheetData sheetId="13749">
        <row r="2">
          <cell r="A2">
            <v>43462</v>
          </cell>
        </row>
      </sheetData>
      <sheetData sheetId="13750">
        <row r="2">
          <cell r="A2">
            <v>43462</v>
          </cell>
        </row>
      </sheetData>
      <sheetData sheetId="13751">
        <row r="2">
          <cell r="A2">
            <v>43462</v>
          </cell>
        </row>
      </sheetData>
      <sheetData sheetId="13752">
        <row r="2">
          <cell r="A2">
            <v>43462</v>
          </cell>
        </row>
      </sheetData>
      <sheetData sheetId="13753">
        <row r="2">
          <cell r="A2">
            <v>43462</v>
          </cell>
        </row>
      </sheetData>
      <sheetData sheetId="13754">
        <row r="2">
          <cell r="A2">
            <v>43462</v>
          </cell>
        </row>
      </sheetData>
      <sheetData sheetId="13755">
        <row r="2">
          <cell r="A2">
            <v>43462</v>
          </cell>
        </row>
      </sheetData>
      <sheetData sheetId="13756">
        <row r="2">
          <cell r="A2">
            <v>43462</v>
          </cell>
        </row>
      </sheetData>
      <sheetData sheetId="13757">
        <row r="2">
          <cell r="A2">
            <v>43462</v>
          </cell>
        </row>
      </sheetData>
      <sheetData sheetId="13758">
        <row r="2">
          <cell r="A2">
            <v>43462</v>
          </cell>
        </row>
      </sheetData>
      <sheetData sheetId="13759">
        <row r="2">
          <cell r="A2" t="str">
            <v>Complete</v>
          </cell>
        </row>
      </sheetData>
      <sheetData sheetId="13760">
        <row r="2">
          <cell r="A2" t="str">
            <v>Complete</v>
          </cell>
        </row>
      </sheetData>
      <sheetData sheetId="13761">
        <row r="2">
          <cell r="A2" t="str">
            <v>Complete</v>
          </cell>
        </row>
      </sheetData>
      <sheetData sheetId="13762">
        <row r="2">
          <cell r="A2" t="str">
            <v>Complete</v>
          </cell>
        </row>
      </sheetData>
      <sheetData sheetId="13763">
        <row r="2">
          <cell r="A2" t="str">
            <v>Complete</v>
          </cell>
        </row>
      </sheetData>
      <sheetData sheetId="13764">
        <row r="2">
          <cell r="A2" t="str">
            <v>Complete</v>
          </cell>
        </row>
      </sheetData>
      <sheetData sheetId="13765">
        <row r="2">
          <cell r="A2" t="str">
            <v>Complete</v>
          </cell>
        </row>
      </sheetData>
      <sheetData sheetId="13766">
        <row r="2">
          <cell r="A2" t="str">
            <v>Complete</v>
          </cell>
        </row>
      </sheetData>
      <sheetData sheetId="13767">
        <row r="2">
          <cell r="A2" t="str">
            <v>Complete</v>
          </cell>
        </row>
      </sheetData>
      <sheetData sheetId="13768">
        <row r="2">
          <cell r="A2" t="str">
            <v>Complete</v>
          </cell>
        </row>
      </sheetData>
      <sheetData sheetId="13769">
        <row r="2">
          <cell r="A2" t="str">
            <v>Complete</v>
          </cell>
        </row>
      </sheetData>
      <sheetData sheetId="13770">
        <row r="2">
          <cell r="A2" t="str">
            <v>Complete</v>
          </cell>
        </row>
      </sheetData>
      <sheetData sheetId="13771">
        <row r="2">
          <cell r="A2" t="str">
            <v>Complete</v>
          </cell>
        </row>
      </sheetData>
      <sheetData sheetId="13772">
        <row r="2">
          <cell r="A2" t="str">
            <v>Complete</v>
          </cell>
        </row>
      </sheetData>
      <sheetData sheetId="13773">
        <row r="2">
          <cell r="A2" t="str">
            <v>Complete</v>
          </cell>
        </row>
      </sheetData>
      <sheetData sheetId="13774">
        <row r="2">
          <cell r="A2" t="str">
            <v>Complete</v>
          </cell>
        </row>
      </sheetData>
      <sheetData sheetId="13775">
        <row r="2">
          <cell r="A2" t="str">
            <v>Complete</v>
          </cell>
        </row>
      </sheetData>
      <sheetData sheetId="13776">
        <row r="2">
          <cell r="A2" t="str">
            <v>Complete</v>
          </cell>
        </row>
      </sheetData>
      <sheetData sheetId="13777">
        <row r="2">
          <cell r="A2" t="str">
            <v>Complete</v>
          </cell>
        </row>
      </sheetData>
      <sheetData sheetId="13778">
        <row r="2">
          <cell r="A2" t="str">
            <v>Complete</v>
          </cell>
        </row>
      </sheetData>
      <sheetData sheetId="13779">
        <row r="2">
          <cell r="A2" t="str">
            <v>Complete</v>
          </cell>
        </row>
      </sheetData>
      <sheetData sheetId="13780">
        <row r="2">
          <cell r="A2" t="str">
            <v>Complete</v>
          </cell>
        </row>
      </sheetData>
      <sheetData sheetId="13781">
        <row r="2">
          <cell r="A2" t="str">
            <v>Complete</v>
          </cell>
        </row>
      </sheetData>
      <sheetData sheetId="13782">
        <row r="2">
          <cell r="A2" t="str">
            <v>Complete</v>
          </cell>
        </row>
      </sheetData>
      <sheetData sheetId="13783">
        <row r="2">
          <cell r="A2" t="str">
            <v>Complete</v>
          </cell>
        </row>
      </sheetData>
      <sheetData sheetId="13784">
        <row r="2">
          <cell r="A2" t="str">
            <v>Complete</v>
          </cell>
        </row>
      </sheetData>
      <sheetData sheetId="13785">
        <row r="2">
          <cell r="A2">
            <v>43462</v>
          </cell>
        </row>
      </sheetData>
      <sheetData sheetId="13786">
        <row r="2">
          <cell r="A2">
            <v>43462</v>
          </cell>
        </row>
      </sheetData>
      <sheetData sheetId="13787">
        <row r="2">
          <cell r="A2">
            <v>43462</v>
          </cell>
        </row>
      </sheetData>
      <sheetData sheetId="13788">
        <row r="2">
          <cell r="A2">
            <v>43462</v>
          </cell>
        </row>
      </sheetData>
      <sheetData sheetId="13789">
        <row r="2">
          <cell r="A2">
            <v>43462</v>
          </cell>
        </row>
      </sheetData>
      <sheetData sheetId="13790">
        <row r="2">
          <cell r="A2">
            <v>43462</v>
          </cell>
        </row>
      </sheetData>
      <sheetData sheetId="13791">
        <row r="2">
          <cell r="A2">
            <v>43462</v>
          </cell>
        </row>
      </sheetData>
      <sheetData sheetId="13792">
        <row r="2">
          <cell r="A2">
            <v>43462</v>
          </cell>
        </row>
      </sheetData>
      <sheetData sheetId="13793">
        <row r="2">
          <cell r="A2">
            <v>43462</v>
          </cell>
        </row>
      </sheetData>
      <sheetData sheetId="13794">
        <row r="2">
          <cell r="A2">
            <v>43462</v>
          </cell>
        </row>
      </sheetData>
      <sheetData sheetId="13795">
        <row r="2">
          <cell r="A2">
            <v>43462</v>
          </cell>
        </row>
      </sheetData>
      <sheetData sheetId="13796">
        <row r="2">
          <cell r="A2">
            <v>43462</v>
          </cell>
        </row>
      </sheetData>
      <sheetData sheetId="13797">
        <row r="2">
          <cell r="A2">
            <v>43462</v>
          </cell>
        </row>
      </sheetData>
      <sheetData sheetId="13798">
        <row r="2">
          <cell r="A2">
            <v>43462</v>
          </cell>
        </row>
      </sheetData>
      <sheetData sheetId="13799">
        <row r="2">
          <cell r="A2">
            <v>43462</v>
          </cell>
        </row>
      </sheetData>
      <sheetData sheetId="13800">
        <row r="2">
          <cell r="A2">
            <v>43462</v>
          </cell>
        </row>
      </sheetData>
      <sheetData sheetId="13801">
        <row r="2">
          <cell r="A2" t="str">
            <v>Complete</v>
          </cell>
        </row>
      </sheetData>
      <sheetData sheetId="13802">
        <row r="2">
          <cell r="A2" t="str">
            <v>Complete</v>
          </cell>
        </row>
      </sheetData>
      <sheetData sheetId="13803">
        <row r="2">
          <cell r="A2" t="str">
            <v>Complete</v>
          </cell>
        </row>
      </sheetData>
      <sheetData sheetId="13804">
        <row r="2">
          <cell r="A2" t="str">
            <v>Complete</v>
          </cell>
        </row>
      </sheetData>
      <sheetData sheetId="13805">
        <row r="2">
          <cell r="A2" t="str">
            <v>Complete</v>
          </cell>
        </row>
      </sheetData>
      <sheetData sheetId="13806">
        <row r="2">
          <cell r="A2" t="str">
            <v>Complete</v>
          </cell>
        </row>
      </sheetData>
      <sheetData sheetId="13807">
        <row r="2">
          <cell r="A2" t="str">
            <v>Complete</v>
          </cell>
        </row>
      </sheetData>
      <sheetData sheetId="13808">
        <row r="2">
          <cell r="A2" t="str">
            <v>Complete</v>
          </cell>
        </row>
      </sheetData>
      <sheetData sheetId="13809">
        <row r="2">
          <cell r="A2" t="str">
            <v>Complete</v>
          </cell>
        </row>
      </sheetData>
      <sheetData sheetId="13810">
        <row r="2">
          <cell r="A2" t="str">
            <v>Complete</v>
          </cell>
        </row>
      </sheetData>
      <sheetData sheetId="13811">
        <row r="2">
          <cell r="A2" t="str">
            <v>Complete</v>
          </cell>
        </row>
      </sheetData>
      <sheetData sheetId="13812" refreshError="1"/>
      <sheetData sheetId="13813" refreshError="1"/>
      <sheetData sheetId="13814" refreshError="1"/>
      <sheetData sheetId="13815">
        <row r="2">
          <cell r="A2" t="str">
            <v>Complete</v>
          </cell>
        </row>
      </sheetData>
      <sheetData sheetId="13816" refreshError="1"/>
      <sheetData sheetId="13817" refreshError="1"/>
      <sheetData sheetId="13818" refreshError="1"/>
      <sheetData sheetId="13819" refreshError="1"/>
      <sheetData sheetId="13820">
        <row r="2">
          <cell r="A2">
            <v>43462</v>
          </cell>
        </row>
      </sheetData>
      <sheetData sheetId="13821">
        <row r="2">
          <cell r="A2" t="str">
            <v>Complete</v>
          </cell>
        </row>
      </sheetData>
      <sheetData sheetId="13822" refreshError="1"/>
      <sheetData sheetId="13823" refreshError="1"/>
      <sheetData sheetId="13824" refreshError="1"/>
      <sheetData sheetId="13825" refreshError="1"/>
      <sheetData sheetId="13826">
        <row r="2">
          <cell r="A2" t="str">
            <v>Complete</v>
          </cell>
        </row>
      </sheetData>
      <sheetData sheetId="13827">
        <row r="2">
          <cell r="A2" t="str">
            <v>Complete</v>
          </cell>
        </row>
      </sheetData>
      <sheetData sheetId="13828">
        <row r="2">
          <cell r="A2" t="str">
            <v>Complete</v>
          </cell>
        </row>
      </sheetData>
      <sheetData sheetId="13829"/>
      <sheetData sheetId="13830">
        <row r="2">
          <cell r="A2" t="str">
            <v>% of Capacity utilized</v>
          </cell>
        </row>
      </sheetData>
      <sheetData sheetId="13831">
        <row r="2">
          <cell r="A2" t="str">
            <v>% of Capacity utilized</v>
          </cell>
        </row>
      </sheetData>
      <sheetData sheetId="13832">
        <row r="2">
          <cell r="A2" t="str">
            <v>% of Capacity utilized</v>
          </cell>
        </row>
      </sheetData>
      <sheetData sheetId="13833">
        <row r="2">
          <cell r="A2" t="str">
            <v>% of Capacity utilized</v>
          </cell>
        </row>
      </sheetData>
      <sheetData sheetId="13834">
        <row r="2">
          <cell r="A2" t="str">
            <v>Complete</v>
          </cell>
        </row>
      </sheetData>
      <sheetData sheetId="13835">
        <row r="2">
          <cell r="A2" t="str">
            <v>Complete</v>
          </cell>
        </row>
      </sheetData>
      <sheetData sheetId="13836">
        <row r="2">
          <cell r="A2" t="str">
            <v>Complete</v>
          </cell>
        </row>
      </sheetData>
      <sheetData sheetId="13837">
        <row r="2">
          <cell r="A2" t="str">
            <v>Complete</v>
          </cell>
        </row>
      </sheetData>
      <sheetData sheetId="13838">
        <row r="2">
          <cell r="A2" t="str">
            <v>Complete</v>
          </cell>
        </row>
      </sheetData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>
        <row r="2">
          <cell r="A2">
            <v>43462</v>
          </cell>
        </row>
      </sheetData>
      <sheetData sheetId="13855"/>
      <sheetData sheetId="13856">
        <row r="2">
          <cell r="A2">
            <v>43462</v>
          </cell>
        </row>
      </sheetData>
      <sheetData sheetId="13857">
        <row r="2">
          <cell r="A2" t="str">
            <v>Complete</v>
          </cell>
        </row>
      </sheetData>
      <sheetData sheetId="13858">
        <row r="2">
          <cell r="A2" t="str">
            <v>Complete</v>
          </cell>
        </row>
      </sheetData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>
        <row r="2">
          <cell r="A2" t="str">
            <v>Complete</v>
          </cell>
        </row>
      </sheetData>
      <sheetData sheetId="13870"/>
      <sheetData sheetId="13871"/>
      <sheetData sheetId="13872">
        <row r="2">
          <cell r="A2" t="str">
            <v>Complete</v>
          </cell>
        </row>
      </sheetData>
      <sheetData sheetId="13873"/>
      <sheetData sheetId="13874">
        <row r="2">
          <cell r="A2" t="str">
            <v>Complete</v>
          </cell>
        </row>
      </sheetData>
      <sheetData sheetId="13875"/>
      <sheetData sheetId="13876">
        <row r="2">
          <cell r="A2" t="str">
            <v>% of Capacity utilized</v>
          </cell>
        </row>
      </sheetData>
      <sheetData sheetId="13877">
        <row r="2">
          <cell r="A2" t="str">
            <v>% of Capacity utilized</v>
          </cell>
        </row>
      </sheetData>
      <sheetData sheetId="13878">
        <row r="2">
          <cell r="A2" t="str">
            <v>% of Capacity utilized</v>
          </cell>
        </row>
      </sheetData>
      <sheetData sheetId="13879">
        <row r="2">
          <cell r="A2" t="str">
            <v>% of Capacity utilized</v>
          </cell>
        </row>
      </sheetData>
      <sheetData sheetId="13880">
        <row r="2">
          <cell r="A2" t="str">
            <v>Complete</v>
          </cell>
        </row>
      </sheetData>
      <sheetData sheetId="13881">
        <row r="2">
          <cell r="A2" t="str">
            <v>Complete</v>
          </cell>
        </row>
      </sheetData>
      <sheetData sheetId="13882">
        <row r="2">
          <cell r="A2" t="str">
            <v>Complete</v>
          </cell>
        </row>
      </sheetData>
      <sheetData sheetId="13883">
        <row r="2">
          <cell r="A2" t="str">
            <v>Complete</v>
          </cell>
        </row>
      </sheetData>
      <sheetData sheetId="13884">
        <row r="2">
          <cell r="A2" t="str">
            <v>Complete</v>
          </cell>
        </row>
      </sheetData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>
        <row r="2">
          <cell r="A2">
            <v>43462</v>
          </cell>
        </row>
      </sheetData>
      <sheetData sheetId="13901"/>
      <sheetData sheetId="13902">
        <row r="2">
          <cell r="A2">
            <v>43462</v>
          </cell>
        </row>
      </sheetData>
      <sheetData sheetId="13903">
        <row r="2">
          <cell r="A2" t="str">
            <v>Complete</v>
          </cell>
        </row>
      </sheetData>
      <sheetData sheetId="13904">
        <row r="2">
          <cell r="A2" t="str">
            <v>Complete</v>
          </cell>
        </row>
      </sheetData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>
        <row r="2">
          <cell r="A2" t="str">
            <v>Complete</v>
          </cell>
        </row>
      </sheetData>
      <sheetData sheetId="13916"/>
      <sheetData sheetId="13917"/>
      <sheetData sheetId="13918" refreshError="1"/>
      <sheetData sheetId="139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ar Elite +2"/>
      <sheetName val="VT기준 Lunar Elite +2 추정"/>
      <sheetName val="hotknife process"/>
      <sheetName val="Chi tiet"/>
      <sheetName val="hotknife%20process.xls"/>
      <sheetName val="IBASE"/>
      <sheetName val="5.수정데이터통합"/>
      <sheetName val="당월(1)"/>
      <sheetName val="입금"/>
      <sheetName val="GFP Type"/>
      <sheetName val="Settings &amp; Calculations"/>
      <sheetName val="LOP Tool"/>
    </sheetNames>
    <definedNames>
      <definedName name="강대은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이크업, 단가 추이도"/>
      <sheetName val="재료비자료"/>
      <sheetName val="04년Makeup"/>
      <sheetName val="0103"/>
      <sheetName val="0204"/>
      <sheetName val="0305"/>
      <sheetName val="0406"/>
      <sheetName val="0507"/>
      <sheetName val="0608"/>
      <sheetName val="0709"/>
      <sheetName val="0810"/>
      <sheetName val="0911"/>
      <sheetName val="1012"/>
      <sheetName val="1101"/>
      <sheetName val="1202"/>
      <sheetName val="하반기수정오더계획"/>
      <sheetName val="04년수정오더"/>
      <sheetName val="2004년 월별 재료비 및 메이크업(Non BOM포함)"/>
      <sheetName val="03년 계획 vs 실적 Makeup"/>
      <sheetName val="5.수정데이터통합"/>
      <sheetName val="Sheet1"/>
      <sheetName val="Vietnam Report"/>
      <sheetName val="BOLD SISTER-STRONG SISTER -TOR6"/>
      <sheetName val="SPRAY (A MX PLUS)"/>
      <sheetName val="Spray"/>
      <sheetName val="제조공정도5"/>
      <sheetName val="Shox NZ"/>
      <sheetName val=" Wedge "/>
      <sheetName val="SHOX REMID II"/>
      <sheetName val="PO별 메이크업분석(2004.10.27)"/>
      <sheetName val="PU "/>
      <sheetName val="GFP Type"/>
      <sheetName val="高周波流程"/>
      <sheetName val="당월(1)"/>
      <sheetName val="Tables"/>
      <sheetName val="PRESS OUTSOLE"/>
      <sheetName val="Cutting Dies "/>
      <sheetName val="당연"/>
      <sheetName val="CUTTING"/>
      <sheetName val=" CSS DATA"/>
      <sheetName val="Sheet1 (2)"/>
      <sheetName val="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ar,13-07 final quote"/>
      <sheetName val="19817"/>
      <sheetName val="OS CBD(final)"/>
      <sheetName val="IP(final)"/>
      <sheetName val="Feb, 07-06 final quote(nk impax"/>
      <sheetName val="5.수정데이터통합"/>
      <sheetName val="Mold Efficiency Form"/>
      <sheetName val="0103"/>
      <sheetName val="제조공정도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ar,13-07 final quote"/>
      <sheetName val="19817"/>
      <sheetName val="OS CBD(final)"/>
      <sheetName val="IP(final)"/>
      <sheetName val="Feb, 07-06 final quote(nk impax"/>
      <sheetName val="5.수정데이터통합"/>
      <sheetName val="Mold Efficiency Form"/>
      <sheetName val="0103"/>
      <sheetName val="제조공정도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drawdownlist"/>
      <sheetName val="Data"/>
      <sheetName val="2014 PA MDP FOR SAMPLE INTERNAL"/>
      <sheetName val="OSE_Production_Tracking1"/>
      <sheetName val="OSE_Development_Tracking1"/>
      <sheetName val="Supplier_List1"/>
      <sheetName val="2014_PA_MDP_FOR_SAMPLE_INTERNA1"/>
      <sheetName val="OSE_Production_Tracking"/>
      <sheetName val="OSE_Development_Tracking"/>
      <sheetName val="Supplier_List"/>
      <sheetName val="2014_PA_MDP_FOR_SAMPLE_INTERNAL"/>
      <sheetName val="OSE_Production_Tracking2"/>
      <sheetName val="OSE_Development_Tracking2"/>
      <sheetName val="Supplier_List2"/>
      <sheetName val="2014_PA_MDP_FOR_SAMPLE_INTERNA2"/>
      <sheetName val="OSE_Production_Tracking4"/>
      <sheetName val="OSE_Development_Tracking4"/>
      <sheetName val="Supplier_List4"/>
      <sheetName val="2014_PA_MDP_FOR_SAMPLE_INTERNA4"/>
      <sheetName val="OSE_Production_Tracking3"/>
      <sheetName val="OSE_Development_Tracking3"/>
      <sheetName val="Supplier_List3"/>
      <sheetName val="2014_PA_MDP_FOR_SAMPLE_INTERNA3"/>
      <sheetName val="OSE_Production_Tracking5"/>
      <sheetName val="OSE_Development_Tracking5"/>
      <sheetName val="Supplier_List5"/>
      <sheetName val="2014_PA_MDP_FOR_SAMPLE_INTERNA5"/>
      <sheetName val="OSE_Production_Tracking6"/>
      <sheetName val="OSE_Development_Tracking6"/>
      <sheetName val="Supplier_List6"/>
      <sheetName val="2014_PA_MDP_FOR_SAMPLE_INTERNA6"/>
      <sheetName val="OSE_Production_Tracking8"/>
      <sheetName val="OSE_Development_Tracking8"/>
      <sheetName val="Supplier_List8"/>
      <sheetName val="2014_PA_MDP_FOR_SAMPLE_INTERNA8"/>
      <sheetName val="OSE_Production_Tracking7"/>
      <sheetName val="OSE_Development_Tracking7"/>
      <sheetName val="Supplier_List7"/>
      <sheetName val="2014_PA_MDP_FOR_SAMPLE_INTERNA7"/>
      <sheetName val="OSE_Production_Tracking13"/>
      <sheetName val="OSE_Development_Tracking13"/>
      <sheetName val="Supplier_List13"/>
      <sheetName val="2014_PA_MDP_FOR_SAMPLE_INTERN13"/>
      <sheetName val="OSE_Production_Tracking9"/>
      <sheetName val="OSE_Development_Tracking9"/>
      <sheetName val="Supplier_List9"/>
      <sheetName val="2014_PA_MDP_FOR_SAMPLE_INTERNA9"/>
      <sheetName val="OSE_Production_Tracking10"/>
      <sheetName val="OSE_Development_Tracking10"/>
      <sheetName val="Supplier_List10"/>
      <sheetName val="2014_PA_MDP_FOR_SAMPLE_INTERN10"/>
      <sheetName val="OSE_Production_Tracking11"/>
      <sheetName val="OSE_Development_Tracking11"/>
      <sheetName val="Supplier_List11"/>
      <sheetName val="2014_PA_MDP_FOR_SAMPLE_INTERN11"/>
      <sheetName val="OSE_Production_Tracking12"/>
      <sheetName val="OSE_Development_Tracking12"/>
      <sheetName val="Supplier_List12"/>
      <sheetName val="2014_PA_MDP_FOR_SAMPLE_INTERN12"/>
      <sheetName val="_Recovered_SheetName_ 0_"/>
      <sheetName val="Ose-Jan."/>
      <sheetName val="apl"/>
      <sheetName val="Look Up"/>
      <sheetName val="Sheet1"/>
      <sheetName val="OSE_Development_T2acking11"/>
      <sheetName val="stit_vsm "/>
      <sheetName val="Ass_VSM"/>
      <sheetName val="Cut_VSM"/>
      <sheetName val="Stit_VSM"/>
      <sheetName val="List"/>
      <sheetName val="5.수정데이터통합"/>
    </sheetNames>
    <sheetDataSet>
      <sheetData sheetId="0"/>
      <sheetData sheetId="1"/>
      <sheetData sheetId="2" refreshError="1">
        <row r="2">
          <cell r="A2" t="str">
            <v>AMRONG</v>
          </cell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  <sheetData sheetId="4" refreshError="1"/>
      <sheetData sheetId="5" refreshError="1"/>
      <sheetData sheetId="6">
        <row r="2">
          <cell r="A2" t="str">
            <v>AMRONG</v>
          </cell>
        </row>
      </sheetData>
      <sheetData sheetId="7">
        <row r="2">
          <cell r="A2" t="str">
            <v>AMRONG</v>
          </cell>
        </row>
      </sheetData>
      <sheetData sheetId="8">
        <row r="2">
          <cell r="A2" t="str">
            <v>AMRONG</v>
          </cell>
        </row>
      </sheetData>
      <sheetData sheetId="9">
        <row r="2">
          <cell r="A2" t="str">
            <v>AMRONG</v>
          </cell>
        </row>
      </sheetData>
      <sheetData sheetId="10">
        <row r="2">
          <cell r="A2" t="str">
            <v>AMRONG</v>
          </cell>
        </row>
      </sheetData>
      <sheetData sheetId="11">
        <row r="2">
          <cell r="A2" t="str">
            <v>AMRONG</v>
          </cell>
        </row>
      </sheetData>
      <sheetData sheetId="12">
        <row r="2">
          <cell r="A2" t="str">
            <v>AMRONG</v>
          </cell>
        </row>
      </sheetData>
      <sheetData sheetId="13">
        <row r="2">
          <cell r="A2" t="str">
            <v>AMRONG</v>
          </cell>
        </row>
      </sheetData>
      <sheetData sheetId="14">
        <row r="2">
          <cell r="A2" t="str">
            <v>AMRONG</v>
          </cell>
        </row>
      </sheetData>
      <sheetData sheetId="15">
        <row r="2">
          <cell r="A2" t="str">
            <v>AMRONG</v>
          </cell>
        </row>
      </sheetData>
      <sheetData sheetId="16">
        <row r="2">
          <cell r="A2" t="str">
            <v>AMRONG</v>
          </cell>
        </row>
      </sheetData>
      <sheetData sheetId="17">
        <row r="2">
          <cell r="A2" t="str">
            <v>AMRONG</v>
          </cell>
        </row>
      </sheetData>
      <sheetData sheetId="18">
        <row r="2">
          <cell r="A2" t="str">
            <v>AMRONG</v>
          </cell>
        </row>
      </sheetData>
      <sheetData sheetId="19">
        <row r="2">
          <cell r="A2" t="str">
            <v>AMRONG</v>
          </cell>
        </row>
      </sheetData>
      <sheetData sheetId="20">
        <row r="2">
          <cell r="A2" t="str">
            <v>AMRONG</v>
          </cell>
        </row>
      </sheetData>
      <sheetData sheetId="21">
        <row r="2">
          <cell r="A2" t="str">
            <v>AMRONG</v>
          </cell>
        </row>
      </sheetData>
      <sheetData sheetId="22">
        <row r="2">
          <cell r="A2" t="str">
            <v>AMRONG</v>
          </cell>
        </row>
      </sheetData>
      <sheetData sheetId="23">
        <row r="2">
          <cell r="A2" t="str">
            <v>AMRONG</v>
          </cell>
        </row>
      </sheetData>
      <sheetData sheetId="24">
        <row r="2">
          <cell r="A2" t="str">
            <v>AMRONG</v>
          </cell>
        </row>
      </sheetData>
      <sheetData sheetId="25">
        <row r="2">
          <cell r="A2" t="str">
            <v>AMRONG</v>
          </cell>
        </row>
      </sheetData>
      <sheetData sheetId="26">
        <row r="2">
          <cell r="A2" t="str">
            <v>AMRONG</v>
          </cell>
        </row>
      </sheetData>
      <sheetData sheetId="27">
        <row r="2">
          <cell r="A2" t="str">
            <v>AMRONG</v>
          </cell>
        </row>
      </sheetData>
      <sheetData sheetId="28">
        <row r="2">
          <cell r="A2" t="str">
            <v>AMRONG</v>
          </cell>
        </row>
      </sheetData>
      <sheetData sheetId="29">
        <row r="2">
          <cell r="A2" t="str">
            <v>AMRONG</v>
          </cell>
        </row>
      </sheetData>
      <sheetData sheetId="30">
        <row r="2">
          <cell r="A2" t="str">
            <v>AMRONG</v>
          </cell>
        </row>
      </sheetData>
      <sheetData sheetId="31">
        <row r="2">
          <cell r="A2" t="str">
            <v>AMRONG</v>
          </cell>
        </row>
      </sheetData>
      <sheetData sheetId="32">
        <row r="2">
          <cell r="A2" t="str">
            <v>AMRONG</v>
          </cell>
        </row>
      </sheetData>
      <sheetData sheetId="33">
        <row r="2">
          <cell r="A2" t="str">
            <v>AMRONG</v>
          </cell>
        </row>
      </sheetData>
      <sheetData sheetId="34">
        <row r="2">
          <cell r="A2" t="str">
            <v>AMRONG</v>
          </cell>
        </row>
      </sheetData>
      <sheetData sheetId="35">
        <row r="2">
          <cell r="A2" t="str">
            <v>AMRONG</v>
          </cell>
        </row>
      </sheetData>
      <sheetData sheetId="36">
        <row r="2">
          <cell r="A2" t="str">
            <v>AMRONG</v>
          </cell>
        </row>
      </sheetData>
      <sheetData sheetId="37">
        <row r="2">
          <cell r="A2" t="str">
            <v>AMRONG</v>
          </cell>
        </row>
      </sheetData>
      <sheetData sheetId="38">
        <row r="2">
          <cell r="A2" t="str">
            <v>AMRONG</v>
          </cell>
        </row>
      </sheetData>
      <sheetData sheetId="39">
        <row r="2">
          <cell r="A2" t="str">
            <v>AMRONG</v>
          </cell>
        </row>
      </sheetData>
      <sheetData sheetId="40">
        <row r="2">
          <cell r="A2" t="str">
            <v>AMRONG</v>
          </cell>
        </row>
      </sheetData>
      <sheetData sheetId="41">
        <row r="2">
          <cell r="A2" t="str">
            <v>AMRONG</v>
          </cell>
        </row>
      </sheetData>
      <sheetData sheetId="42">
        <row r="2">
          <cell r="A2" t="str">
            <v>AMRONG</v>
          </cell>
        </row>
      </sheetData>
      <sheetData sheetId="43">
        <row r="2">
          <cell r="A2" t="str">
            <v>AMRONG</v>
          </cell>
        </row>
      </sheetData>
      <sheetData sheetId="44">
        <row r="2">
          <cell r="A2" t="str">
            <v>AMRONG</v>
          </cell>
        </row>
      </sheetData>
      <sheetData sheetId="45">
        <row r="2">
          <cell r="A2" t="str">
            <v>AMRONG</v>
          </cell>
        </row>
      </sheetData>
      <sheetData sheetId="46">
        <row r="2">
          <cell r="A2" t="str">
            <v>AMRONG</v>
          </cell>
        </row>
      </sheetData>
      <sheetData sheetId="47">
        <row r="2">
          <cell r="A2" t="str">
            <v>AMRONG</v>
          </cell>
        </row>
      </sheetData>
      <sheetData sheetId="48">
        <row r="2">
          <cell r="A2" t="str">
            <v>AMRONG</v>
          </cell>
        </row>
      </sheetData>
      <sheetData sheetId="49">
        <row r="2">
          <cell r="A2" t="str">
            <v>AMRONG</v>
          </cell>
        </row>
      </sheetData>
      <sheetData sheetId="50">
        <row r="2">
          <cell r="A2" t="str">
            <v>AMRONG</v>
          </cell>
        </row>
      </sheetData>
      <sheetData sheetId="51">
        <row r="2">
          <cell r="A2" t="str">
            <v>AMRONG</v>
          </cell>
        </row>
      </sheetData>
      <sheetData sheetId="52">
        <row r="2">
          <cell r="A2" t="str">
            <v>AMRONG</v>
          </cell>
        </row>
      </sheetData>
      <sheetData sheetId="53">
        <row r="2">
          <cell r="A2" t="str">
            <v>AMRONG</v>
          </cell>
        </row>
      </sheetData>
      <sheetData sheetId="54">
        <row r="2">
          <cell r="A2" t="str">
            <v>AMRONG</v>
          </cell>
        </row>
      </sheetData>
      <sheetData sheetId="55">
        <row r="2">
          <cell r="A2" t="str">
            <v>AMRONG</v>
          </cell>
        </row>
      </sheetData>
      <sheetData sheetId="56">
        <row r="2">
          <cell r="A2" t="str">
            <v>AMRONG</v>
          </cell>
        </row>
      </sheetData>
      <sheetData sheetId="57">
        <row r="2">
          <cell r="A2" t="str">
            <v>AMRONG</v>
          </cell>
        </row>
      </sheetData>
      <sheetData sheetId="58">
        <row r="2">
          <cell r="A2" t="str">
            <v>AMRONG</v>
          </cell>
        </row>
      </sheetData>
      <sheetData sheetId="59">
        <row r="2">
          <cell r="A2" t="str">
            <v>AMRONG</v>
          </cell>
        </row>
      </sheetData>
      <sheetData sheetId="60">
        <row r="2">
          <cell r="A2" t="str">
            <v>AMRONG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0FE4-5C69-4DC5-BC60-F8AD775F4794}">
  <sheetPr>
    <tabColor rgb="FFFF0000"/>
    <pageSetUpPr fitToPage="1"/>
  </sheetPr>
  <dimension ref="A1:S107"/>
  <sheetViews>
    <sheetView zoomScaleNormal="100" workbookViewId="0">
      <pane xSplit="3" ySplit="5" topLeftCell="E101" activePane="bottomRight" state="frozen"/>
      <selection pane="topRight" activeCell="D1" sqref="D1"/>
      <selection pane="bottomLeft" activeCell="A6" sqref="A6"/>
      <selection pane="bottomRight" activeCell="S77" sqref="S77"/>
    </sheetView>
  </sheetViews>
  <sheetFormatPr defaultColWidth="9.140625" defaultRowHeight="15"/>
  <cols>
    <col min="1" max="2" width="13.7109375" style="5" customWidth="1"/>
    <col min="3" max="3" width="28" style="5" customWidth="1"/>
    <col min="4" max="4" width="15.7109375" style="5" hidden="1" customWidth="1"/>
    <col min="5" max="13" width="13.7109375" style="5" customWidth="1"/>
    <col min="14" max="14" width="15.7109375" style="5" hidden="1" customWidth="1"/>
    <col min="15" max="16" width="13.7109375" style="5" customWidth="1"/>
    <col min="17" max="17" width="20.85546875" style="5" bestFit="1" customWidth="1"/>
    <col min="18" max="16384" width="9.140625" style="5"/>
  </cols>
  <sheetData>
    <row r="1" spans="1:17" ht="15" customHeight="1">
      <c r="A1" s="296" t="s">
        <v>93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</row>
    <row r="2" spans="1:17" ht="15" customHeight="1">
      <c r="A2" s="296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</row>
    <row r="3" spans="1:17" ht="24.95" customHeight="1" thickBot="1">
      <c r="A3" s="259" t="s">
        <v>8</v>
      </c>
      <c r="B3" s="25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24.95" customHeight="1">
      <c r="A4" s="271" t="s">
        <v>0</v>
      </c>
      <c r="B4" s="306" t="s">
        <v>2</v>
      </c>
      <c r="C4" s="306" t="s">
        <v>1</v>
      </c>
      <c r="D4" s="287" t="s">
        <v>40</v>
      </c>
      <c r="E4" s="291" t="s">
        <v>86</v>
      </c>
      <c r="F4" s="293" t="s">
        <v>89</v>
      </c>
      <c r="G4" s="289" t="s">
        <v>5</v>
      </c>
      <c r="H4" s="289"/>
      <c r="I4" s="289"/>
      <c r="J4" s="289"/>
      <c r="K4" s="289"/>
      <c r="L4" s="282"/>
      <c r="M4" s="280" t="s">
        <v>95</v>
      </c>
      <c r="N4" s="287" t="s">
        <v>41</v>
      </c>
      <c r="O4" s="295" t="s">
        <v>7</v>
      </c>
      <c r="P4" s="273"/>
      <c r="Q4" s="273" t="s">
        <v>178</v>
      </c>
    </row>
    <row r="5" spans="1:17" ht="24.95" customHeight="1" thickBot="1">
      <c r="A5" s="305"/>
      <c r="B5" s="307"/>
      <c r="C5" s="307"/>
      <c r="D5" s="288"/>
      <c r="E5" s="292"/>
      <c r="F5" s="294"/>
      <c r="G5" s="196" t="s">
        <v>3</v>
      </c>
      <c r="H5" s="197" t="s">
        <v>180</v>
      </c>
      <c r="I5" s="197" t="s">
        <v>4</v>
      </c>
      <c r="J5" s="197" t="s">
        <v>180</v>
      </c>
      <c r="K5" s="197" t="s">
        <v>6</v>
      </c>
      <c r="L5" s="197" t="s">
        <v>180</v>
      </c>
      <c r="M5" s="290"/>
      <c r="N5" s="288"/>
      <c r="O5" s="198" t="s">
        <v>183</v>
      </c>
      <c r="P5" s="211" t="s">
        <v>182</v>
      </c>
      <c r="Q5" s="274"/>
    </row>
    <row r="6" spans="1:17" ht="20.100000000000001" customHeight="1" thickTop="1">
      <c r="A6" s="299">
        <v>880</v>
      </c>
      <c r="B6" s="308" t="s">
        <v>10</v>
      </c>
      <c r="C6" s="3" t="s">
        <v>12</v>
      </c>
      <c r="D6" s="208">
        <f>3600/E6</f>
        <v>40.909090909090907</v>
      </c>
      <c r="E6" s="38">
        <v>88</v>
      </c>
      <c r="F6" s="33">
        <f>E6*14</f>
        <v>1232</v>
      </c>
      <c r="G6" s="188">
        <v>243</v>
      </c>
      <c r="H6" s="205">
        <f>G6/(E6*7)</f>
        <v>0.39448051948051949</v>
      </c>
      <c r="I6" s="3">
        <v>336</v>
      </c>
      <c r="J6" s="205">
        <f>I6/(E6*7)</f>
        <v>0.54545454545454541</v>
      </c>
      <c r="K6" s="3"/>
      <c r="L6" s="3"/>
      <c r="M6" s="11">
        <f>G6+I6+K6</f>
        <v>579</v>
      </c>
      <c r="N6" s="208">
        <f>3600/(M6/14)</f>
        <v>87.046632124352342</v>
      </c>
      <c r="O6" s="220">
        <f t="shared" ref="O6:O15" si="0">M6-F6</f>
        <v>-653</v>
      </c>
      <c r="P6" s="221">
        <f t="shared" ref="P6:P16" si="1">((F6-M6)/F6)</f>
        <v>0.53003246753246758</v>
      </c>
      <c r="Q6" s="217"/>
    </row>
    <row r="7" spans="1:17" ht="20.100000000000001" customHeight="1">
      <c r="A7" s="300"/>
      <c r="B7" s="309"/>
      <c r="C7" s="1" t="s">
        <v>11</v>
      </c>
      <c r="D7" s="209">
        <f t="shared" ref="D7:D16" si="2">3600/E7</f>
        <v>10.526315789473685</v>
      </c>
      <c r="E7" s="39">
        <v>342</v>
      </c>
      <c r="F7" s="34">
        <f t="shared" ref="F7:F16" si="3">E7*14</f>
        <v>4788</v>
      </c>
      <c r="G7" s="189">
        <v>1138</v>
      </c>
      <c r="H7" s="203">
        <f t="shared" ref="H7:H15" si="4">G7/(E7*7)</f>
        <v>0.4753550543024227</v>
      </c>
      <c r="I7" s="1">
        <v>1552</v>
      </c>
      <c r="J7" s="203">
        <f t="shared" ref="J7:J15" si="5">I7/(E7*7)</f>
        <v>0.64828738512949036</v>
      </c>
      <c r="K7" s="1"/>
      <c r="L7" s="1"/>
      <c r="M7" s="4">
        <f t="shared" ref="M7:M15" si="6">G7+I7+K7</f>
        <v>2690</v>
      </c>
      <c r="N7" s="209">
        <f>3600/(M7/14)</f>
        <v>18.736059479553905</v>
      </c>
      <c r="O7" s="222">
        <f t="shared" si="0"/>
        <v>-2098</v>
      </c>
      <c r="P7" s="223">
        <f t="shared" si="1"/>
        <v>0.43817878028404345</v>
      </c>
      <c r="Q7" s="218"/>
    </row>
    <row r="8" spans="1:17" ht="20.100000000000001" customHeight="1">
      <c r="A8" s="6">
        <v>608</v>
      </c>
      <c r="B8" s="1" t="s">
        <v>10</v>
      </c>
      <c r="C8" s="1" t="s">
        <v>13</v>
      </c>
      <c r="D8" s="209">
        <f t="shared" si="2"/>
        <v>45.569620253164558</v>
      </c>
      <c r="E8" s="39">
        <v>79</v>
      </c>
      <c r="F8" s="34">
        <f t="shared" si="3"/>
        <v>1106</v>
      </c>
      <c r="G8" s="189">
        <v>683</v>
      </c>
      <c r="H8" s="203">
        <f>G8/(E8*7)</f>
        <v>1.2350813743218807</v>
      </c>
      <c r="I8" s="1">
        <v>410</v>
      </c>
      <c r="J8" s="203">
        <f t="shared" si="5"/>
        <v>0.74141048824593125</v>
      </c>
      <c r="K8" s="1"/>
      <c r="L8" s="1"/>
      <c r="M8" s="4">
        <f t="shared" si="6"/>
        <v>1093</v>
      </c>
      <c r="N8" s="209">
        <f t="shared" ref="N8:N15" si="7">3600/(M8/14)</f>
        <v>46.111619396157366</v>
      </c>
      <c r="O8" s="222">
        <f t="shared" si="0"/>
        <v>-13</v>
      </c>
      <c r="P8" s="223">
        <f t="shared" si="1"/>
        <v>1.1754068716094032E-2</v>
      </c>
      <c r="Q8" s="218"/>
    </row>
    <row r="9" spans="1:17" ht="20.100000000000001" customHeight="1">
      <c r="A9" s="6">
        <v>480</v>
      </c>
      <c r="B9" s="1" t="s">
        <v>10</v>
      </c>
      <c r="C9" s="1" t="s">
        <v>14</v>
      </c>
      <c r="D9" s="209">
        <f t="shared" si="2"/>
        <v>22.36024844720497</v>
      </c>
      <c r="E9" s="39">
        <v>161</v>
      </c>
      <c r="F9" s="34">
        <f t="shared" si="3"/>
        <v>2254</v>
      </c>
      <c r="G9" s="189">
        <v>643</v>
      </c>
      <c r="H9" s="203">
        <f t="shared" si="4"/>
        <v>0.5705412599822538</v>
      </c>
      <c r="I9" s="1">
        <v>785</v>
      </c>
      <c r="J9" s="203">
        <f t="shared" si="5"/>
        <v>0.69653948535936117</v>
      </c>
      <c r="K9" s="1"/>
      <c r="L9" s="1"/>
      <c r="M9" s="4">
        <f t="shared" si="6"/>
        <v>1428</v>
      </c>
      <c r="N9" s="209">
        <f t="shared" si="7"/>
        <v>35.294117647058826</v>
      </c>
      <c r="O9" s="222">
        <f t="shared" si="0"/>
        <v>-826</v>
      </c>
      <c r="P9" s="223">
        <f t="shared" si="1"/>
        <v>0.36645962732919257</v>
      </c>
      <c r="Q9" s="218"/>
    </row>
    <row r="10" spans="1:17" ht="20.100000000000001" customHeight="1">
      <c r="A10" s="6">
        <v>373</v>
      </c>
      <c r="B10" s="1" t="s">
        <v>10</v>
      </c>
      <c r="C10" s="1" t="s">
        <v>15</v>
      </c>
      <c r="D10" s="209">
        <f t="shared" si="2"/>
        <v>16.216216216216218</v>
      </c>
      <c r="E10" s="39">
        <v>222</v>
      </c>
      <c r="F10" s="34">
        <f t="shared" si="3"/>
        <v>3108</v>
      </c>
      <c r="G10" s="189">
        <v>754</v>
      </c>
      <c r="H10" s="203">
        <f t="shared" si="4"/>
        <v>0.48519948519948519</v>
      </c>
      <c r="I10" s="1">
        <v>899</v>
      </c>
      <c r="J10" s="203">
        <f t="shared" si="5"/>
        <v>0.5785070785070785</v>
      </c>
      <c r="K10" s="1"/>
      <c r="L10" s="1"/>
      <c r="M10" s="4">
        <f t="shared" si="6"/>
        <v>1653</v>
      </c>
      <c r="N10" s="209">
        <f t="shared" si="7"/>
        <v>30.490018148820326</v>
      </c>
      <c r="O10" s="222">
        <f t="shared" si="0"/>
        <v>-1455</v>
      </c>
      <c r="P10" s="223">
        <f t="shared" si="1"/>
        <v>0.46814671814671815</v>
      </c>
      <c r="Q10" s="218"/>
    </row>
    <row r="11" spans="1:17" ht="20.100000000000001" customHeight="1">
      <c r="A11" s="300">
        <v>878</v>
      </c>
      <c r="B11" s="309" t="s">
        <v>10</v>
      </c>
      <c r="C11" s="1" t="s">
        <v>12</v>
      </c>
      <c r="D11" s="209">
        <f t="shared" si="2"/>
        <v>37.113402061855673</v>
      </c>
      <c r="E11" s="39">
        <v>97</v>
      </c>
      <c r="F11" s="34">
        <f t="shared" si="3"/>
        <v>1358</v>
      </c>
      <c r="G11" s="189">
        <v>522</v>
      </c>
      <c r="H11" s="203">
        <f t="shared" si="4"/>
        <v>0.76877761413843893</v>
      </c>
      <c r="I11" s="1">
        <v>583</v>
      </c>
      <c r="J11" s="203">
        <f t="shared" si="5"/>
        <v>0.85861561119293073</v>
      </c>
      <c r="K11" s="1"/>
      <c r="L11" s="1"/>
      <c r="M11" s="4">
        <f t="shared" si="6"/>
        <v>1105</v>
      </c>
      <c r="N11" s="209">
        <f t="shared" si="7"/>
        <v>45.610859728506789</v>
      </c>
      <c r="O11" s="222">
        <f t="shared" si="0"/>
        <v>-253</v>
      </c>
      <c r="P11" s="223">
        <f t="shared" si="1"/>
        <v>0.18630338733431517</v>
      </c>
      <c r="Q11" s="218"/>
    </row>
    <row r="12" spans="1:17" ht="20.100000000000001" customHeight="1">
      <c r="A12" s="300"/>
      <c r="B12" s="309"/>
      <c r="C12" s="1" t="s">
        <v>16</v>
      </c>
      <c r="D12" s="209">
        <f t="shared" si="2"/>
        <v>12.76595744680851</v>
      </c>
      <c r="E12" s="39">
        <v>282</v>
      </c>
      <c r="F12" s="34">
        <f t="shared" si="3"/>
        <v>3948</v>
      </c>
      <c r="G12" s="189">
        <v>797</v>
      </c>
      <c r="H12" s="203">
        <f t="shared" si="4"/>
        <v>0.40374873353596757</v>
      </c>
      <c r="I12" s="1">
        <v>578</v>
      </c>
      <c r="J12" s="203">
        <f t="shared" si="5"/>
        <v>0.29280648429584599</v>
      </c>
      <c r="K12" s="1"/>
      <c r="L12" s="1"/>
      <c r="M12" s="4">
        <f t="shared" si="6"/>
        <v>1375</v>
      </c>
      <c r="N12" s="209">
        <f t="shared" si="7"/>
        <v>36.654545454545456</v>
      </c>
      <c r="O12" s="222">
        <f t="shared" si="0"/>
        <v>-2573</v>
      </c>
      <c r="P12" s="223">
        <f t="shared" si="1"/>
        <v>0.65172239108409324</v>
      </c>
      <c r="Q12" s="218"/>
    </row>
    <row r="13" spans="1:17" ht="20.100000000000001" customHeight="1">
      <c r="A13" s="300"/>
      <c r="B13" s="309"/>
      <c r="C13" s="1" t="s">
        <v>11</v>
      </c>
      <c r="D13" s="209">
        <f t="shared" si="2"/>
        <v>18.94736842105263</v>
      </c>
      <c r="E13" s="39">
        <v>190</v>
      </c>
      <c r="F13" s="34">
        <f t="shared" si="3"/>
        <v>2660</v>
      </c>
      <c r="G13" s="189">
        <v>531</v>
      </c>
      <c r="H13" s="203">
        <f t="shared" si="4"/>
        <v>0.39924812030075185</v>
      </c>
      <c r="I13" s="1">
        <v>876</v>
      </c>
      <c r="J13" s="203">
        <f t="shared" si="5"/>
        <v>0.65864661654135337</v>
      </c>
      <c r="K13" s="1"/>
      <c r="L13" s="1"/>
      <c r="M13" s="4">
        <f t="shared" si="6"/>
        <v>1407</v>
      </c>
      <c r="N13" s="209">
        <f t="shared" si="7"/>
        <v>35.820895522388057</v>
      </c>
      <c r="O13" s="222">
        <f t="shared" si="0"/>
        <v>-1253</v>
      </c>
      <c r="P13" s="223">
        <f t="shared" si="1"/>
        <v>0.47105263157894739</v>
      </c>
      <c r="Q13" s="218"/>
    </row>
    <row r="14" spans="1:17" ht="20.100000000000001" customHeight="1">
      <c r="A14" s="300"/>
      <c r="B14" s="309"/>
      <c r="C14" s="1" t="s">
        <v>17</v>
      </c>
      <c r="D14" s="209">
        <f t="shared" si="2"/>
        <v>20</v>
      </c>
      <c r="E14" s="39">
        <v>180</v>
      </c>
      <c r="F14" s="34">
        <f t="shared" si="3"/>
        <v>2520</v>
      </c>
      <c r="G14" s="189">
        <v>655</v>
      </c>
      <c r="H14" s="203">
        <f t="shared" si="4"/>
        <v>0.51984126984126988</v>
      </c>
      <c r="I14" s="1">
        <v>538</v>
      </c>
      <c r="J14" s="203">
        <f t="shared" si="5"/>
        <v>0.42698412698412697</v>
      </c>
      <c r="K14" s="1"/>
      <c r="L14" s="1"/>
      <c r="M14" s="4">
        <f>G14+I14+K14</f>
        <v>1193</v>
      </c>
      <c r="N14" s="209">
        <f t="shared" si="7"/>
        <v>42.24643755238894</v>
      </c>
      <c r="O14" s="222">
        <f t="shared" si="0"/>
        <v>-1327</v>
      </c>
      <c r="P14" s="223">
        <f t="shared" si="1"/>
        <v>0.5265873015873016</v>
      </c>
      <c r="Q14" s="218"/>
    </row>
    <row r="15" spans="1:17" ht="20.100000000000001" customHeight="1" thickBot="1">
      <c r="A15" s="7">
        <v>1906</v>
      </c>
      <c r="B15" s="8" t="s">
        <v>10</v>
      </c>
      <c r="C15" s="8" t="s">
        <v>18</v>
      </c>
      <c r="D15" s="210">
        <f t="shared" si="2"/>
        <v>30.76923076923077</v>
      </c>
      <c r="E15" s="40">
        <v>117</v>
      </c>
      <c r="F15" s="35">
        <f t="shared" si="3"/>
        <v>1638</v>
      </c>
      <c r="G15" s="190">
        <v>280</v>
      </c>
      <c r="H15" s="204">
        <f t="shared" si="4"/>
        <v>0.34188034188034189</v>
      </c>
      <c r="I15" s="8">
        <v>331</v>
      </c>
      <c r="J15" s="204">
        <f t="shared" si="5"/>
        <v>0.40415140415140416</v>
      </c>
      <c r="K15" s="8"/>
      <c r="L15" s="8"/>
      <c r="M15" s="9">
        <f t="shared" si="6"/>
        <v>611</v>
      </c>
      <c r="N15" s="210">
        <f t="shared" si="7"/>
        <v>82.48772504091653</v>
      </c>
      <c r="O15" s="224">
        <f t="shared" si="0"/>
        <v>-1027</v>
      </c>
      <c r="P15" s="225">
        <f t="shared" si="1"/>
        <v>0.62698412698412698</v>
      </c>
      <c r="Q15" s="219"/>
    </row>
    <row r="16" spans="1:17" ht="20.100000000000001" hidden="1" customHeight="1">
      <c r="A16" s="187">
        <v>468</v>
      </c>
      <c r="B16" s="184" t="s">
        <v>19</v>
      </c>
      <c r="C16" s="201" t="s">
        <v>13</v>
      </c>
      <c r="D16" s="202">
        <f t="shared" si="2"/>
        <v>138.46153846153845</v>
      </c>
      <c r="E16" s="206">
        <v>26</v>
      </c>
      <c r="F16" s="207">
        <f t="shared" si="3"/>
        <v>364</v>
      </c>
      <c r="G16" s="186"/>
      <c r="H16" s="200"/>
      <c r="I16" s="185"/>
      <c r="J16" s="185"/>
      <c r="K16" s="185"/>
      <c r="L16" s="185"/>
      <c r="M16" s="18">
        <f>SUM(G16:K16)</f>
        <v>0</v>
      </c>
      <c r="N16" s="37" t="e">
        <f>3600/(M16/14)</f>
        <v>#DIV/0!</v>
      </c>
      <c r="O16" s="184"/>
      <c r="P16" s="36">
        <f t="shared" si="1"/>
        <v>1</v>
      </c>
    </row>
    <row r="17" spans="1:17" ht="20.100000000000001" customHeight="1">
      <c r="A17" s="191"/>
      <c r="B17" s="191"/>
      <c r="C17" s="191"/>
      <c r="D17" s="192"/>
      <c r="E17" s="283" t="s">
        <v>179</v>
      </c>
      <c r="F17" s="284"/>
      <c r="G17" s="285">
        <v>38</v>
      </c>
      <c r="H17" s="285"/>
      <c r="I17" s="285">
        <v>38</v>
      </c>
      <c r="J17" s="285"/>
      <c r="K17" s="285"/>
      <c r="L17" s="286"/>
      <c r="M17" s="193"/>
      <c r="N17" s="192"/>
      <c r="O17" s="191"/>
      <c r="P17" s="194"/>
    </row>
    <row r="18" spans="1:17" ht="20.100000000000001" customHeight="1">
      <c r="A18" s="191"/>
      <c r="B18" s="191"/>
      <c r="C18" s="191"/>
      <c r="D18" s="192"/>
      <c r="E18" s="261" t="s">
        <v>181</v>
      </c>
      <c r="F18" s="262"/>
      <c r="G18" s="263">
        <v>2</v>
      </c>
      <c r="H18" s="263"/>
      <c r="I18" s="263">
        <v>2</v>
      </c>
      <c r="J18" s="263"/>
      <c r="K18" s="263"/>
      <c r="L18" s="264"/>
      <c r="M18" s="193"/>
      <c r="N18" s="192"/>
      <c r="O18" s="191"/>
      <c r="P18" s="194"/>
    </row>
    <row r="19" spans="1:17" ht="20.100000000000001" customHeight="1" thickBot="1">
      <c r="A19" s="191"/>
      <c r="B19" s="191"/>
      <c r="C19" s="191"/>
      <c r="D19" s="192"/>
      <c r="E19" s="265" t="s">
        <v>185</v>
      </c>
      <c r="F19" s="266"/>
      <c r="G19" s="267">
        <f>(G17-G18)/G17</f>
        <v>0.94736842105263153</v>
      </c>
      <c r="H19" s="268"/>
      <c r="I19" s="267">
        <f>(I17-I18)/I17</f>
        <v>0.94736842105263153</v>
      </c>
      <c r="J19" s="268"/>
      <c r="K19" s="269"/>
      <c r="L19" s="270"/>
      <c r="M19" s="193"/>
      <c r="N19" s="192"/>
      <c r="O19" s="191"/>
      <c r="P19" s="194"/>
    </row>
    <row r="20" spans="1:17" ht="24.95" customHeight="1" thickBot="1">
      <c r="A20" s="259" t="s">
        <v>20</v>
      </c>
      <c r="B20" s="259"/>
      <c r="C20" s="2"/>
      <c r="D20" s="2"/>
      <c r="E20" s="312"/>
      <c r="F20" s="31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7" ht="24.95" customHeight="1">
      <c r="A21" s="271" t="s">
        <v>0</v>
      </c>
      <c r="B21" s="306" t="s">
        <v>2</v>
      </c>
      <c r="C21" s="306" t="s">
        <v>1</v>
      </c>
      <c r="D21" s="287" t="s">
        <v>40</v>
      </c>
      <c r="E21" s="291" t="s">
        <v>86</v>
      </c>
      <c r="F21" s="293" t="s">
        <v>88</v>
      </c>
      <c r="G21" s="279" t="s">
        <v>5</v>
      </c>
      <c r="H21" s="280"/>
      <c r="I21" s="280"/>
      <c r="J21" s="280"/>
      <c r="K21" s="280"/>
      <c r="L21" s="280"/>
      <c r="M21" s="301" t="s">
        <v>96</v>
      </c>
      <c r="N21" s="303" t="s">
        <v>41</v>
      </c>
      <c r="O21" s="271" t="s">
        <v>7</v>
      </c>
      <c r="P21" s="272"/>
      <c r="Q21" s="273" t="s">
        <v>178</v>
      </c>
    </row>
    <row r="22" spans="1:17" ht="24.95" customHeight="1" thickBot="1">
      <c r="A22" s="305"/>
      <c r="B22" s="307"/>
      <c r="C22" s="307"/>
      <c r="D22" s="288"/>
      <c r="E22" s="292"/>
      <c r="F22" s="294"/>
      <c r="G22" s="195" t="s">
        <v>3</v>
      </c>
      <c r="H22" s="197" t="s">
        <v>180</v>
      </c>
      <c r="I22" s="197" t="s">
        <v>4</v>
      </c>
      <c r="J22" s="197" t="s">
        <v>180</v>
      </c>
      <c r="K22" s="197" t="s">
        <v>6</v>
      </c>
      <c r="L22" s="197" t="s">
        <v>180</v>
      </c>
      <c r="M22" s="302"/>
      <c r="N22" s="304"/>
      <c r="O22" s="198" t="s">
        <v>183</v>
      </c>
      <c r="P22" s="211" t="s">
        <v>182</v>
      </c>
      <c r="Q22" s="274"/>
    </row>
    <row r="23" spans="1:17" ht="20.100000000000001" customHeight="1" thickTop="1">
      <c r="A23" s="10">
        <v>411</v>
      </c>
      <c r="B23" s="3" t="s">
        <v>10</v>
      </c>
      <c r="C23" s="3" t="s">
        <v>11</v>
      </c>
      <c r="D23" s="208">
        <f>3600/E23</f>
        <v>14.4</v>
      </c>
      <c r="E23" s="38">
        <v>250</v>
      </c>
      <c r="F23" s="33">
        <f>E23*21</f>
        <v>5250</v>
      </c>
      <c r="G23" s="10">
        <v>1461</v>
      </c>
      <c r="H23" s="205">
        <f>G23/(E23*7)</f>
        <v>0.83485714285714285</v>
      </c>
      <c r="I23" s="3">
        <v>1778</v>
      </c>
      <c r="J23" s="205">
        <f>I23/(E23*7)</f>
        <v>1.016</v>
      </c>
      <c r="K23" s="20">
        <v>1797</v>
      </c>
      <c r="L23" s="205">
        <f>K23/(E23*7)</f>
        <v>1.0268571428571429</v>
      </c>
      <c r="M23" s="33">
        <f>G23+I23+K23</f>
        <v>5036</v>
      </c>
      <c r="N23" s="233">
        <f>3600/(M23/21)</f>
        <v>15.011914217633043</v>
      </c>
      <c r="O23" s="220">
        <f>M23-F23</f>
        <v>-214</v>
      </c>
      <c r="P23" s="221">
        <f t="shared" ref="P23:P61" si="8">((F23-M23)/F23)</f>
        <v>4.0761904761904763E-2</v>
      </c>
      <c r="Q23" s="123"/>
    </row>
    <row r="24" spans="1:17" ht="20.100000000000001" customHeight="1">
      <c r="A24" s="300">
        <v>880</v>
      </c>
      <c r="B24" s="309" t="s">
        <v>10</v>
      </c>
      <c r="C24" s="212" t="s">
        <v>36</v>
      </c>
      <c r="D24" s="209">
        <f>3600/E24</f>
        <v>17.142857142857142</v>
      </c>
      <c r="E24" s="39">
        <v>210</v>
      </c>
      <c r="F24" s="34">
        <f t="shared" ref="F24:F61" si="9">E24*21</f>
        <v>4410</v>
      </c>
      <c r="G24" s="6">
        <v>611</v>
      </c>
      <c r="H24" s="205">
        <f t="shared" ref="H24:H62" si="10">G24/(E24*7)</f>
        <v>0.41564625850340137</v>
      </c>
      <c r="I24" s="1">
        <v>855</v>
      </c>
      <c r="J24" s="205">
        <f t="shared" ref="J24:J62" si="11">I24/(E24*7)</f>
        <v>0.58163265306122447</v>
      </c>
      <c r="K24" s="1">
        <v>905</v>
      </c>
      <c r="L24" s="205">
        <f t="shared" ref="L24:L62" si="12">K24/(E24*7)</f>
        <v>0.61564625850340138</v>
      </c>
      <c r="M24" s="33">
        <f t="shared" ref="M24:M57" si="13">G24+I24+K24</f>
        <v>2371</v>
      </c>
      <c r="N24" s="234">
        <f t="shared" ref="N24:N62" si="14">3600/(M24/21)</f>
        <v>31.885280472374529</v>
      </c>
      <c r="O24" s="222">
        <f t="shared" ref="O24:O61" si="15">M24-F24</f>
        <v>-2039</v>
      </c>
      <c r="P24" s="223">
        <f t="shared" si="8"/>
        <v>0.46235827664399093</v>
      </c>
      <c r="Q24" s="124"/>
    </row>
    <row r="25" spans="1:17" ht="20.100000000000001" customHeight="1">
      <c r="A25" s="300"/>
      <c r="B25" s="309"/>
      <c r="C25" s="212" t="s">
        <v>37</v>
      </c>
      <c r="D25" s="209">
        <f t="shared" ref="D25:D33" si="16">3600/E25</f>
        <v>28.8</v>
      </c>
      <c r="E25" s="39">
        <v>125</v>
      </c>
      <c r="F25" s="34">
        <f t="shared" si="9"/>
        <v>2625</v>
      </c>
      <c r="G25" s="6">
        <v>890</v>
      </c>
      <c r="H25" s="205">
        <f t="shared" si="10"/>
        <v>1.0171428571428571</v>
      </c>
      <c r="I25" s="1">
        <v>599</v>
      </c>
      <c r="J25" s="205">
        <f t="shared" si="11"/>
        <v>0.68457142857142861</v>
      </c>
      <c r="K25" s="1">
        <v>701</v>
      </c>
      <c r="L25" s="205">
        <f t="shared" si="12"/>
        <v>0.80114285714285716</v>
      </c>
      <c r="M25" s="33">
        <f t="shared" si="13"/>
        <v>2190</v>
      </c>
      <c r="N25" s="234">
        <f t="shared" si="14"/>
        <v>34.520547945205479</v>
      </c>
      <c r="O25" s="222">
        <f t="shared" si="15"/>
        <v>-435</v>
      </c>
      <c r="P25" s="223">
        <f t="shared" si="8"/>
        <v>0.1657142857142857</v>
      </c>
      <c r="Q25" s="124"/>
    </row>
    <row r="26" spans="1:17" ht="20.100000000000001" customHeight="1">
      <c r="A26" s="300"/>
      <c r="B26" s="309"/>
      <c r="C26" s="213" t="s">
        <v>38</v>
      </c>
      <c r="D26" s="209">
        <f t="shared" si="16"/>
        <v>52.941176470588232</v>
      </c>
      <c r="E26" s="39">
        <v>68</v>
      </c>
      <c r="F26" s="34">
        <f t="shared" si="9"/>
        <v>1428</v>
      </c>
      <c r="G26" s="6">
        <v>476</v>
      </c>
      <c r="H26" s="205">
        <f t="shared" si="10"/>
        <v>1</v>
      </c>
      <c r="I26" s="1">
        <v>755</v>
      </c>
      <c r="J26" s="205">
        <f t="shared" si="11"/>
        <v>1.5861344537815125</v>
      </c>
      <c r="K26" s="1">
        <v>517</v>
      </c>
      <c r="L26" s="205">
        <f t="shared" si="12"/>
        <v>1.0861344537815125</v>
      </c>
      <c r="M26" s="33">
        <f t="shared" si="13"/>
        <v>1748</v>
      </c>
      <c r="N26" s="234">
        <f t="shared" si="14"/>
        <v>43.249427917620139</v>
      </c>
      <c r="O26" s="39">
        <f t="shared" si="15"/>
        <v>320</v>
      </c>
      <c r="P26" s="231">
        <f t="shared" si="8"/>
        <v>-0.22408963585434175</v>
      </c>
      <c r="Q26" s="123" t="s">
        <v>188</v>
      </c>
    </row>
    <row r="27" spans="1:17" ht="20.100000000000001" customHeight="1">
      <c r="A27" s="300"/>
      <c r="B27" s="309"/>
      <c r="C27" s="213" t="s">
        <v>39</v>
      </c>
      <c r="D27" s="209">
        <f t="shared" si="16"/>
        <v>40.449438202247194</v>
      </c>
      <c r="E27" s="39">
        <v>89</v>
      </c>
      <c r="F27" s="34">
        <f t="shared" si="9"/>
        <v>1869</v>
      </c>
      <c r="G27" s="6">
        <v>461</v>
      </c>
      <c r="H27" s="205">
        <f t="shared" si="10"/>
        <v>0.7399678972712681</v>
      </c>
      <c r="I27" s="1">
        <v>470</v>
      </c>
      <c r="J27" s="205">
        <f t="shared" si="11"/>
        <v>0.75441412520064211</v>
      </c>
      <c r="K27" s="1">
        <v>571</v>
      </c>
      <c r="L27" s="205">
        <f t="shared" si="12"/>
        <v>0.9165329052969502</v>
      </c>
      <c r="M27" s="33">
        <f t="shared" si="13"/>
        <v>1502</v>
      </c>
      <c r="N27" s="234">
        <f t="shared" si="14"/>
        <v>50.332889480692415</v>
      </c>
      <c r="O27" s="222">
        <f t="shared" si="15"/>
        <v>-367</v>
      </c>
      <c r="P27" s="223">
        <f t="shared" si="8"/>
        <v>0.19636169074371321</v>
      </c>
      <c r="Q27" s="124"/>
    </row>
    <row r="28" spans="1:17" ht="20.100000000000001" hidden="1" customHeight="1">
      <c r="A28" s="300">
        <v>880</v>
      </c>
      <c r="B28" s="309" t="s">
        <v>19</v>
      </c>
      <c r="C28" s="212" t="s">
        <v>36</v>
      </c>
      <c r="D28" s="209">
        <f t="shared" si="16"/>
        <v>17.142857142857142</v>
      </c>
      <c r="E28" s="39">
        <v>210</v>
      </c>
      <c r="F28" s="34">
        <f t="shared" si="9"/>
        <v>4410</v>
      </c>
      <c r="G28" s="6"/>
      <c r="H28" s="205">
        <f t="shared" si="10"/>
        <v>0</v>
      </c>
      <c r="I28" s="1"/>
      <c r="J28" s="205">
        <f t="shared" si="11"/>
        <v>0</v>
      </c>
      <c r="K28" s="1"/>
      <c r="L28" s="205">
        <f t="shared" si="12"/>
        <v>0</v>
      </c>
      <c r="M28" s="33">
        <f t="shared" si="13"/>
        <v>0</v>
      </c>
      <c r="N28" s="234" t="e">
        <f>3600/(M28/21)</f>
        <v>#DIV/0!</v>
      </c>
      <c r="O28" s="222">
        <f t="shared" si="15"/>
        <v>-4410</v>
      </c>
      <c r="P28" s="223">
        <f t="shared" si="8"/>
        <v>1</v>
      </c>
      <c r="Q28" s="124"/>
    </row>
    <row r="29" spans="1:17" ht="20.100000000000001" hidden="1" customHeight="1">
      <c r="A29" s="300"/>
      <c r="B29" s="309"/>
      <c r="C29" s="212" t="s">
        <v>37</v>
      </c>
      <c r="D29" s="209">
        <f t="shared" si="16"/>
        <v>28.8</v>
      </c>
      <c r="E29" s="39">
        <v>125</v>
      </c>
      <c r="F29" s="34">
        <f t="shared" si="9"/>
        <v>2625</v>
      </c>
      <c r="G29" s="6"/>
      <c r="H29" s="205">
        <f t="shared" si="10"/>
        <v>0</v>
      </c>
      <c r="I29" s="1"/>
      <c r="J29" s="205">
        <f t="shared" si="11"/>
        <v>0</v>
      </c>
      <c r="K29" s="1"/>
      <c r="L29" s="205">
        <f t="shared" si="12"/>
        <v>0</v>
      </c>
      <c r="M29" s="33">
        <f t="shared" si="13"/>
        <v>0</v>
      </c>
      <c r="N29" s="234" t="e">
        <f t="shared" si="14"/>
        <v>#DIV/0!</v>
      </c>
      <c r="O29" s="222">
        <f t="shared" si="15"/>
        <v>-2625</v>
      </c>
      <c r="P29" s="223">
        <f t="shared" si="8"/>
        <v>1</v>
      </c>
      <c r="Q29" s="124"/>
    </row>
    <row r="30" spans="1:17" ht="20.100000000000001" hidden="1" customHeight="1">
      <c r="A30" s="300"/>
      <c r="B30" s="309"/>
      <c r="C30" s="213" t="s">
        <v>38</v>
      </c>
      <c r="D30" s="209">
        <f t="shared" si="16"/>
        <v>94.736842105263165</v>
      </c>
      <c r="E30" s="39">
        <v>38</v>
      </c>
      <c r="F30" s="34">
        <f t="shared" si="9"/>
        <v>798</v>
      </c>
      <c r="G30" s="6"/>
      <c r="H30" s="205">
        <f t="shared" si="10"/>
        <v>0</v>
      </c>
      <c r="I30" s="1"/>
      <c r="J30" s="205">
        <f t="shared" si="11"/>
        <v>0</v>
      </c>
      <c r="K30" s="1"/>
      <c r="L30" s="205">
        <f t="shared" si="12"/>
        <v>0</v>
      </c>
      <c r="M30" s="33">
        <f t="shared" si="13"/>
        <v>0</v>
      </c>
      <c r="N30" s="234" t="e">
        <f t="shared" si="14"/>
        <v>#DIV/0!</v>
      </c>
      <c r="O30" s="222">
        <f t="shared" si="15"/>
        <v>-798</v>
      </c>
      <c r="P30" s="223">
        <f t="shared" si="8"/>
        <v>1</v>
      </c>
      <c r="Q30" s="124"/>
    </row>
    <row r="31" spans="1:17" ht="20.100000000000001" hidden="1" customHeight="1">
      <c r="A31" s="300"/>
      <c r="B31" s="309"/>
      <c r="C31" s="213" t="s">
        <v>39</v>
      </c>
      <c r="D31" s="209">
        <f t="shared" si="16"/>
        <v>40.449438202247194</v>
      </c>
      <c r="E31" s="39">
        <v>89</v>
      </c>
      <c r="F31" s="34">
        <f t="shared" si="9"/>
        <v>1869</v>
      </c>
      <c r="G31" s="6"/>
      <c r="H31" s="205">
        <f t="shared" si="10"/>
        <v>0</v>
      </c>
      <c r="I31" s="1"/>
      <c r="J31" s="205">
        <f t="shared" si="11"/>
        <v>0</v>
      </c>
      <c r="K31" s="1"/>
      <c r="L31" s="205">
        <f t="shared" si="12"/>
        <v>0</v>
      </c>
      <c r="M31" s="33">
        <f t="shared" si="13"/>
        <v>0</v>
      </c>
      <c r="N31" s="234" t="e">
        <f t="shared" si="14"/>
        <v>#DIV/0!</v>
      </c>
      <c r="O31" s="222">
        <f t="shared" si="15"/>
        <v>-1869</v>
      </c>
      <c r="P31" s="223">
        <f t="shared" si="8"/>
        <v>1</v>
      </c>
      <c r="Q31" s="124"/>
    </row>
    <row r="32" spans="1:17" ht="20.100000000000001" customHeight="1">
      <c r="A32" s="300">
        <v>608</v>
      </c>
      <c r="B32" s="309" t="s">
        <v>10</v>
      </c>
      <c r="C32" s="213" t="s">
        <v>42</v>
      </c>
      <c r="D32" s="209">
        <f t="shared" si="16"/>
        <v>36.734693877551024</v>
      </c>
      <c r="E32" s="39">
        <v>98</v>
      </c>
      <c r="F32" s="34">
        <f t="shared" si="9"/>
        <v>2058</v>
      </c>
      <c r="G32" s="6">
        <v>321</v>
      </c>
      <c r="H32" s="205">
        <f t="shared" si="10"/>
        <v>0.46793002915451892</v>
      </c>
      <c r="I32" s="1">
        <v>335</v>
      </c>
      <c r="J32" s="205">
        <f t="shared" si="11"/>
        <v>0.48833819241982507</v>
      </c>
      <c r="K32" s="1">
        <v>329</v>
      </c>
      <c r="L32" s="205">
        <f t="shared" si="12"/>
        <v>0.47959183673469385</v>
      </c>
      <c r="M32" s="33">
        <f t="shared" si="13"/>
        <v>985</v>
      </c>
      <c r="N32" s="234">
        <f t="shared" si="14"/>
        <v>76.751269035532999</v>
      </c>
      <c r="O32" s="222">
        <f t="shared" si="15"/>
        <v>-1073</v>
      </c>
      <c r="P32" s="223">
        <f t="shared" si="8"/>
        <v>0.52137998056365409</v>
      </c>
      <c r="Q32" s="124"/>
    </row>
    <row r="33" spans="1:17" ht="20.100000000000001" customHeight="1">
      <c r="A33" s="300"/>
      <c r="B33" s="309"/>
      <c r="C33" s="213" t="s">
        <v>43</v>
      </c>
      <c r="D33" s="209">
        <f t="shared" si="16"/>
        <v>48.648648648648646</v>
      </c>
      <c r="E33" s="39">
        <v>74</v>
      </c>
      <c r="F33" s="34">
        <f t="shared" si="9"/>
        <v>1554</v>
      </c>
      <c r="G33" s="6">
        <v>343</v>
      </c>
      <c r="H33" s="205">
        <f t="shared" si="10"/>
        <v>0.66216216216216217</v>
      </c>
      <c r="I33" s="1">
        <v>310</v>
      </c>
      <c r="J33" s="205">
        <f t="shared" si="11"/>
        <v>0.59845559845559848</v>
      </c>
      <c r="K33" s="1">
        <v>327</v>
      </c>
      <c r="L33" s="205">
        <f t="shared" si="12"/>
        <v>0.63127413127413123</v>
      </c>
      <c r="M33" s="33">
        <f>G33+I33+K33</f>
        <v>980</v>
      </c>
      <c r="N33" s="234">
        <f t="shared" si="14"/>
        <v>77.142857142857153</v>
      </c>
      <c r="O33" s="222">
        <f t="shared" si="15"/>
        <v>-574</v>
      </c>
      <c r="P33" s="223">
        <f t="shared" si="8"/>
        <v>0.36936936936936937</v>
      </c>
      <c r="Q33" s="124"/>
    </row>
    <row r="34" spans="1:17" ht="20.100000000000001" customHeight="1">
      <c r="A34" s="300"/>
      <c r="B34" s="309"/>
      <c r="C34" s="1" t="s">
        <v>36</v>
      </c>
      <c r="D34" s="209">
        <f>3600/E34</f>
        <v>23.376623376623378</v>
      </c>
      <c r="E34" s="39">
        <v>154</v>
      </c>
      <c r="F34" s="34">
        <f t="shared" si="9"/>
        <v>3234</v>
      </c>
      <c r="G34" s="6">
        <v>642</v>
      </c>
      <c r="H34" s="205">
        <f t="shared" si="10"/>
        <v>0.59554730983302406</v>
      </c>
      <c r="I34" s="1">
        <v>599</v>
      </c>
      <c r="J34" s="205">
        <f t="shared" si="11"/>
        <v>0.55565862708719849</v>
      </c>
      <c r="K34" s="1">
        <v>678</v>
      </c>
      <c r="L34" s="205">
        <f t="shared" si="12"/>
        <v>0.6289424860853432</v>
      </c>
      <c r="M34" s="33">
        <f t="shared" si="13"/>
        <v>1919</v>
      </c>
      <c r="N34" s="234">
        <f t="shared" si="14"/>
        <v>39.39551849921834</v>
      </c>
      <c r="O34" s="222">
        <f t="shared" si="15"/>
        <v>-1315</v>
      </c>
      <c r="P34" s="223">
        <f t="shared" si="8"/>
        <v>0.40661719233147803</v>
      </c>
      <c r="Q34" s="124"/>
    </row>
    <row r="35" spans="1:17" ht="20.100000000000001" customHeight="1">
      <c r="A35" s="6">
        <v>480</v>
      </c>
      <c r="B35" s="1" t="s">
        <v>10</v>
      </c>
      <c r="C35" s="1" t="s">
        <v>14</v>
      </c>
      <c r="D35" s="209">
        <f t="shared" ref="D35:D62" si="17">3600/E35</f>
        <v>48</v>
      </c>
      <c r="E35" s="39">
        <v>75</v>
      </c>
      <c r="F35" s="34">
        <f t="shared" si="9"/>
        <v>1575</v>
      </c>
      <c r="G35" s="6">
        <v>384</v>
      </c>
      <c r="H35" s="205">
        <f t="shared" si="10"/>
        <v>0.73142857142857143</v>
      </c>
      <c r="I35" s="1">
        <v>429</v>
      </c>
      <c r="J35" s="205">
        <f t="shared" si="11"/>
        <v>0.81714285714285717</v>
      </c>
      <c r="K35" s="1">
        <v>402</v>
      </c>
      <c r="L35" s="205">
        <f t="shared" si="12"/>
        <v>0.76571428571428568</v>
      </c>
      <c r="M35" s="33">
        <f t="shared" si="13"/>
        <v>1215</v>
      </c>
      <c r="N35" s="234">
        <f t="shared" si="14"/>
        <v>62.222222222222229</v>
      </c>
      <c r="O35" s="222">
        <f t="shared" si="15"/>
        <v>-360</v>
      </c>
      <c r="P35" s="223">
        <f t="shared" si="8"/>
        <v>0.22857142857142856</v>
      </c>
      <c r="Q35" s="124"/>
    </row>
    <row r="36" spans="1:17" ht="20.100000000000001" hidden="1" customHeight="1">
      <c r="A36" s="6" t="s">
        <v>44</v>
      </c>
      <c r="B36" s="1" t="s">
        <v>10</v>
      </c>
      <c r="C36" s="1" t="s">
        <v>14</v>
      </c>
      <c r="D36" s="209">
        <f t="shared" si="17"/>
        <v>72</v>
      </c>
      <c r="E36" s="39">
        <v>50</v>
      </c>
      <c r="F36" s="34">
        <f t="shared" si="9"/>
        <v>1050</v>
      </c>
      <c r="G36" s="6"/>
      <c r="H36" s="205">
        <f t="shared" si="10"/>
        <v>0</v>
      </c>
      <c r="I36" s="1"/>
      <c r="J36" s="205">
        <f t="shared" si="11"/>
        <v>0</v>
      </c>
      <c r="K36" s="1"/>
      <c r="L36" s="205">
        <f t="shared" si="12"/>
        <v>0</v>
      </c>
      <c r="M36" s="33">
        <f t="shared" si="13"/>
        <v>0</v>
      </c>
      <c r="N36" s="234" t="e">
        <f t="shared" si="14"/>
        <v>#DIV/0!</v>
      </c>
      <c r="O36" s="222">
        <f t="shared" si="15"/>
        <v>-1050</v>
      </c>
      <c r="P36" s="223">
        <f t="shared" si="8"/>
        <v>1</v>
      </c>
      <c r="Q36" s="124"/>
    </row>
    <row r="37" spans="1:17" ht="20.100000000000001" hidden="1" customHeight="1">
      <c r="A37" s="6">
        <v>480</v>
      </c>
      <c r="B37" s="1" t="s">
        <v>19</v>
      </c>
      <c r="C37" s="1" t="s">
        <v>14</v>
      </c>
      <c r="D37" s="209">
        <f t="shared" si="17"/>
        <v>42.857142857142854</v>
      </c>
      <c r="E37" s="39">
        <v>84</v>
      </c>
      <c r="F37" s="34">
        <f t="shared" si="9"/>
        <v>1764</v>
      </c>
      <c r="G37" s="6"/>
      <c r="H37" s="205">
        <f t="shared" si="10"/>
        <v>0</v>
      </c>
      <c r="I37" s="1"/>
      <c r="J37" s="205">
        <f t="shared" si="11"/>
        <v>0</v>
      </c>
      <c r="K37" s="1"/>
      <c r="L37" s="205">
        <f t="shared" si="12"/>
        <v>0</v>
      </c>
      <c r="M37" s="33">
        <f t="shared" si="13"/>
        <v>0</v>
      </c>
      <c r="N37" s="234" t="e">
        <f t="shared" si="14"/>
        <v>#DIV/0!</v>
      </c>
      <c r="O37" s="222">
        <f t="shared" si="15"/>
        <v>-1764</v>
      </c>
      <c r="P37" s="223">
        <f t="shared" si="8"/>
        <v>1</v>
      </c>
      <c r="Q37" s="124"/>
    </row>
    <row r="38" spans="1:17" ht="20.100000000000001" hidden="1" customHeight="1">
      <c r="A38" s="6">
        <v>373</v>
      </c>
      <c r="B38" s="1" t="s">
        <v>10</v>
      </c>
      <c r="C38" s="1" t="s">
        <v>15</v>
      </c>
      <c r="D38" s="209">
        <f t="shared" si="17"/>
        <v>18.181818181818183</v>
      </c>
      <c r="E38" s="39">
        <v>198</v>
      </c>
      <c r="F38" s="34">
        <f t="shared" si="9"/>
        <v>4158</v>
      </c>
      <c r="G38" s="6"/>
      <c r="H38" s="205">
        <f t="shared" si="10"/>
        <v>0</v>
      </c>
      <c r="I38" s="1"/>
      <c r="J38" s="205">
        <f t="shared" si="11"/>
        <v>0</v>
      </c>
      <c r="K38" s="1"/>
      <c r="L38" s="205">
        <f t="shared" si="12"/>
        <v>0</v>
      </c>
      <c r="M38" s="33">
        <f t="shared" si="13"/>
        <v>0</v>
      </c>
      <c r="N38" s="234" t="e">
        <f t="shared" si="14"/>
        <v>#DIV/0!</v>
      </c>
      <c r="O38" s="222">
        <f t="shared" si="15"/>
        <v>-4158</v>
      </c>
      <c r="P38" s="223">
        <f t="shared" si="8"/>
        <v>1</v>
      </c>
      <c r="Q38" s="124"/>
    </row>
    <row r="39" spans="1:17" ht="20.100000000000001" customHeight="1">
      <c r="A39" s="300">
        <v>373</v>
      </c>
      <c r="B39" s="309" t="s">
        <v>19</v>
      </c>
      <c r="C39" s="1" t="s">
        <v>26</v>
      </c>
      <c r="D39" s="209">
        <f t="shared" si="17"/>
        <v>15.319148936170214</v>
      </c>
      <c r="E39" s="39">
        <v>235</v>
      </c>
      <c r="F39" s="34">
        <f t="shared" si="9"/>
        <v>4935</v>
      </c>
      <c r="G39" s="6">
        <v>983</v>
      </c>
      <c r="H39" s="205">
        <f t="shared" si="10"/>
        <v>0.59756838905775078</v>
      </c>
      <c r="I39" s="1">
        <v>1239</v>
      </c>
      <c r="J39" s="205">
        <f t="shared" si="11"/>
        <v>0.7531914893617021</v>
      </c>
      <c r="K39" s="1">
        <v>1202</v>
      </c>
      <c r="L39" s="205">
        <f>K39/(E39*7)</f>
        <v>0.73069908814589668</v>
      </c>
      <c r="M39" s="33">
        <f>G39+I39+K39</f>
        <v>3424</v>
      </c>
      <c r="N39" s="234">
        <f t="shared" si="14"/>
        <v>22.079439252336449</v>
      </c>
      <c r="O39" s="222">
        <f t="shared" si="15"/>
        <v>-1511</v>
      </c>
      <c r="P39" s="223">
        <f t="shared" si="8"/>
        <v>0.30618034447821679</v>
      </c>
      <c r="Q39" s="123"/>
    </row>
    <row r="40" spans="1:17" ht="20.100000000000001" customHeight="1">
      <c r="A40" s="300"/>
      <c r="B40" s="309"/>
      <c r="C40" s="1" t="s">
        <v>45</v>
      </c>
      <c r="D40" s="209">
        <f t="shared" si="17"/>
        <v>20.11173184357542</v>
      </c>
      <c r="E40" s="39">
        <v>179</v>
      </c>
      <c r="F40" s="34">
        <f t="shared" si="9"/>
        <v>3759</v>
      </c>
      <c r="G40" s="6">
        <v>857</v>
      </c>
      <c r="H40" s="205">
        <f t="shared" si="10"/>
        <v>0.68395849960095767</v>
      </c>
      <c r="I40" s="1">
        <v>708</v>
      </c>
      <c r="J40" s="205">
        <f t="shared" si="11"/>
        <v>0.56504389465283322</v>
      </c>
      <c r="K40" s="1">
        <v>781</v>
      </c>
      <c r="L40" s="205">
        <f t="shared" si="12"/>
        <v>0.62330407023144452</v>
      </c>
      <c r="M40" s="33">
        <f t="shared" si="13"/>
        <v>2346</v>
      </c>
      <c r="N40" s="234">
        <f t="shared" si="14"/>
        <v>32.225063938618931</v>
      </c>
      <c r="O40" s="222">
        <f t="shared" si="15"/>
        <v>-1413</v>
      </c>
      <c r="P40" s="223">
        <f t="shared" si="8"/>
        <v>0.3758978451715882</v>
      </c>
      <c r="Q40" s="124"/>
    </row>
    <row r="41" spans="1:17" ht="20.100000000000001" customHeight="1">
      <c r="A41" s="300"/>
      <c r="B41" s="309"/>
      <c r="C41" s="1" t="s">
        <v>46</v>
      </c>
      <c r="D41" s="209">
        <f t="shared" si="17"/>
        <v>36</v>
      </c>
      <c r="E41" s="39">
        <v>100</v>
      </c>
      <c r="F41" s="34">
        <f t="shared" si="9"/>
        <v>2100</v>
      </c>
      <c r="G41" s="6">
        <v>717</v>
      </c>
      <c r="H41" s="205">
        <f t="shared" si="10"/>
        <v>1.0242857142857142</v>
      </c>
      <c r="I41" s="1">
        <v>943</v>
      </c>
      <c r="J41" s="205">
        <f t="shared" si="11"/>
        <v>1.3471428571428572</v>
      </c>
      <c r="K41" s="1">
        <v>813</v>
      </c>
      <c r="L41" s="205">
        <f t="shared" si="12"/>
        <v>1.1614285714285715</v>
      </c>
      <c r="M41" s="33">
        <f t="shared" si="13"/>
        <v>2473</v>
      </c>
      <c r="N41" s="234">
        <f t="shared" si="14"/>
        <v>30.5701577031945</v>
      </c>
      <c r="O41" s="39">
        <f t="shared" si="15"/>
        <v>373</v>
      </c>
      <c r="P41" s="231">
        <f t="shared" si="8"/>
        <v>-0.17761904761904762</v>
      </c>
      <c r="Q41" s="123" t="s">
        <v>188</v>
      </c>
    </row>
    <row r="42" spans="1:17" ht="20.100000000000001" customHeight="1">
      <c r="A42" s="6">
        <v>878</v>
      </c>
      <c r="B42" s="1" t="s">
        <v>10</v>
      </c>
      <c r="C42" s="1" t="s">
        <v>36</v>
      </c>
      <c r="D42" s="209">
        <f t="shared" si="17"/>
        <v>17.142857142857142</v>
      </c>
      <c r="E42" s="39">
        <v>210</v>
      </c>
      <c r="F42" s="34">
        <f t="shared" si="9"/>
        <v>4410</v>
      </c>
      <c r="G42" s="6">
        <v>600</v>
      </c>
      <c r="H42" s="205">
        <f t="shared" si="10"/>
        <v>0.40816326530612246</v>
      </c>
      <c r="I42" s="1">
        <v>413</v>
      </c>
      <c r="J42" s="205">
        <f t="shared" si="11"/>
        <v>0.28095238095238095</v>
      </c>
      <c r="K42" s="1">
        <v>563</v>
      </c>
      <c r="L42" s="205">
        <f t="shared" si="12"/>
        <v>0.38299319727891157</v>
      </c>
      <c r="M42" s="33">
        <f t="shared" si="13"/>
        <v>1576</v>
      </c>
      <c r="N42" s="234">
        <f t="shared" si="14"/>
        <v>47.969543147208121</v>
      </c>
      <c r="O42" s="222">
        <f t="shared" si="15"/>
        <v>-2834</v>
      </c>
      <c r="P42" s="223">
        <f t="shared" si="8"/>
        <v>0.64263038548752838</v>
      </c>
      <c r="Q42" s="124"/>
    </row>
    <row r="43" spans="1:17" ht="20.100000000000001" customHeight="1">
      <c r="A43" s="300">
        <v>878</v>
      </c>
      <c r="B43" s="309" t="s">
        <v>47</v>
      </c>
      <c r="C43" s="1" t="s">
        <v>16</v>
      </c>
      <c r="D43" s="209">
        <f t="shared" si="17"/>
        <v>97.297297297297291</v>
      </c>
      <c r="E43" s="39">
        <v>37</v>
      </c>
      <c r="F43" s="34">
        <f t="shared" si="9"/>
        <v>777</v>
      </c>
      <c r="G43" s="6">
        <v>232</v>
      </c>
      <c r="H43" s="205">
        <f t="shared" si="10"/>
        <v>0.89575289575289574</v>
      </c>
      <c r="I43" s="1">
        <v>233</v>
      </c>
      <c r="J43" s="205">
        <f t="shared" si="11"/>
        <v>0.89961389961389959</v>
      </c>
      <c r="K43" s="1">
        <v>273</v>
      </c>
      <c r="L43" s="205">
        <f t="shared" si="12"/>
        <v>1.0540540540540539</v>
      </c>
      <c r="M43" s="33">
        <f t="shared" si="13"/>
        <v>738</v>
      </c>
      <c r="N43" s="234">
        <f t="shared" si="14"/>
        <v>102.43902439024389</v>
      </c>
      <c r="O43" s="222">
        <f t="shared" si="15"/>
        <v>-39</v>
      </c>
      <c r="P43" s="223">
        <f t="shared" si="8"/>
        <v>5.019305019305019E-2</v>
      </c>
      <c r="Q43" s="124"/>
    </row>
    <row r="44" spans="1:17" ht="20.100000000000001" customHeight="1">
      <c r="A44" s="300"/>
      <c r="B44" s="309"/>
      <c r="C44" s="1" t="s">
        <v>48</v>
      </c>
      <c r="D44" s="209">
        <f t="shared" si="17"/>
        <v>31.304347826086957</v>
      </c>
      <c r="E44" s="39">
        <v>115</v>
      </c>
      <c r="F44" s="34">
        <f t="shared" si="9"/>
        <v>2415</v>
      </c>
      <c r="G44" s="6">
        <v>306</v>
      </c>
      <c r="H44" s="205">
        <f t="shared" si="10"/>
        <v>0.38012422360248449</v>
      </c>
      <c r="I44" s="1">
        <v>384</v>
      </c>
      <c r="J44" s="205">
        <f t="shared" si="11"/>
        <v>0.47701863354037266</v>
      </c>
      <c r="K44" s="1">
        <v>347</v>
      </c>
      <c r="L44" s="205">
        <f t="shared" si="12"/>
        <v>0.43105590062111804</v>
      </c>
      <c r="M44" s="33">
        <f t="shared" si="13"/>
        <v>1037</v>
      </c>
      <c r="N44" s="234">
        <f t="shared" si="14"/>
        <v>72.902603664416588</v>
      </c>
      <c r="O44" s="222">
        <f t="shared" si="15"/>
        <v>-1378</v>
      </c>
      <c r="P44" s="223">
        <f t="shared" si="8"/>
        <v>0.5706004140786749</v>
      </c>
      <c r="Q44" s="124"/>
    </row>
    <row r="45" spans="1:17" ht="20.100000000000001" customHeight="1">
      <c r="A45" s="300"/>
      <c r="B45" s="309"/>
      <c r="C45" s="1" t="s">
        <v>49</v>
      </c>
      <c r="D45" s="209">
        <f t="shared" si="17"/>
        <v>21.301775147928993</v>
      </c>
      <c r="E45" s="39">
        <v>169</v>
      </c>
      <c r="F45" s="34">
        <f t="shared" si="9"/>
        <v>3549</v>
      </c>
      <c r="G45" s="6">
        <v>212</v>
      </c>
      <c r="H45" s="205">
        <f t="shared" si="10"/>
        <v>0.17920540997464074</v>
      </c>
      <c r="I45" s="1">
        <v>143</v>
      </c>
      <c r="J45" s="205">
        <f t="shared" si="11"/>
        <v>0.12087912087912088</v>
      </c>
      <c r="K45" s="1">
        <v>177</v>
      </c>
      <c r="L45" s="205">
        <f t="shared" si="12"/>
        <v>0.14961961115807271</v>
      </c>
      <c r="M45" s="33">
        <f>G45+I45+K45</f>
        <v>532</v>
      </c>
      <c r="N45" s="234">
        <f t="shared" si="14"/>
        <v>142.10526315789474</v>
      </c>
      <c r="O45" s="222">
        <f>M45-F45</f>
        <v>-3017</v>
      </c>
      <c r="P45" s="223">
        <f t="shared" si="8"/>
        <v>0.85009861932938857</v>
      </c>
      <c r="Q45" s="124"/>
    </row>
    <row r="46" spans="1:17" ht="20.100000000000001" customHeight="1">
      <c r="A46" s="300"/>
      <c r="B46" s="309"/>
      <c r="C46" s="1" t="s">
        <v>50</v>
      </c>
      <c r="D46" s="209">
        <f t="shared" si="17"/>
        <v>72</v>
      </c>
      <c r="E46" s="39">
        <v>50</v>
      </c>
      <c r="F46" s="34">
        <f>E46*21</f>
        <v>1050</v>
      </c>
      <c r="G46" s="6">
        <v>125</v>
      </c>
      <c r="H46" s="205">
        <f t="shared" si="10"/>
        <v>0.35714285714285715</v>
      </c>
      <c r="I46" s="1">
        <v>152</v>
      </c>
      <c r="J46" s="205">
        <f t="shared" si="11"/>
        <v>0.43428571428571427</v>
      </c>
      <c r="K46" s="1">
        <v>125</v>
      </c>
      <c r="L46" s="205">
        <f t="shared" si="12"/>
        <v>0.35714285714285715</v>
      </c>
      <c r="M46" s="33">
        <f t="shared" si="13"/>
        <v>402</v>
      </c>
      <c r="N46" s="234">
        <f t="shared" si="14"/>
        <v>188.05970149253733</v>
      </c>
      <c r="O46" s="222">
        <f t="shared" si="15"/>
        <v>-648</v>
      </c>
      <c r="P46" s="223">
        <f t="shared" si="8"/>
        <v>0.6171428571428571</v>
      </c>
      <c r="Q46" s="123"/>
    </row>
    <row r="47" spans="1:17" ht="20.100000000000001" customHeight="1">
      <c r="A47" s="300"/>
      <c r="B47" s="309"/>
      <c r="C47" s="1" t="s">
        <v>51</v>
      </c>
      <c r="D47" s="209">
        <f t="shared" si="17"/>
        <v>100</v>
      </c>
      <c r="E47" s="39">
        <v>36</v>
      </c>
      <c r="F47" s="34">
        <f t="shared" si="9"/>
        <v>756</v>
      </c>
      <c r="G47" s="6">
        <v>153</v>
      </c>
      <c r="H47" s="205">
        <f t="shared" si="10"/>
        <v>0.6071428571428571</v>
      </c>
      <c r="I47" s="1">
        <v>260</v>
      </c>
      <c r="J47" s="205">
        <f t="shared" si="11"/>
        <v>1.0317460317460319</v>
      </c>
      <c r="K47" s="1">
        <v>195</v>
      </c>
      <c r="L47" s="205">
        <f t="shared" si="12"/>
        <v>0.77380952380952384</v>
      </c>
      <c r="M47" s="33">
        <f t="shared" si="13"/>
        <v>608</v>
      </c>
      <c r="N47" s="234">
        <f t="shared" si="14"/>
        <v>124.34210526315789</v>
      </c>
      <c r="O47" s="222">
        <f t="shared" si="15"/>
        <v>-148</v>
      </c>
      <c r="P47" s="223">
        <f t="shared" si="8"/>
        <v>0.19576719576719576</v>
      </c>
      <c r="Q47" s="124"/>
    </row>
    <row r="48" spans="1:17" ht="20.100000000000001" customHeight="1">
      <c r="A48" s="300">
        <v>878</v>
      </c>
      <c r="B48" s="309" t="s">
        <v>19</v>
      </c>
      <c r="C48" s="1" t="s">
        <v>36</v>
      </c>
      <c r="D48" s="209">
        <f t="shared" si="17"/>
        <v>19.251336898395721</v>
      </c>
      <c r="E48" s="39">
        <v>187</v>
      </c>
      <c r="F48" s="34">
        <f t="shared" si="9"/>
        <v>3927</v>
      </c>
      <c r="G48" s="6">
        <v>484</v>
      </c>
      <c r="H48" s="205">
        <f t="shared" si="10"/>
        <v>0.36974789915966388</v>
      </c>
      <c r="I48" s="1"/>
      <c r="J48" s="205">
        <f t="shared" si="11"/>
        <v>0</v>
      </c>
      <c r="K48" s="1">
        <v>925</v>
      </c>
      <c r="L48" s="205">
        <f t="shared" si="12"/>
        <v>0.70664629488158903</v>
      </c>
      <c r="M48" s="33">
        <f t="shared" si="13"/>
        <v>1409</v>
      </c>
      <c r="N48" s="234">
        <f t="shared" si="14"/>
        <v>53.655074520936829</v>
      </c>
      <c r="O48" s="222">
        <f t="shared" si="15"/>
        <v>-2518</v>
      </c>
      <c r="P48" s="223">
        <f t="shared" si="8"/>
        <v>0.64120193531958236</v>
      </c>
      <c r="Q48" s="124"/>
    </row>
    <row r="49" spans="1:17" ht="20.100000000000001" customHeight="1">
      <c r="A49" s="300"/>
      <c r="B49" s="309"/>
      <c r="C49" s="1" t="s">
        <v>49</v>
      </c>
      <c r="D49" s="209">
        <f t="shared" si="17"/>
        <v>17.733990147783253</v>
      </c>
      <c r="E49" s="39">
        <v>203</v>
      </c>
      <c r="F49" s="34">
        <f t="shared" si="9"/>
        <v>4263</v>
      </c>
      <c r="G49" s="6">
        <v>274</v>
      </c>
      <c r="H49" s="205">
        <f t="shared" si="10"/>
        <v>0.1928219563687544</v>
      </c>
      <c r="I49" s="1">
        <v>315</v>
      </c>
      <c r="J49" s="205">
        <f t="shared" si="11"/>
        <v>0.22167487684729065</v>
      </c>
      <c r="K49" s="1">
        <v>290</v>
      </c>
      <c r="L49" s="205">
        <f t="shared" si="12"/>
        <v>0.20408163265306123</v>
      </c>
      <c r="M49" s="33">
        <f t="shared" si="13"/>
        <v>879</v>
      </c>
      <c r="N49" s="234">
        <f t="shared" si="14"/>
        <v>86.006825938566564</v>
      </c>
      <c r="O49" s="222">
        <f t="shared" si="15"/>
        <v>-3384</v>
      </c>
      <c r="P49" s="223">
        <f t="shared" si="8"/>
        <v>0.79380717804363121</v>
      </c>
      <c r="Q49" s="124"/>
    </row>
    <row r="50" spans="1:17" ht="20.100000000000001" customHeight="1">
      <c r="A50" s="300"/>
      <c r="B50" s="309"/>
      <c r="C50" s="1" t="s">
        <v>52</v>
      </c>
      <c r="D50" s="209">
        <f t="shared" si="17"/>
        <v>31.578947368421051</v>
      </c>
      <c r="E50" s="39">
        <v>114</v>
      </c>
      <c r="F50" s="34">
        <f t="shared" si="9"/>
        <v>2394</v>
      </c>
      <c r="G50" s="6">
        <v>320</v>
      </c>
      <c r="H50" s="205">
        <f t="shared" si="10"/>
        <v>0.40100250626566414</v>
      </c>
      <c r="I50" s="1">
        <v>388</v>
      </c>
      <c r="J50" s="205">
        <f t="shared" si="11"/>
        <v>0.48621553884711777</v>
      </c>
      <c r="K50" s="1">
        <v>298</v>
      </c>
      <c r="L50" s="205">
        <f t="shared" si="12"/>
        <v>0.37343358395989973</v>
      </c>
      <c r="M50" s="33">
        <f t="shared" si="13"/>
        <v>1006</v>
      </c>
      <c r="N50" s="234">
        <f t="shared" si="14"/>
        <v>75.14910536779324</v>
      </c>
      <c r="O50" s="222">
        <f t="shared" si="15"/>
        <v>-1388</v>
      </c>
      <c r="P50" s="223">
        <f t="shared" si="8"/>
        <v>0.57978279030910607</v>
      </c>
      <c r="Q50" s="124"/>
    </row>
    <row r="51" spans="1:17" ht="20.100000000000001" customHeight="1">
      <c r="A51" s="300"/>
      <c r="B51" s="309"/>
      <c r="C51" s="1" t="s">
        <v>16</v>
      </c>
      <c r="D51" s="209">
        <f t="shared" si="17"/>
        <v>83.720930232558146</v>
      </c>
      <c r="E51" s="39">
        <v>43</v>
      </c>
      <c r="F51" s="34">
        <f t="shared" si="9"/>
        <v>903</v>
      </c>
      <c r="G51" s="6">
        <v>253</v>
      </c>
      <c r="H51" s="205">
        <f t="shared" si="10"/>
        <v>0.84053156146179397</v>
      </c>
      <c r="I51" s="1">
        <v>228</v>
      </c>
      <c r="J51" s="205">
        <f t="shared" si="11"/>
        <v>0.75747508305647837</v>
      </c>
      <c r="K51" s="1">
        <v>282</v>
      </c>
      <c r="L51" s="205">
        <f t="shared" si="12"/>
        <v>0.93687707641196016</v>
      </c>
      <c r="M51" s="33">
        <f t="shared" si="13"/>
        <v>763</v>
      </c>
      <c r="N51" s="234">
        <f t="shared" si="14"/>
        <v>99.082568807339442</v>
      </c>
      <c r="O51" s="222">
        <f t="shared" si="15"/>
        <v>-140</v>
      </c>
      <c r="P51" s="223">
        <f t="shared" si="8"/>
        <v>0.15503875968992248</v>
      </c>
      <c r="Q51" s="124"/>
    </row>
    <row r="52" spans="1:17" ht="20.100000000000001" customHeight="1">
      <c r="A52" s="300"/>
      <c r="B52" s="309"/>
      <c r="C52" s="1" t="s">
        <v>17</v>
      </c>
      <c r="D52" s="209">
        <f t="shared" si="17"/>
        <v>41.860465116279073</v>
      </c>
      <c r="E52" s="39">
        <v>86</v>
      </c>
      <c r="F52" s="34">
        <f t="shared" si="9"/>
        <v>1806</v>
      </c>
      <c r="G52" s="6">
        <v>278</v>
      </c>
      <c r="H52" s="205">
        <f t="shared" si="10"/>
        <v>0.46179401993355484</v>
      </c>
      <c r="I52" s="1">
        <v>250</v>
      </c>
      <c r="J52" s="205">
        <f t="shared" si="11"/>
        <v>0.41528239202657807</v>
      </c>
      <c r="K52" s="1">
        <v>243</v>
      </c>
      <c r="L52" s="205">
        <f t="shared" si="12"/>
        <v>0.40365448504983387</v>
      </c>
      <c r="M52" s="33">
        <f t="shared" si="13"/>
        <v>771</v>
      </c>
      <c r="N52" s="234">
        <f t="shared" si="14"/>
        <v>98.054474708171199</v>
      </c>
      <c r="O52" s="222">
        <f t="shared" si="15"/>
        <v>-1035</v>
      </c>
      <c r="P52" s="223">
        <f t="shared" si="8"/>
        <v>0.57308970099667778</v>
      </c>
      <c r="Q52" s="124"/>
    </row>
    <row r="53" spans="1:17" ht="20.100000000000001" customHeight="1">
      <c r="A53" s="300">
        <v>1906</v>
      </c>
      <c r="B53" s="309" t="s">
        <v>10</v>
      </c>
      <c r="C53" s="1" t="s">
        <v>53</v>
      </c>
      <c r="D53" s="209">
        <f t="shared" si="17"/>
        <v>24.489795918367346</v>
      </c>
      <c r="E53" s="39">
        <v>147</v>
      </c>
      <c r="F53" s="34">
        <f t="shared" si="9"/>
        <v>3087</v>
      </c>
      <c r="G53" s="6">
        <v>151</v>
      </c>
      <c r="H53" s="205">
        <f t="shared" si="10"/>
        <v>0.14674441205053451</v>
      </c>
      <c r="I53" s="1">
        <v>362</v>
      </c>
      <c r="J53" s="205">
        <f t="shared" si="11"/>
        <v>0.35179786200194363</v>
      </c>
      <c r="K53" s="1">
        <v>275</v>
      </c>
      <c r="L53" s="205">
        <f t="shared" si="12"/>
        <v>0.26724975704567544</v>
      </c>
      <c r="M53" s="33">
        <f t="shared" si="13"/>
        <v>788</v>
      </c>
      <c r="N53" s="234">
        <f t="shared" si="14"/>
        <v>95.939086294416242</v>
      </c>
      <c r="O53" s="222">
        <f t="shared" si="15"/>
        <v>-2299</v>
      </c>
      <c r="P53" s="223">
        <f t="shared" si="8"/>
        <v>0.74473598963394882</v>
      </c>
      <c r="Q53" s="124"/>
    </row>
    <row r="54" spans="1:17" ht="20.100000000000001" customHeight="1">
      <c r="A54" s="300"/>
      <c r="B54" s="309"/>
      <c r="C54" s="1" t="s">
        <v>36</v>
      </c>
      <c r="D54" s="209">
        <f t="shared" si="17"/>
        <v>59.016393442622949</v>
      </c>
      <c r="E54" s="39">
        <v>61</v>
      </c>
      <c r="F54" s="34">
        <f t="shared" si="9"/>
        <v>1281</v>
      </c>
      <c r="G54" s="6">
        <v>197</v>
      </c>
      <c r="H54" s="205">
        <f t="shared" si="10"/>
        <v>0.46135831381733022</v>
      </c>
      <c r="I54" s="1">
        <v>186</v>
      </c>
      <c r="J54" s="205">
        <f t="shared" si="11"/>
        <v>0.43559718969555034</v>
      </c>
      <c r="K54" s="1">
        <v>247</v>
      </c>
      <c r="L54" s="205">
        <f t="shared" si="12"/>
        <v>0.57845433255269318</v>
      </c>
      <c r="M54" s="33">
        <f t="shared" si="13"/>
        <v>630</v>
      </c>
      <c r="N54" s="234">
        <f t="shared" si="14"/>
        <v>120</v>
      </c>
      <c r="O54" s="222">
        <f t="shared" si="15"/>
        <v>-651</v>
      </c>
      <c r="P54" s="223">
        <f t="shared" si="8"/>
        <v>0.50819672131147542</v>
      </c>
      <c r="Q54" s="124"/>
    </row>
    <row r="55" spans="1:17" ht="20.100000000000001" customHeight="1">
      <c r="A55" s="300"/>
      <c r="B55" s="309"/>
      <c r="C55" s="1" t="s">
        <v>54</v>
      </c>
      <c r="D55" s="209">
        <f t="shared" si="17"/>
        <v>163.63636363636363</v>
      </c>
      <c r="E55" s="39">
        <v>22</v>
      </c>
      <c r="F55" s="34">
        <f t="shared" si="9"/>
        <v>462</v>
      </c>
      <c r="G55" s="6">
        <v>77</v>
      </c>
      <c r="H55" s="205">
        <f t="shared" si="10"/>
        <v>0.5</v>
      </c>
      <c r="I55" s="1">
        <v>129</v>
      </c>
      <c r="J55" s="205">
        <f t="shared" si="11"/>
        <v>0.83766233766233766</v>
      </c>
      <c r="K55" s="1">
        <v>138</v>
      </c>
      <c r="L55" s="205">
        <f t="shared" si="12"/>
        <v>0.89610389610389607</v>
      </c>
      <c r="M55" s="33">
        <f>G55+I55+K55</f>
        <v>344</v>
      </c>
      <c r="N55" s="234">
        <f t="shared" si="14"/>
        <v>219.76744186046514</v>
      </c>
      <c r="O55" s="222">
        <f>M55-F55</f>
        <v>-118</v>
      </c>
      <c r="P55" s="223">
        <f t="shared" si="8"/>
        <v>0.25541125541125542</v>
      </c>
      <c r="Q55" s="124"/>
    </row>
    <row r="56" spans="1:17" ht="20.100000000000001" customHeight="1">
      <c r="A56" s="300"/>
      <c r="B56" s="309"/>
      <c r="C56" s="1" t="s">
        <v>55</v>
      </c>
      <c r="D56" s="209">
        <f t="shared" si="17"/>
        <v>100</v>
      </c>
      <c r="E56" s="39">
        <v>36</v>
      </c>
      <c r="F56" s="34">
        <f t="shared" si="9"/>
        <v>756</v>
      </c>
      <c r="G56" s="6">
        <v>134</v>
      </c>
      <c r="H56" s="205">
        <f t="shared" si="10"/>
        <v>0.53174603174603174</v>
      </c>
      <c r="I56" s="1">
        <v>207</v>
      </c>
      <c r="J56" s="205">
        <f t="shared" si="11"/>
        <v>0.8214285714285714</v>
      </c>
      <c r="K56" s="1">
        <v>88</v>
      </c>
      <c r="L56" s="205">
        <f t="shared" si="12"/>
        <v>0.34920634920634919</v>
      </c>
      <c r="M56" s="33">
        <f t="shared" si="13"/>
        <v>429</v>
      </c>
      <c r="N56" s="234">
        <f t="shared" si="14"/>
        <v>176.22377622377624</v>
      </c>
      <c r="O56" s="222">
        <f t="shared" si="15"/>
        <v>-327</v>
      </c>
      <c r="P56" s="223">
        <f t="shared" si="8"/>
        <v>0.43253968253968256</v>
      </c>
      <c r="Q56" s="124"/>
    </row>
    <row r="57" spans="1:17" ht="20.100000000000001" customHeight="1">
      <c r="A57" s="300"/>
      <c r="B57" s="309"/>
      <c r="C57" s="1" t="s">
        <v>56</v>
      </c>
      <c r="D57" s="209">
        <f t="shared" si="17"/>
        <v>100</v>
      </c>
      <c r="E57" s="39">
        <v>36</v>
      </c>
      <c r="F57" s="34">
        <f t="shared" si="9"/>
        <v>756</v>
      </c>
      <c r="G57" s="6">
        <v>98</v>
      </c>
      <c r="H57" s="205">
        <f t="shared" si="10"/>
        <v>0.3888888888888889</v>
      </c>
      <c r="I57" s="1">
        <v>163</v>
      </c>
      <c r="J57" s="205">
        <f t="shared" si="11"/>
        <v>0.64682539682539686</v>
      </c>
      <c r="K57" s="1">
        <v>97</v>
      </c>
      <c r="L57" s="205">
        <f t="shared" si="12"/>
        <v>0.38492063492063494</v>
      </c>
      <c r="M57" s="33">
        <f t="shared" si="13"/>
        <v>358</v>
      </c>
      <c r="N57" s="234">
        <f t="shared" si="14"/>
        <v>211.17318435754191</v>
      </c>
      <c r="O57" s="222">
        <f t="shared" si="15"/>
        <v>-398</v>
      </c>
      <c r="P57" s="223">
        <f t="shared" si="8"/>
        <v>0.52645502645502651</v>
      </c>
      <c r="Q57" s="124"/>
    </row>
    <row r="58" spans="1:17" ht="20.100000000000001" customHeight="1">
      <c r="A58" s="300"/>
      <c r="B58" s="309"/>
      <c r="C58" s="1" t="s">
        <v>30</v>
      </c>
      <c r="D58" s="209">
        <f t="shared" si="17"/>
        <v>12</v>
      </c>
      <c r="E58" s="39">
        <v>300</v>
      </c>
      <c r="F58" s="34">
        <f t="shared" si="9"/>
        <v>6300</v>
      </c>
      <c r="G58" s="6">
        <v>774</v>
      </c>
      <c r="H58" s="205">
        <f t="shared" si="10"/>
        <v>0.36857142857142855</v>
      </c>
      <c r="I58" s="1"/>
      <c r="J58" s="205">
        <f t="shared" si="11"/>
        <v>0</v>
      </c>
      <c r="K58" s="1">
        <v>162</v>
      </c>
      <c r="L58" s="205">
        <f t="shared" si="12"/>
        <v>7.7142857142857138E-2</v>
      </c>
      <c r="M58" s="33">
        <f>G58+I58+K58</f>
        <v>936</v>
      </c>
      <c r="N58" s="234">
        <f t="shared" si="14"/>
        <v>80.769230769230774</v>
      </c>
      <c r="O58" s="222">
        <f t="shared" si="15"/>
        <v>-5364</v>
      </c>
      <c r="P58" s="223">
        <f t="shared" si="8"/>
        <v>0.85142857142857142</v>
      </c>
      <c r="Q58" s="124"/>
    </row>
    <row r="59" spans="1:17" ht="20.100000000000001" hidden="1" customHeight="1">
      <c r="A59" s="300">
        <v>468</v>
      </c>
      <c r="B59" s="309" t="s">
        <v>19</v>
      </c>
      <c r="C59" s="1" t="s">
        <v>57</v>
      </c>
      <c r="D59" s="209">
        <f t="shared" si="17"/>
        <v>53.731343283582092</v>
      </c>
      <c r="E59" s="39">
        <v>67</v>
      </c>
      <c r="F59" s="34">
        <f t="shared" si="9"/>
        <v>1407</v>
      </c>
      <c r="G59" s="6"/>
      <c r="H59" s="205">
        <f t="shared" si="10"/>
        <v>0</v>
      </c>
      <c r="I59" s="1"/>
      <c r="J59" s="205">
        <f t="shared" si="11"/>
        <v>0</v>
      </c>
      <c r="K59" s="1"/>
      <c r="L59" s="205">
        <f t="shared" si="12"/>
        <v>0</v>
      </c>
      <c r="M59" s="33">
        <f t="shared" ref="M59:M61" si="18">G59+I59+K59</f>
        <v>0</v>
      </c>
      <c r="N59" s="234" t="e">
        <f t="shared" si="14"/>
        <v>#DIV/0!</v>
      </c>
      <c r="O59" s="222">
        <f t="shared" si="15"/>
        <v>-1407</v>
      </c>
      <c r="P59" s="223">
        <f t="shared" si="8"/>
        <v>1</v>
      </c>
      <c r="Q59" s="124"/>
    </row>
    <row r="60" spans="1:17" ht="20.100000000000001" hidden="1" customHeight="1" thickBot="1">
      <c r="A60" s="300"/>
      <c r="B60" s="309"/>
      <c r="C60" s="1" t="s">
        <v>58</v>
      </c>
      <c r="D60" s="209">
        <f t="shared" si="17"/>
        <v>57.142857142857146</v>
      </c>
      <c r="E60" s="39">
        <v>63</v>
      </c>
      <c r="F60" s="34">
        <f t="shared" si="9"/>
        <v>1323</v>
      </c>
      <c r="G60" s="6"/>
      <c r="H60" s="205">
        <f t="shared" si="10"/>
        <v>0</v>
      </c>
      <c r="I60" s="1"/>
      <c r="J60" s="205">
        <f t="shared" si="11"/>
        <v>0</v>
      </c>
      <c r="K60" s="1"/>
      <c r="L60" s="205">
        <f t="shared" si="12"/>
        <v>0</v>
      </c>
      <c r="M60" s="33">
        <f t="shared" si="18"/>
        <v>0</v>
      </c>
      <c r="N60" s="234" t="e">
        <f t="shared" si="14"/>
        <v>#DIV/0!</v>
      </c>
      <c r="O60" s="222">
        <f t="shared" si="15"/>
        <v>-1323</v>
      </c>
      <c r="P60" s="223">
        <f t="shared" si="8"/>
        <v>1</v>
      </c>
      <c r="Q60" s="124"/>
    </row>
    <row r="61" spans="1:17" ht="20.100000000000001" hidden="1" customHeight="1" thickBot="1">
      <c r="A61" s="300"/>
      <c r="B61" s="309"/>
      <c r="C61" s="1" t="s">
        <v>26</v>
      </c>
      <c r="D61" s="209">
        <f t="shared" si="17"/>
        <v>10.778443113772456</v>
      </c>
      <c r="E61" s="39">
        <v>334</v>
      </c>
      <c r="F61" s="34">
        <f t="shared" si="9"/>
        <v>7014</v>
      </c>
      <c r="G61" s="6"/>
      <c r="H61" s="205">
        <f t="shared" si="10"/>
        <v>0</v>
      </c>
      <c r="I61" s="1"/>
      <c r="J61" s="205">
        <f t="shared" si="11"/>
        <v>0</v>
      </c>
      <c r="K61" s="1"/>
      <c r="L61" s="205">
        <f t="shared" si="12"/>
        <v>0</v>
      </c>
      <c r="M61" s="33">
        <f t="shared" si="18"/>
        <v>0</v>
      </c>
      <c r="N61" s="234" t="e">
        <f t="shared" si="14"/>
        <v>#DIV/0!</v>
      </c>
      <c r="O61" s="222">
        <f t="shared" si="15"/>
        <v>-7014</v>
      </c>
      <c r="P61" s="223">
        <f t="shared" si="8"/>
        <v>1</v>
      </c>
      <c r="Q61" s="124"/>
    </row>
    <row r="62" spans="1:17" ht="20.100000000000001" customHeight="1" thickBot="1">
      <c r="A62" s="7">
        <v>578</v>
      </c>
      <c r="B62" s="8" t="s">
        <v>19</v>
      </c>
      <c r="C62" s="8" t="s">
        <v>49</v>
      </c>
      <c r="D62" s="210">
        <f t="shared" si="17"/>
        <v>20.11173184357542</v>
      </c>
      <c r="E62" s="40">
        <v>179</v>
      </c>
      <c r="F62" s="35">
        <f>E62*21</f>
        <v>3759</v>
      </c>
      <c r="G62" s="7">
        <v>908</v>
      </c>
      <c r="H62" s="216">
        <f t="shared" si="10"/>
        <v>0.7246608140462889</v>
      </c>
      <c r="I62" s="8">
        <v>1320</v>
      </c>
      <c r="J62" s="216">
        <f t="shared" si="11"/>
        <v>1.0534716679968077</v>
      </c>
      <c r="K62" s="8">
        <v>1006</v>
      </c>
      <c r="L62" s="216">
        <f t="shared" si="12"/>
        <v>0.80287310454908223</v>
      </c>
      <c r="M62" s="199">
        <f>G62+I62+K62</f>
        <v>3234</v>
      </c>
      <c r="N62" s="235">
        <f t="shared" si="14"/>
        <v>23.376623376623378</v>
      </c>
      <c r="O62" s="224">
        <f>M62-F62</f>
        <v>-525</v>
      </c>
      <c r="P62" s="225">
        <f>((F62-M62)/F62)</f>
        <v>0.13966480446927373</v>
      </c>
      <c r="Q62" s="252"/>
    </row>
    <row r="63" spans="1:17" ht="20.100000000000001" customHeight="1">
      <c r="A63" s="191"/>
      <c r="B63" s="191"/>
      <c r="C63" s="191"/>
      <c r="D63" s="192"/>
      <c r="E63" s="283" t="s">
        <v>179</v>
      </c>
      <c r="F63" s="284"/>
      <c r="G63" s="285">
        <v>75</v>
      </c>
      <c r="H63" s="285"/>
      <c r="I63" s="285">
        <v>77</v>
      </c>
      <c r="J63" s="285"/>
      <c r="K63" s="285">
        <v>69</v>
      </c>
      <c r="L63" s="286"/>
      <c r="M63" s="193"/>
      <c r="N63" s="192"/>
      <c r="O63" s="191"/>
      <c r="P63" s="194"/>
    </row>
    <row r="64" spans="1:17" ht="20.100000000000001" customHeight="1">
      <c r="A64" s="191"/>
      <c r="B64" s="191"/>
      <c r="C64" s="191"/>
      <c r="D64" s="192"/>
      <c r="E64" s="261" t="s">
        <v>186</v>
      </c>
      <c r="F64" s="262"/>
      <c r="G64" s="263">
        <v>6</v>
      </c>
      <c r="H64" s="263"/>
      <c r="I64" s="263">
        <v>3</v>
      </c>
      <c r="J64" s="263"/>
      <c r="K64" s="263">
        <v>6</v>
      </c>
      <c r="L64" s="264"/>
      <c r="M64" s="193"/>
      <c r="N64" s="192"/>
      <c r="O64" s="191"/>
      <c r="P64" s="194"/>
    </row>
    <row r="65" spans="1:17" ht="20.100000000000001" customHeight="1" thickBot="1">
      <c r="A65" s="191"/>
      <c r="B65" s="191"/>
      <c r="C65" s="191"/>
      <c r="D65" s="192"/>
      <c r="E65" s="265" t="s">
        <v>185</v>
      </c>
      <c r="F65" s="266"/>
      <c r="G65" s="267">
        <f>(G63-G64)/G63</f>
        <v>0.92</v>
      </c>
      <c r="H65" s="268"/>
      <c r="I65" s="267">
        <f>(I63-I64)/I63</f>
        <v>0.96103896103896103</v>
      </c>
      <c r="J65" s="268"/>
      <c r="K65" s="267">
        <f>(K63-K64)/K63</f>
        <v>0.91304347826086951</v>
      </c>
      <c r="L65" s="281"/>
      <c r="M65" s="193"/>
      <c r="N65" s="192"/>
      <c r="O65" s="191"/>
      <c r="P65" s="194"/>
    </row>
    <row r="66" spans="1:17" ht="24.95" customHeight="1" thickBot="1">
      <c r="A66" s="259" t="s">
        <v>21</v>
      </c>
      <c r="B66" s="2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7" ht="24.95" customHeight="1">
      <c r="A67" s="271" t="s">
        <v>0</v>
      </c>
      <c r="B67" s="306" t="s">
        <v>2</v>
      </c>
      <c r="C67" s="306" t="s">
        <v>1</v>
      </c>
      <c r="D67" s="287" t="s">
        <v>40</v>
      </c>
      <c r="E67" s="291" t="s">
        <v>86</v>
      </c>
      <c r="F67" s="293" t="s">
        <v>89</v>
      </c>
      <c r="G67" s="282" t="s">
        <v>5</v>
      </c>
      <c r="H67" s="280"/>
      <c r="I67" s="280"/>
      <c r="J67" s="280"/>
      <c r="K67" s="280"/>
      <c r="L67" s="280"/>
      <c r="M67" s="280" t="s">
        <v>95</v>
      </c>
      <c r="N67" s="287" t="s">
        <v>41</v>
      </c>
      <c r="O67" s="271" t="s">
        <v>7</v>
      </c>
      <c r="P67" s="272"/>
      <c r="Q67" s="273" t="s">
        <v>178</v>
      </c>
    </row>
    <row r="68" spans="1:17" ht="24.95" customHeight="1" thickBot="1">
      <c r="A68" s="305"/>
      <c r="B68" s="307"/>
      <c r="C68" s="307"/>
      <c r="D68" s="288"/>
      <c r="E68" s="292"/>
      <c r="F68" s="294"/>
      <c r="G68" s="196" t="s">
        <v>3</v>
      </c>
      <c r="H68" s="197" t="s">
        <v>180</v>
      </c>
      <c r="I68" s="197" t="s">
        <v>4</v>
      </c>
      <c r="J68" s="197" t="s">
        <v>180</v>
      </c>
      <c r="K68" s="197" t="s">
        <v>6</v>
      </c>
      <c r="L68" s="197" t="s">
        <v>180</v>
      </c>
      <c r="M68" s="290"/>
      <c r="N68" s="288"/>
      <c r="O68" s="198" t="s">
        <v>183</v>
      </c>
      <c r="P68" s="211" t="s">
        <v>182</v>
      </c>
      <c r="Q68" s="274"/>
    </row>
    <row r="69" spans="1:17" ht="20.100000000000001" customHeight="1" thickTop="1">
      <c r="A69" s="297" t="s">
        <v>9</v>
      </c>
      <c r="B69" s="308" t="s">
        <v>10</v>
      </c>
      <c r="C69" s="227" t="s">
        <v>22</v>
      </c>
      <c r="D69" s="208">
        <v>115.71428571428601</v>
      </c>
      <c r="E69" s="38">
        <f t="shared" ref="E69:E87" si="19">3600/D69</f>
        <v>31.111111111111033</v>
      </c>
      <c r="F69" s="33">
        <f>E69*14</f>
        <v>435.55555555555446</v>
      </c>
      <c r="G69" s="188">
        <v>113</v>
      </c>
      <c r="H69" s="205">
        <f>G69/(E69*7)</f>
        <v>0.51887755102040944</v>
      </c>
      <c r="I69" s="3">
        <v>95</v>
      </c>
      <c r="J69" s="205">
        <f>I69/(E69*7)</f>
        <v>0.43622448979591943</v>
      </c>
      <c r="K69" s="3"/>
      <c r="L69" s="3"/>
      <c r="M69" s="11">
        <f>G69+I69+K69</f>
        <v>208</v>
      </c>
      <c r="N69" s="228">
        <f>3600/(M69/14)</f>
        <v>242.30769230769229</v>
      </c>
      <c r="O69" s="220">
        <f>M69-F69</f>
        <v>-227.55555555555446</v>
      </c>
      <c r="P69" s="221">
        <f>((F69-M69)/F69)</f>
        <v>0.52244897959183556</v>
      </c>
      <c r="Q69" s="217"/>
    </row>
    <row r="70" spans="1:17" ht="20.100000000000001" customHeight="1">
      <c r="A70" s="298"/>
      <c r="B70" s="309"/>
      <c r="C70" s="226" t="s">
        <v>23</v>
      </c>
      <c r="D70" s="209">
        <v>46.285714285714285</v>
      </c>
      <c r="E70" s="39">
        <f t="shared" si="19"/>
        <v>77.777777777777786</v>
      </c>
      <c r="F70" s="34">
        <f>E70*14</f>
        <v>1088.8888888888889</v>
      </c>
      <c r="G70" s="189">
        <v>245</v>
      </c>
      <c r="H70" s="205">
        <f t="shared" ref="H70:H87" si="20">G70/(E70*7)</f>
        <v>0.45</v>
      </c>
      <c r="I70" s="1">
        <v>154</v>
      </c>
      <c r="J70" s="205">
        <f t="shared" ref="J70:J87" si="21">I70/(E70*7)</f>
        <v>0.28285714285714286</v>
      </c>
      <c r="K70" s="1"/>
      <c r="L70" s="1"/>
      <c r="M70" s="4">
        <f t="shared" ref="M70:M86" si="22">G70+I70+K70</f>
        <v>399</v>
      </c>
      <c r="N70" s="229">
        <f>3600/(M70/14)</f>
        <v>126.31578947368421</v>
      </c>
      <c r="O70" s="220">
        <f t="shared" ref="O70:O87" si="23">M70-F70</f>
        <v>-689.88888888888891</v>
      </c>
      <c r="P70" s="223">
        <f t="shared" ref="P70:P87" si="24">((F70-M70)/F70)</f>
        <v>0.63357142857142856</v>
      </c>
      <c r="Q70" s="218"/>
    </row>
    <row r="71" spans="1:17" ht="20.100000000000001" customHeight="1">
      <c r="A71" s="298"/>
      <c r="B71" s="309"/>
      <c r="C71" s="226" t="s">
        <v>24</v>
      </c>
      <c r="D71" s="209">
        <v>50.12</v>
      </c>
      <c r="E71" s="39">
        <f t="shared" si="19"/>
        <v>71.827613727055066</v>
      </c>
      <c r="F71" s="34">
        <f t="shared" ref="F71:F87" si="25">E71*14</f>
        <v>1005.586592178771</v>
      </c>
      <c r="G71" s="189">
        <v>344</v>
      </c>
      <c r="H71" s="205">
        <f t="shared" si="20"/>
        <v>0.68417777777777777</v>
      </c>
      <c r="I71" s="1">
        <v>311</v>
      </c>
      <c r="J71" s="205">
        <f t="shared" si="21"/>
        <v>0.61854444444444445</v>
      </c>
      <c r="K71" s="1"/>
      <c r="L71" s="1"/>
      <c r="M71" s="4">
        <f t="shared" si="22"/>
        <v>655</v>
      </c>
      <c r="N71" s="229">
        <f>3600/(M71/14)</f>
        <v>76.946564885496187</v>
      </c>
      <c r="O71" s="220">
        <f t="shared" si="23"/>
        <v>-350.58659217877096</v>
      </c>
      <c r="P71" s="223">
        <f t="shared" si="24"/>
        <v>0.34863888888888889</v>
      </c>
      <c r="Q71" s="218"/>
    </row>
    <row r="72" spans="1:17" ht="20.100000000000001" customHeight="1">
      <c r="A72" s="298"/>
      <c r="B72" s="309"/>
      <c r="C72" s="226" t="s">
        <v>25</v>
      </c>
      <c r="D72" s="209">
        <v>46.22</v>
      </c>
      <c r="E72" s="39">
        <v>70</v>
      </c>
      <c r="F72" s="34">
        <f t="shared" si="25"/>
        <v>980</v>
      </c>
      <c r="G72" s="189">
        <v>1450</v>
      </c>
      <c r="H72" s="205">
        <f t="shared" si="20"/>
        <v>2.9591836734693877</v>
      </c>
      <c r="I72" s="1">
        <v>1316</v>
      </c>
      <c r="J72" s="205">
        <f t="shared" si="21"/>
        <v>2.6857142857142855</v>
      </c>
      <c r="K72" s="1"/>
      <c r="L72" s="1"/>
      <c r="M72" s="4">
        <f>G72+I72+K72</f>
        <v>2766</v>
      </c>
      <c r="N72" s="229">
        <f t="shared" ref="N72:N87" si="26">3600/(M72/14)</f>
        <v>18.221258134490238</v>
      </c>
      <c r="O72" s="38">
        <f>M72-F72</f>
        <v>1786</v>
      </c>
      <c r="P72" s="231">
        <f t="shared" si="24"/>
        <v>-1.8224489795918368</v>
      </c>
      <c r="Q72" s="251" t="s">
        <v>192</v>
      </c>
    </row>
    <row r="73" spans="1:17" ht="20.100000000000001" customHeight="1">
      <c r="A73" s="298"/>
      <c r="B73" s="309"/>
      <c r="C73" s="226" t="s">
        <v>26</v>
      </c>
      <c r="D73" s="209">
        <v>54</v>
      </c>
      <c r="E73" s="39">
        <v>69</v>
      </c>
      <c r="F73" s="34">
        <f t="shared" si="25"/>
        <v>966</v>
      </c>
      <c r="G73" s="189">
        <v>1505</v>
      </c>
      <c r="H73" s="205">
        <f t="shared" si="20"/>
        <v>3.1159420289855073</v>
      </c>
      <c r="I73" s="1">
        <v>977</v>
      </c>
      <c r="J73" s="205">
        <f t="shared" si="21"/>
        <v>2.022774327122153</v>
      </c>
      <c r="K73" s="1"/>
      <c r="L73" s="1"/>
      <c r="M73" s="4">
        <f>G73+I73+K73</f>
        <v>2482</v>
      </c>
      <c r="N73" s="229">
        <f t="shared" si="26"/>
        <v>20.306204673650281</v>
      </c>
      <c r="O73" s="38">
        <f t="shared" si="23"/>
        <v>1516</v>
      </c>
      <c r="P73" s="231">
        <f t="shared" si="24"/>
        <v>-1.5693581780538302</v>
      </c>
      <c r="Q73" s="251" t="s">
        <v>193</v>
      </c>
    </row>
    <row r="74" spans="1:17" ht="20.100000000000001" customHeight="1">
      <c r="A74" s="298"/>
      <c r="B74" s="309"/>
      <c r="C74" s="226" t="s">
        <v>27</v>
      </c>
      <c r="D74" s="209">
        <v>28.425000000000001</v>
      </c>
      <c r="E74" s="39">
        <v>114</v>
      </c>
      <c r="F74" s="34">
        <f t="shared" si="25"/>
        <v>1596</v>
      </c>
      <c r="G74" s="189">
        <v>744</v>
      </c>
      <c r="H74" s="205">
        <f t="shared" si="20"/>
        <v>0.93233082706766912</v>
      </c>
      <c r="I74" s="1">
        <v>646</v>
      </c>
      <c r="J74" s="205">
        <f t="shared" si="21"/>
        <v>0.80952380952380953</v>
      </c>
      <c r="K74" s="1"/>
      <c r="L74" s="1"/>
      <c r="M74" s="4">
        <f t="shared" si="22"/>
        <v>1390</v>
      </c>
      <c r="N74" s="229">
        <f t="shared" si="26"/>
        <v>36.258992805755391</v>
      </c>
      <c r="O74" s="38">
        <f t="shared" si="23"/>
        <v>-206</v>
      </c>
      <c r="P74" s="223">
        <f t="shared" si="24"/>
        <v>0.12907268170426064</v>
      </c>
      <c r="Q74" s="124"/>
    </row>
    <row r="75" spans="1:17" ht="20.100000000000001" customHeight="1">
      <c r="A75" s="299"/>
      <c r="B75" s="309"/>
      <c r="C75" s="226" t="s">
        <v>28</v>
      </c>
      <c r="D75" s="209">
        <v>28.12</v>
      </c>
      <c r="E75" s="39">
        <v>115</v>
      </c>
      <c r="F75" s="34">
        <f t="shared" si="25"/>
        <v>1610</v>
      </c>
      <c r="G75" s="189">
        <v>880</v>
      </c>
      <c r="H75" s="205">
        <f t="shared" si="20"/>
        <v>1.0931677018633541</v>
      </c>
      <c r="I75" s="1">
        <v>845</v>
      </c>
      <c r="J75" s="205">
        <f t="shared" si="21"/>
        <v>1.0496894409937889</v>
      </c>
      <c r="K75" s="1"/>
      <c r="L75" s="1"/>
      <c r="M75" s="4">
        <f t="shared" si="22"/>
        <v>1725</v>
      </c>
      <c r="N75" s="229">
        <f t="shared" si="26"/>
        <v>29.217391304347828</v>
      </c>
      <c r="O75" s="38">
        <f t="shared" si="23"/>
        <v>115</v>
      </c>
      <c r="P75" s="231">
        <f t="shared" si="24"/>
        <v>-7.1428571428571425E-2</v>
      </c>
      <c r="Q75" s="124" t="s">
        <v>187</v>
      </c>
    </row>
    <row r="76" spans="1:17" ht="20.100000000000001" customHeight="1">
      <c r="A76" s="300">
        <v>878</v>
      </c>
      <c r="B76" s="309" t="s">
        <v>10</v>
      </c>
      <c r="C76" s="1" t="s">
        <v>29</v>
      </c>
      <c r="D76" s="209">
        <v>18</v>
      </c>
      <c r="E76" s="39">
        <f t="shared" si="19"/>
        <v>200</v>
      </c>
      <c r="F76" s="34">
        <f t="shared" si="25"/>
        <v>2800</v>
      </c>
      <c r="G76" s="189">
        <v>887</v>
      </c>
      <c r="H76" s="205">
        <f t="shared" si="20"/>
        <v>0.63357142857142856</v>
      </c>
      <c r="I76" s="1">
        <v>689</v>
      </c>
      <c r="J76" s="205">
        <f t="shared" si="21"/>
        <v>0.49214285714285716</v>
      </c>
      <c r="K76" s="1"/>
      <c r="L76" s="1"/>
      <c r="M76" s="4">
        <f t="shared" si="22"/>
        <v>1576</v>
      </c>
      <c r="N76" s="229">
        <f t="shared" si="26"/>
        <v>31.979695431472081</v>
      </c>
      <c r="O76" s="220">
        <f t="shared" si="23"/>
        <v>-1224</v>
      </c>
      <c r="P76" s="223">
        <f t="shared" si="24"/>
        <v>0.43714285714285717</v>
      </c>
      <c r="Q76" s="124"/>
    </row>
    <row r="77" spans="1:17" ht="20.100000000000001" customHeight="1">
      <c r="A77" s="300"/>
      <c r="B77" s="309"/>
      <c r="C77" s="1" t="s">
        <v>17</v>
      </c>
      <c r="D77" s="209">
        <v>64.8</v>
      </c>
      <c r="E77" s="39">
        <v>50</v>
      </c>
      <c r="F77" s="34">
        <f t="shared" si="25"/>
        <v>700</v>
      </c>
      <c r="G77" s="189">
        <v>380</v>
      </c>
      <c r="H77" s="205">
        <f t="shared" si="20"/>
        <v>1.0857142857142856</v>
      </c>
      <c r="I77" s="1">
        <v>582</v>
      </c>
      <c r="J77" s="205">
        <f t="shared" si="21"/>
        <v>1.6628571428571428</v>
      </c>
      <c r="K77" s="1"/>
      <c r="L77" s="1"/>
      <c r="M77" s="4">
        <f t="shared" si="22"/>
        <v>962</v>
      </c>
      <c r="N77" s="229">
        <f t="shared" si="26"/>
        <v>52.390852390852395</v>
      </c>
      <c r="O77" s="38">
        <f t="shared" si="23"/>
        <v>262</v>
      </c>
      <c r="P77" s="231">
        <f t="shared" si="24"/>
        <v>-0.37428571428571428</v>
      </c>
      <c r="Q77" s="124" t="s">
        <v>187</v>
      </c>
    </row>
    <row r="78" spans="1:17" ht="20.100000000000001" customHeight="1">
      <c r="A78" s="300"/>
      <c r="B78" s="309"/>
      <c r="C78" s="1" t="s">
        <v>27</v>
      </c>
      <c r="D78" s="209">
        <v>28.43</v>
      </c>
      <c r="E78" s="39">
        <v>114</v>
      </c>
      <c r="F78" s="34">
        <f t="shared" si="25"/>
        <v>1596</v>
      </c>
      <c r="G78" s="189">
        <v>745</v>
      </c>
      <c r="H78" s="205">
        <f t="shared" si="20"/>
        <v>0.9335839598997494</v>
      </c>
      <c r="I78" s="1">
        <v>646</v>
      </c>
      <c r="J78" s="205">
        <f t="shared" si="21"/>
        <v>0.80952380952380953</v>
      </c>
      <c r="K78" s="1"/>
      <c r="L78" s="1"/>
      <c r="M78" s="4">
        <f t="shared" si="22"/>
        <v>1391</v>
      </c>
      <c r="N78" s="229">
        <f t="shared" si="26"/>
        <v>36.232925952552122</v>
      </c>
      <c r="O78" s="38">
        <f t="shared" si="23"/>
        <v>-205</v>
      </c>
      <c r="P78" s="223">
        <f t="shared" si="24"/>
        <v>0.12844611528822056</v>
      </c>
      <c r="Q78" s="251"/>
    </row>
    <row r="79" spans="1:17" ht="20.100000000000001" customHeight="1">
      <c r="A79" s="300"/>
      <c r="B79" s="309"/>
      <c r="C79" s="1" t="s">
        <v>28</v>
      </c>
      <c r="D79" s="209">
        <v>28.12</v>
      </c>
      <c r="E79" s="39">
        <v>115</v>
      </c>
      <c r="F79" s="34">
        <f t="shared" si="25"/>
        <v>1610</v>
      </c>
      <c r="G79" s="189">
        <v>880</v>
      </c>
      <c r="H79" s="205">
        <f t="shared" si="20"/>
        <v>1.0931677018633541</v>
      </c>
      <c r="I79" s="1">
        <v>845</v>
      </c>
      <c r="J79" s="205">
        <f t="shared" si="21"/>
        <v>1.0496894409937889</v>
      </c>
      <c r="K79" s="1"/>
      <c r="L79" s="1"/>
      <c r="M79" s="4">
        <f t="shared" si="22"/>
        <v>1725</v>
      </c>
      <c r="N79" s="229">
        <f t="shared" si="26"/>
        <v>29.217391304347828</v>
      </c>
      <c r="O79" s="38">
        <f t="shared" si="23"/>
        <v>115</v>
      </c>
      <c r="P79" s="231">
        <f t="shared" si="24"/>
        <v>-7.1428571428571425E-2</v>
      </c>
      <c r="Q79" s="124" t="s">
        <v>187</v>
      </c>
    </row>
    <row r="80" spans="1:17" ht="20.100000000000001" customHeight="1">
      <c r="A80" s="300">
        <v>878</v>
      </c>
      <c r="B80" s="309" t="s">
        <v>19</v>
      </c>
      <c r="C80" s="1" t="s">
        <v>26</v>
      </c>
      <c r="D80" s="209">
        <v>11.21</v>
      </c>
      <c r="E80" s="39">
        <f t="shared" si="19"/>
        <v>321.14183764495982</v>
      </c>
      <c r="F80" s="34">
        <f t="shared" si="25"/>
        <v>4495.9857270294378</v>
      </c>
      <c r="G80" s="189">
        <v>291</v>
      </c>
      <c r="H80" s="205">
        <f t="shared" si="20"/>
        <v>0.12944880952380952</v>
      </c>
      <c r="I80" s="1">
        <v>438</v>
      </c>
      <c r="J80" s="205">
        <f t="shared" si="21"/>
        <v>0.1948404761904762</v>
      </c>
      <c r="K80" s="1"/>
      <c r="L80" s="1"/>
      <c r="M80" s="4">
        <f t="shared" si="22"/>
        <v>729</v>
      </c>
      <c r="N80" s="229">
        <f t="shared" si="26"/>
        <v>69.135802469135811</v>
      </c>
      <c r="O80" s="220">
        <f t="shared" si="23"/>
        <v>-3766.9857270294378</v>
      </c>
      <c r="P80" s="223">
        <f t="shared" si="24"/>
        <v>0.83785535714285708</v>
      </c>
      <c r="Q80" s="218"/>
    </row>
    <row r="81" spans="1:19" ht="20.100000000000001" customHeight="1">
      <c r="A81" s="300"/>
      <c r="B81" s="309"/>
      <c r="C81" s="1" t="s">
        <v>17</v>
      </c>
      <c r="D81" s="209">
        <v>58.909090909090907</v>
      </c>
      <c r="E81" s="39">
        <f t="shared" si="19"/>
        <v>61.111111111111114</v>
      </c>
      <c r="F81" s="34">
        <f t="shared" si="25"/>
        <v>855.55555555555566</v>
      </c>
      <c r="G81" s="189">
        <v>451</v>
      </c>
      <c r="H81" s="205">
        <f t="shared" si="20"/>
        <v>1.0542857142857143</v>
      </c>
      <c r="I81" s="1">
        <v>202</v>
      </c>
      <c r="J81" s="205">
        <f t="shared" si="21"/>
        <v>0.47220779220779213</v>
      </c>
      <c r="K81" s="1"/>
      <c r="L81" s="1"/>
      <c r="M81" s="4">
        <f t="shared" si="22"/>
        <v>653</v>
      </c>
      <c r="N81" s="229">
        <f t="shared" si="26"/>
        <v>77.182235834609486</v>
      </c>
      <c r="O81" s="220">
        <f t="shared" si="23"/>
        <v>-202.55555555555566</v>
      </c>
      <c r="P81" s="223">
        <f t="shared" si="24"/>
        <v>0.23675324675324685</v>
      </c>
      <c r="Q81" s="218"/>
    </row>
    <row r="82" spans="1:19" ht="20.100000000000001" customHeight="1">
      <c r="A82" s="300">
        <v>1906</v>
      </c>
      <c r="B82" s="309" t="s">
        <v>10</v>
      </c>
      <c r="C82" s="1" t="s">
        <v>30</v>
      </c>
      <c r="D82" s="209">
        <v>6.5566666666666675</v>
      </c>
      <c r="E82" s="39">
        <f t="shared" si="19"/>
        <v>549.05948144382296</v>
      </c>
      <c r="F82" s="34">
        <f t="shared" si="25"/>
        <v>7686.8327402135219</v>
      </c>
      <c r="G82" s="189">
        <v>373</v>
      </c>
      <c r="H82" s="205">
        <f t="shared" si="20"/>
        <v>9.7049074074074093E-2</v>
      </c>
      <c r="I82" s="1">
        <v>519</v>
      </c>
      <c r="J82" s="205">
        <f t="shared" si="21"/>
        <v>0.13503611111111113</v>
      </c>
      <c r="K82" s="1"/>
      <c r="L82" s="1"/>
      <c r="M82" s="4">
        <f t="shared" si="22"/>
        <v>892</v>
      </c>
      <c r="N82" s="229">
        <f t="shared" si="26"/>
        <v>56.502242152466366</v>
      </c>
      <c r="O82" s="220">
        <f t="shared" si="23"/>
        <v>-6794.8327402135219</v>
      </c>
      <c r="P82" s="223">
        <f t="shared" si="24"/>
        <v>0.88395740740740736</v>
      </c>
      <c r="Q82" s="218"/>
    </row>
    <row r="83" spans="1:19" ht="20.100000000000001" customHeight="1">
      <c r="A83" s="300"/>
      <c r="B83" s="309"/>
      <c r="C83" s="1" t="s">
        <v>31</v>
      </c>
      <c r="D83" s="209">
        <v>46.285714285714285</v>
      </c>
      <c r="E83" s="39">
        <f t="shared" si="19"/>
        <v>77.777777777777786</v>
      </c>
      <c r="F83" s="34">
        <f t="shared" si="25"/>
        <v>1088.8888888888889</v>
      </c>
      <c r="G83" s="189">
        <v>172</v>
      </c>
      <c r="H83" s="205">
        <f t="shared" si="20"/>
        <v>0.31591836734693879</v>
      </c>
      <c r="I83" s="1">
        <v>121</v>
      </c>
      <c r="J83" s="205">
        <f t="shared" si="21"/>
        <v>0.22224489795918367</v>
      </c>
      <c r="K83" s="1"/>
      <c r="L83" s="1"/>
      <c r="M83" s="4">
        <f t="shared" si="22"/>
        <v>293</v>
      </c>
      <c r="N83" s="229">
        <f t="shared" si="26"/>
        <v>172.01365187713313</v>
      </c>
      <c r="O83" s="220">
        <f t="shared" si="23"/>
        <v>-795.88888888888891</v>
      </c>
      <c r="P83" s="223">
        <f t="shared" si="24"/>
        <v>0.73091836734693882</v>
      </c>
      <c r="Q83" s="218"/>
    </row>
    <row r="84" spans="1:19" ht="20.100000000000001" customHeight="1">
      <c r="A84" s="300"/>
      <c r="B84" s="309"/>
      <c r="C84" s="1" t="s">
        <v>32</v>
      </c>
      <c r="D84" s="209">
        <v>46.285714285714285</v>
      </c>
      <c r="E84" s="39">
        <f t="shared" si="19"/>
        <v>77.777777777777786</v>
      </c>
      <c r="F84" s="34">
        <f t="shared" si="25"/>
        <v>1088.8888888888889</v>
      </c>
      <c r="G84" s="189">
        <v>194</v>
      </c>
      <c r="H84" s="205">
        <f t="shared" si="20"/>
        <v>0.3563265306122449</v>
      </c>
      <c r="I84" s="1">
        <v>90</v>
      </c>
      <c r="J84" s="205">
        <f t="shared" si="21"/>
        <v>0.16530612244897958</v>
      </c>
      <c r="K84" s="1"/>
      <c r="L84" s="1"/>
      <c r="M84" s="4">
        <f t="shared" si="22"/>
        <v>284</v>
      </c>
      <c r="N84" s="229">
        <f t="shared" si="26"/>
        <v>177.46478873239437</v>
      </c>
      <c r="O84" s="220">
        <f t="shared" si="23"/>
        <v>-804.88888888888891</v>
      </c>
      <c r="P84" s="223">
        <f t="shared" si="24"/>
        <v>0.73918367346938774</v>
      </c>
      <c r="Q84" s="218"/>
    </row>
    <row r="85" spans="1:19" ht="20.100000000000001" customHeight="1">
      <c r="A85" s="300"/>
      <c r="B85" s="309"/>
      <c r="C85" s="1" t="s">
        <v>33</v>
      </c>
      <c r="D85" s="209">
        <v>46.285714285714285</v>
      </c>
      <c r="E85" s="39">
        <f t="shared" si="19"/>
        <v>77.777777777777786</v>
      </c>
      <c r="F85" s="34">
        <f t="shared" si="25"/>
        <v>1088.8888888888889</v>
      </c>
      <c r="G85" s="189">
        <v>187</v>
      </c>
      <c r="H85" s="205">
        <f t="shared" si="20"/>
        <v>0.34346938775510205</v>
      </c>
      <c r="I85" s="1">
        <v>111</v>
      </c>
      <c r="J85" s="205">
        <f t="shared" si="21"/>
        <v>0.20387755102040817</v>
      </c>
      <c r="K85" s="1"/>
      <c r="L85" s="1"/>
      <c r="M85" s="4">
        <f t="shared" si="22"/>
        <v>298</v>
      </c>
      <c r="N85" s="229">
        <f t="shared" si="26"/>
        <v>169.1275167785235</v>
      </c>
      <c r="O85" s="220">
        <f t="shared" si="23"/>
        <v>-790.88888888888891</v>
      </c>
      <c r="P85" s="223">
        <f t="shared" si="24"/>
        <v>0.72632653061224495</v>
      </c>
      <c r="Q85" s="218"/>
    </row>
    <row r="86" spans="1:19" ht="20.100000000000001" customHeight="1">
      <c r="A86" s="300"/>
      <c r="B86" s="309"/>
      <c r="C86" s="1" t="s">
        <v>34</v>
      </c>
      <c r="D86" s="209">
        <v>40.5</v>
      </c>
      <c r="E86" s="39">
        <f t="shared" si="19"/>
        <v>88.888888888888886</v>
      </c>
      <c r="F86" s="34">
        <f t="shared" si="25"/>
        <v>1244.4444444444443</v>
      </c>
      <c r="G86" s="189">
        <v>253</v>
      </c>
      <c r="H86" s="205">
        <f t="shared" si="20"/>
        <v>0.40660714285714289</v>
      </c>
      <c r="I86" s="1">
        <v>239</v>
      </c>
      <c r="J86" s="205">
        <f t="shared" si="21"/>
        <v>0.38410714285714287</v>
      </c>
      <c r="K86" s="1"/>
      <c r="L86" s="1"/>
      <c r="M86" s="4">
        <f t="shared" si="22"/>
        <v>492</v>
      </c>
      <c r="N86" s="229">
        <f t="shared" si="26"/>
        <v>102.43902439024389</v>
      </c>
      <c r="O86" s="220">
        <f t="shared" si="23"/>
        <v>-752.44444444444434</v>
      </c>
      <c r="P86" s="223">
        <f t="shared" si="24"/>
        <v>0.60464285714285715</v>
      </c>
      <c r="Q86" s="218"/>
    </row>
    <row r="87" spans="1:19" ht="20.100000000000001" customHeight="1" thickBot="1">
      <c r="A87" s="310"/>
      <c r="B87" s="311"/>
      <c r="C87" s="8" t="s">
        <v>26</v>
      </c>
      <c r="D87" s="210">
        <v>92.33</v>
      </c>
      <c r="E87" s="40">
        <f t="shared" si="19"/>
        <v>38.990577277158017</v>
      </c>
      <c r="F87" s="35">
        <f t="shared" si="25"/>
        <v>545.86808188021223</v>
      </c>
      <c r="G87" s="190">
        <v>275</v>
      </c>
      <c r="H87" s="216">
        <f t="shared" si="20"/>
        <v>1.0075694444444445</v>
      </c>
      <c r="I87" s="8">
        <v>124</v>
      </c>
      <c r="J87" s="216">
        <f t="shared" si="21"/>
        <v>0.45432222222222224</v>
      </c>
      <c r="K87" s="8"/>
      <c r="L87" s="8"/>
      <c r="M87" s="9">
        <f>G87+I87+K87</f>
        <v>399</v>
      </c>
      <c r="N87" s="230">
        <f t="shared" si="26"/>
        <v>126.31578947368421</v>
      </c>
      <c r="O87" s="232">
        <f t="shared" si="23"/>
        <v>-146.86808188021223</v>
      </c>
      <c r="P87" s="225">
        <f t="shared" si="24"/>
        <v>0.26905416666666659</v>
      </c>
      <c r="Q87" s="219"/>
    </row>
    <row r="88" spans="1:19" ht="20.100000000000001" customHeight="1">
      <c r="A88" s="191"/>
      <c r="B88" s="191"/>
      <c r="C88" s="191"/>
      <c r="D88" s="192"/>
      <c r="E88" s="275" t="s">
        <v>179</v>
      </c>
      <c r="F88" s="276"/>
      <c r="G88" s="277">
        <v>43</v>
      </c>
      <c r="H88" s="277"/>
      <c r="I88" s="277">
        <v>42</v>
      </c>
      <c r="J88" s="277"/>
      <c r="K88" s="277"/>
      <c r="L88" s="278"/>
      <c r="M88" s="193"/>
      <c r="N88" s="192"/>
      <c r="O88" s="191"/>
      <c r="P88" s="194"/>
    </row>
    <row r="89" spans="1:19" ht="20.100000000000001" customHeight="1">
      <c r="A89" s="191"/>
      <c r="B89" s="191"/>
      <c r="C89" s="191"/>
      <c r="D89" s="192"/>
      <c r="E89" s="261" t="s">
        <v>181</v>
      </c>
      <c r="F89" s="262"/>
      <c r="G89" s="263">
        <v>3</v>
      </c>
      <c r="H89" s="263"/>
      <c r="I89" s="263">
        <v>3</v>
      </c>
      <c r="J89" s="263"/>
      <c r="K89" s="263"/>
      <c r="L89" s="264"/>
      <c r="M89" s="193"/>
      <c r="N89" s="192"/>
      <c r="O89" s="191"/>
      <c r="P89" s="194"/>
    </row>
    <row r="90" spans="1:19" ht="20.100000000000001" customHeight="1" thickBot="1">
      <c r="A90" s="191"/>
      <c r="B90" s="191"/>
      <c r="C90" s="191"/>
      <c r="D90" s="192"/>
      <c r="E90" s="265" t="s">
        <v>185</v>
      </c>
      <c r="F90" s="266"/>
      <c r="G90" s="267">
        <f>(G88-G89)/G88</f>
        <v>0.93023255813953487</v>
      </c>
      <c r="H90" s="268"/>
      <c r="I90" s="267">
        <f>(I88-I89)/I88</f>
        <v>0.9285714285714286</v>
      </c>
      <c r="J90" s="268"/>
      <c r="K90" s="269"/>
      <c r="L90" s="270"/>
      <c r="M90" s="193"/>
      <c r="N90" s="192"/>
      <c r="O90" s="191"/>
      <c r="P90" s="194"/>
    </row>
    <row r="91" spans="1:19" ht="24.95" customHeight="1" thickBot="1">
      <c r="A91" s="259" t="s">
        <v>35</v>
      </c>
      <c r="B91" s="2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9" ht="24.95" customHeight="1">
      <c r="A92" s="271" t="s">
        <v>0</v>
      </c>
      <c r="B92" s="306" t="s">
        <v>2</v>
      </c>
      <c r="C92" s="306" t="s">
        <v>1</v>
      </c>
      <c r="D92" s="287" t="s">
        <v>40</v>
      </c>
      <c r="E92" s="291" t="s">
        <v>86</v>
      </c>
      <c r="F92" s="293" t="s">
        <v>87</v>
      </c>
      <c r="G92" s="279" t="s">
        <v>5</v>
      </c>
      <c r="H92" s="280"/>
      <c r="I92" s="280"/>
      <c r="J92" s="280"/>
      <c r="K92" s="280"/>
      <c r="L92" s="280"/>
      <c r="M92" s="301" t="s">
        <v>97</v>
      </c>
      <c r="N92" s="303" t="s">
        <v>41</v>
      </c>
      <c r="O92" s="271" t="s">
        <v>7</v>
      </c>
      <c r="P92" s="272"/>
      <c r="Q92" s="273" t="s">
        <v>178</v>
      </c>
    </row>
    <row r="93" spans="1:19" ht="24.95" customHeight="1" thickBot="1">
      <c r="A93" s="305"/>
      <c r="B93" s="307"/>
      <c r="C93" s="307"/>
      <c r="D93" s="288"/>
      <c r="E93" s="292"/>
      <c r="F93" s="294"/>
      <c r="G93" s="195" t="s">
        <v>3</v>
      </c>
      <c r="H93" s="197" t="s">
        <v>180</v>
      </c>
      <c r="I93" s="197" t="s">
        <v>4</v>
      </c>
      <c r="J93" s="197" t="s">
        <v>180</v>
      </c>
      <c r="K93" s="197" t="s">
        <v>6</v>
      </c>
      <c r="L93" s="197" t="s">
        <v>180</v>
      </c>
      <c r="M93" s="302"/>
      <c r="N93" s="304"/>
      <c r="O93" s="198" t="s">
        <v>183</v>
      </c>
      <c r="P93" s="211" t="s">
        <v>182</v>
      </c>
      <c r="Q93" s="274"/>
    </row>
    <row r="94" spans="1:19" ht="20.100000000000001" customHeight="1" thickTop="1">
      <c r="A94" s="10">
        <v>468</v>
      </c>
      <c r="B94" s="3" t="s">
        <v>19</v>
      </c>
      <c r="C94" s="227" t="s">
        <v>16</v>
      </c>
      <c r="D94" s="208">
        <v>54.76</v>
      </c>
      <c r="E94" s="38">
        <f>3600/D94</f>
        <v>65.741417092768444</v>
      </c>
      <c r="F94" s="33">
        <f>E94*18</f>
        <v>1183.3455076698319</v>
      </c>
      <c r="G94" s="38">
        <v>163</v>
      </c>
      <c r="H94" s="205">
        <f>G94/(E94*9)</f>
        <v>0.27549012345679014</v>
      </c>
      <c r="I94" s="11">
        <v>320</v>
      </c>
      <c r="J94" s="205">
        <f>I94/(E94*9)</f>
        <v>0.54083950617283949</v>
      </c>
      <c r="K94" s="3"/>
      <c r="L94" s="3"/>
      <c r="M94" s="33">
        <f>G94+I94+K94</f>
        <v>483</v>
      </c>
      <c r="N94" s="233">
        <f>3600/(M94/18)</f>
        <v>134.16149068322983</v>
      </c>
      <c r="O94" s="220">
        <f>M94-F94</f>
        <v>-700.34550766983193</v>
      </c>
      <c r="P94" s="221">
        <f>((F94-M94)/F94)</f>
        <v>0.59183518518518519</v>
      </c>
      <c r="Q94" s="217"/>
    </row>
    <row r="95" spans="1:19" ht="20.100000000000001" customHeight="1">
      <c r="A95" s="6">
        <v>578</v>
      </c>
      <c r="B95" s="1" t="s">
        <v>19</v>
      </c>
      <c r="C95" s="1" t="s">
        <v>16</v>
      </c>
      <c r="D95" s="209">
        <v>38.07</v>
      </c>
      <c r="E95" s="39">
        <f>3600/D95</f>
        <v>94.562647754137117</v>
      </c>
      <c r="F95" s="34">
        <f t="shared" ref="F95:F96" si="27">E95*18</f>
        <v>1702.127659574468</v>
      </c>
      <c r="G95" s="39">
        <v>701</v>
      </c>
      <c r="H95" s="205">
        <f t="shared" ref="H95:H96" si="28">G95/(E95*9)</f>
        <v>0.82367500000000005</v>
      </c>
      <c r="I95" s="4">
        <v>738</v>
      </c>
      <c r="J95" s="205">
        <f t="shared" ref="J95:J96" si="29">I95/(E95*9)</f>
        <v>0.86715000000000009</v>
      </c>
      <c r="K95" s="1"/>
      <c r="L95" s="1"/>
      <c r="M95" s="33">
        <f>G95+I95+K95</f>
        <v>1439</v>
      </c>
      <c r="N95" s="234">
        <f>3600/(M95/18)</f>
        <v>45.031271716469774</v>
      </c>
      <c r="O95" s="220">
        <f>M95-F95</f>
        <v>-263.127659574468</v>
      </c>
      <c r="P95" s="223">
        <f>((F95-M95)/F95)</f>
        <v>0.15458749999999996</v>
      </c>
      <c r="Q95" s="218"/>
      <c r="S95" s="15"/>
    </row>
    <row r="96" spans="1:19" ht="20.100000000000001" customHeight="1" thickBot="1">
      <c r="A96" s="7">
        <v>1906</v>
      </c>
      <c r="B96" s="8" t="s">
        <v>10</v>
      </c>
      <c r="C96" s="8" t="s">
        <v>16</v>
      </c>
      <c r="D96" s="210">
        <v>46.14</v>
      </c>
      <c r="E96" s="40">
        <f>3600/D96</f>
        <v>78.023407022106625</v>
      </c>
      <c r="F96" s="35">
        <f t="shared" si="27"/>
        <v>1404.4213263979193</v>
      </c>
      <c r="G96" s="40">
        <v>253</v>
      </c>
      <c r="H96" s="216">
        <f t="shared" si="28"/>
        <v>0.36029074074074074</v>
      </c>
      <c r="I96" s="9">
        <v>747</v>
      </c>
      <c r="J96" s="216">
        <f t="shared" si="29"/>
        <v>1.0637833333333333</v>
      </c>
      <c r="K96" s="8"/>
      <c r="L96" s="8"/>
      <c r="M96" s="199">
        <f>G96+I96+K96</f>
        <v>1000</v>
      </c>
      <c r="N96" s="235">
        <f>3600/(M96/18)</f>
        <v>64.8</v>
      </c>
      <c r="O96" s="232">
        <f>M96-F96</f>
        <v>-404.4213263979193</v>
      </c>
      <c r="P96" s="225">
        <f>((F96-M96)/F96)</f>
        <v>0.28796296296296292</v>
      </c>
      <c r="Q96" s="219"/>
      <c r="S96" s="15"/>
    </row>
    <row r="97" spans="1:19" ht="20.100000000000001" customHeight="1">
      <c r="A97" s="191"/>
      <c r="B97" s="191"/>
      <c r="C97" s="191"/>
      <c r="D97" s="192"/>
      <c r="E97" s="275" t="s">
        <v>179</v>
      </c>
      <c r="F97" s="276"/>
      <c r="G97" s="277">
        <v>27</v>
      </c>
      <c r="H97" s="277"/>
      <c r="I97" s="277">
        <v>27</v>
      </c>
      <c r="J97" s="277"/>
      <c r="K97" s="277"/>
      <c r="L97" s="278"/>
      <c r="M97" s="193"/>
      <c r="N97" s="214"/>
      <c r="O97" s="215"/>
      <c r="P97" s="194"/>
      <c r="S97" s="15"/>
    </row>
    <row r="98" spans="1:19" ht="20.100000000000001" customHeight="1">
      <c r="A98" s="191"/>
      <c r="B98" s="191"/>
      <c r="C98" s="191"/>
      <c r="D98" s="192"/>
      <c r="E98" s="261" t="s">
        <v>181</v>
      </c>
      <c r="F98" s="262"/>
      <c r="G98" s="263">
        <v>2</v>
      </c>
      <c r="H98" s="263"/>
      <c r="I98" s="263">
        <v>1</v>
      </c>
      <c r="J98" s="263"/>
      <c r="K98" s="263"/>
      <c r="L98" s="264"/>
      <c r="M98" s="193"/>
      <c r="N98" s="214"/>
      <c r="O98" s="215"/>
      <c r="P98" s="194"/>
      <c r="S98" s="15"/>
    </row>
    <row r="99" spans="1:19" ht="20.100000000000001" customHeight="1" thickBot="1">
      <c r="A99" s="191"/>
      <c r="B99" s="191"/>
      <c r="C99" s="191"/>
      <c r="D99" s="192"/>
      <c r="E99" s="265" t="s">
        <v>185</v>
      </c>
      <c r="F99" s="266"/>
      <c r="G99" s="267">
        <f>(G97-G98)/G97</f>
        <v>0.92592592592592593</v>
      </c>
      <c r="H99" s="268"/>
      <c r="I99" s="267">
        <f>(I97-I98)/I97</f>
        <v>0.96296296296296291</v>
      </c>
      <c r="J99" s="268"/>
      <c r="K99" s="269"/>
      <c r="L99" s="270"/>
      <c r="M99" s="193"/>
      <c r="N99" s="214"/>
      <c r="O99" s="215"/>
      <c r="P99" s="194"/>
      <c r="S99" s="15"/>
    </row>
    <row r="100" spans="1:19" ht="24.95" customHeight="1" thickBot="1">
      <c r="A100" s="260" t="s">
        <v>91</v>
      </c>
      <c r="B100" s="26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9" ht="24.95" customHeight="1">
      <c r="A101" s="271" t="s">
        <v>0</v>
      </c>
      <c r="B101" s="306" t="s">
        <v>2</v>
      </c>
      <c r="C101" s="306" t="s">
        <v>1</v>
      </c>
      <c r="D101" s="287" t="s">
        <v>40</v>
      </c>
      <c r="E101" s="291" t="s">
        <v>86</v>
      </c>
      <c r="F101" s="293" t="s">
        <v>89</v>
      </c>
      <c r="G101" s="279" t="s">
        <v>5</v>
      </c>
      <c r="H101" s="280"/>
      <c r="I101" s="280"/>
      <c r="J101" s="280"/>
      <c r="K101" s="280"/>
      <c r="L101" s="280"/>
      <c r="M101" s="301" t="s">
        <v>95</v>
      </c>
      <c r="N101" s="303" t="s">
        <v>41</v>
      </c>
      <c r="O101" s="271" t="s">
        <v>7</v>
      </c>
      <c r="P101" s="272"/>
      <c r="Q101" s="273" t="s">
        <v>178</v>
      </c>
    </row>
    <row r="102" spans="1:19" ht="24.95" customHeight="1" thickBot="1">
      <c r="A102" s="305"/>
      <c r="B102" s="307"/>
      <c r="C102" s="307"/>
      <c r="D102" s="288"/>
      <c r="E102" s="292"/>
      <c r="F102" s="294"/>
      <c r="G102" s="195" t="s">
        <v>3</v>
      </c>
      <c r="H102" s="197" t="s">
        <v>180</v>
      </c>
      <c r="I102" s="197" t="s">
        <v>4</v>
      </c>
      <c r="J102" s="197" t="s">
        <v>180</v>
      </c>
      <c r="K102" s="197" t="s">
        <v>6</v>
      </c>
      <c r="L102" s="197" t="s">
        <v>180</v>
      </c>
      <c r="M102" s="302"/>
      <c r="N102" s="304"/>
      <c r="O102" s="198" t="s">
        <v>183</v>
      </c>
      <c r="P102" s="211" t="s">
        <v>182</v>
      </c>
      <c r="Q102" s="274"/>
    </row>
    <row r="103" spans="1:19" ht="30" customHeight="1" thickTop="1">
      <c r="A103" s="10">
        <v>880</v>
      </c>
      <c r="B103" s="3" t="s">
        <v>10</v>
      </c>
      <c r="C103" s="227" t="s">
        <v>94</v>
      </c>
      <c r="D103" s="208">
        <v>63.23</v>
      </c>
      <c r="E103" s="38">
        <f>3600/D103</f>
        <v>56.934999209236125</v>
      </c>
      <c r="F103" s="33">
        <f>E103*14</f>
        <v>797.08998892930572</v>
      </c>
      <c r="G103" s="38">
        <v>290</v>
      </c>
      <c r="H103" s="205">
        <f>G103/(E103*7)</f>
        <v>0.72764682539682535</v>
      </c>
      <c r="I103" s="11">
        <v>302</v>
      </c>
      <c r="J103" s="205">
        <f>I103/(E103*7)</f>
        <v>0.75775634920634916</v>
      </c>
      <c r="K103" s="3"/>
      <c r="L103" s="3"/>
      <c r="M103" s="33">
        <f>G103+I103+K103</f>
        <v>592</v>
      </c>
      <c r="N103" s="233">
        <f>3600/(M103/18)</f>
        <v>109.45945945945947</v>
      </c>
      <c r="O103" s="220">
        <f>M103-F103</f>
        <v>-205.08998892930572</v>
      </c>
      <c r="P103" s="221">
        <f>((F103-M103)/F103)</f>
        <v>0.25729841269841269</v>
      </c>
      <c r="Q103" s="217"/>
    </row>
    <row r="104" spans="1:19" ht="30" customHeight="1" thickBot="1">
      <c r="A104" s="7">
        <v>1906</v>
      </c>
      <c r="B104" s="8" t="s">
        <v>10</v>
      </c>
      <c r="C104" s="8" t="s">
        <v>92</v>
      </c>
      <c r="D104" s="210">
        <v>23.84</v>
      </c>
      <c r="E104" s="40">
        <f t="shared" ref="E104" si="30">3600/D104</f>
        <v>151.00671140939596</v>
      </c>
      <c r="F104" s="35">
        <f>E104*14</f>
        <v>2114.0939597315437</v>
      </c>
      <c r="G104" s="40">
        <v>380</v>
      </c>
      <c r="H104" s="216">
        <f>G104/(E104*7)</f>
        <v>0.35949206349206347</v>
      </c>
      <c r="I104" s="9">
        <v>222</v>
      </c>
      <c r="J104" s="216">
        <f>I104/(E104*7)</f>
        <v>0.21001904761904761</v>
      </c>
      <c r="K104" s="8"/>
      <c r="L104" s="8"/>
      <c r="M104" s="199">
        <f>G104+I104+K104</f>
        <v>602</v>
      </c>
      <c r="N104" s="235">
        <f>3600/(M104/14)</f>
        <v>83.720930232558146</v>
      </c>
      <c r="O104" s="232">
        <f>M104-F104</f>
        <v>-1512.0939597315437</v>
      </c>
      <c r="P104" s="225">
        <f>((F104-M104)/F104)</f>
        <v>0.71524444444444446</v>
      </c>
      <c r="Q104" s="219"/>
      <c r="S104" s="15"/>
    </row>
    <row r="105" spans="1:19" ht="20.100000000000001" customHeight="1">
      <c r="A105" s="191"/>
      <c r="B105" s="191"/>
      <c r="C105" s="191"/>
      <c r="D105" s="192"/>
      <c r="E105" s="275" t="s">
        <v>179</v>
      </c>
      <c r="F105" s="276"/>
      <c r="G105" s="277">
        <v>50</v>
      </c>
      <c r="H105" s="277"/>
      <c r="I105" s="277">
        <v>12</v>
      </c>
      <c r="J105" s="277"/>
      <c r="K105" s="277"/>
      <c r="L105" s="278"/>
      <c r="M105" s="193"/>
      <c r="N105" s="214"/>
      <c r="O105" s="215"/>
      <c r="P105" s="194"/>
      <c r="S105" s="15"/>
    </row>
    <row r="106" spans="1:19" ht="20.100000000000001" customHeight="1">
      <c r="A106" s="191"/>
      <c r="B106" s="191"/>
      <c r="C106" s="191"/>
      <c r="D106" s="192"/>
      <c r="E106" s="261" t="s">
        <v>181</v>
      </c>
      <c r="F106" s="262"/>
      <c r="G106" s="263">
        <v>1</v>
      </c>
      <c r="H106" s="263"/>
      <c r="I106" s="263">
        <v>1</v>
      </c>
      <c r="J106" s="263"/>
      <c r="K106" s="263"/>
      <c r="L106" s="264"/>
      <c r="M106" s="193"/>
      <c r="N106" s="214"/>
      <c r="O106" s="215"/>
      <c r="P106" s="194"/>
      <c r="S106" s="15"/>
    </row>
    <row r="107" spans="1:19" ht="20.100000000000001" customHeight="1" thickBot="1">
      <c r="A107" s="191"/>
      <c r="B107" s="191"/>
      <c r="C107" s="191"/>
      <c r="D107" s="192"/>
      <c r="E107" s="265" t="s">
        <v>185</v>
      </c>
      <c r="F107" s="266"/>
      <c r="G107" s="267">
        <f>(G105-G106)/G105</f>
        <v>0.98</v>
      </c>
      <c r="H107" s="268"/>
      <c r="I107" s="267">
        <f>(I105-I106)/I105</f>
        <v>0.91666666666666663</v>
      </c>
      <c r="J107" s="268"/>
      <c r="K107" s="269"/>
      <c r="L107" s="270"/>
      <c r="M107" s="193"/>
      <c r="N107" s="214"/>
      <c r="O107" s="215"/>
      <c r="P107" s="194"/>
      <c r="S107" s="15"/>
    </row>
  </sheetData>
  <mergeCells count="150">
    <mergeCell ref="A101:A102"/>
    <mergeCell ref="B101:B102"/>
    <mergeCell ref="C101:C102"/>
    <mergeCell ref="D101:D102"/>
    <mergeCell ref="E101:E102"/>
    <mergeCell ref="C92:C93"/>
    <mergeCell ref="D92:D93"/>
    <mergeCell ref="E92:E93"/>
    <mergeCell ref="M92:M93"/>
    <mergeCell ref="M101:M102"/>
    <mergeCell ref="F92:F93"/>
    <mergeCell ref="F101:F102"/>
    <mergeCell ref="B11:B14"/>
    <mergeCell ref="A11:A14"/>
    <mergeCell ref="A28:A31"/>
    <mergeCell ref="B28:B31"/>
    <mergeCell ref="A32:A34"/>
    <mergeCell ref="B32:B34"/>
    <mergeCell ref="B6:B7"/>
    <mergeCell ref="D21:D22"/>
    <mergeCell ref="C4:C5"/>
    <mergeCell ref="B4:B5"/>
    <mergeCell ref="A4:A5"/>
    <mergeCell ref="A6:A7"/>
    <mergeCell ref="A82:A87"/>
    <mergeCell ref="B82:B87"/>
    <mergeCell ref="A80:A81"/>
    <mergeCell ref="B80:B81"/>
    <mergeCell ref="A92:A93"/>
    <mergeCell ref="B92:B93"/>
    <mergeCell ref="A39:A41"/>
    <mergeCell ref="B39:B41"/>
    <mergeCell ref="A43:A47"/>
    <mergeCell ref="A1:Q2"/>
    <mergeCell ref="A69:A75"/>
    <mergeCell ref="A76:A79"/>
    <mergeCell ref="M21:M22"/>
    <mergeCell ref="N21:N22"/>
    <mergeCell ref="A24:A27"/>
    <mergeCell ref="A67:A68"/>
    <mergeCell ref="B67:B68"/>
    <mergeCell ref="C67:C68"/>
    <mergeCell ref="D67:D68"/>
    <mergeCell ref="E67:E68"/>
    <mergeCell ref="A48:A52"/>
    <mergeCell ref="A53:A58"/>
    <mergeCell ref="A59:A61"/>
    <mergeCell ref="A21:A22"/>
    <mergeCell ref="B21:B22"/>
    <mergeCell ref="C21:C22"/>
    <mergeCell ref="B69:B75"/>
    <mergeCell ref="B76:B79"/>
    <mergeCell ref="B43:B47"/>
    <mergeCell ref="B48:B52"/>
    <mergeCell ref="B53:B58"/>
    <mergeCell ref="B59:B61"/>
    <mergeCell ref="B24:B27"/>
    <mergeCell ref="O21:P21"/>
    <mergeCell ref="Q21:Q22"/>
    <mergeCell ref="E19:F19"/>
    <mergeCell ref="G4:L4"/>
    <mergeCell ref="K17:L17"/>
    <mergeCell ref="I17:J17"/>
    <mergeCell ref="G17:H17"/>
    <mergeCell ref="K19:L19"/>
    <mergeCell ref="K18:L18"/>
    <mergeCell ref="I19:J19"/>
    <mergeCell ref="I18:J18"/>
    <mergeCell ref="G19:H19"/>
    <mergeCell ref="G18:H18"/>
    <mergeCell ref="N4:N5"/>
    <mergeCell ref="M4:M5"/>
    <mergeCell ref="E4:E5"/>
    <mergeCell ref="E21:E22"/>
    <mergeCell ref="Q4:Q5"/>
    <mergeCell ref="F4:F5"/>
    <mergeCell ref="O4:P4"/>
    <mergeCell ref="F21:F22"/>
    <mergeCell ref="E18:F18"/>
    <mergeCell ref="E17:F17"/>
    <mergeCell ref="E20:F20"/>
    <mergeCell ref="O67:P67"/>
    <mergeCell ref="Q67:Q68"/>
    <mergeCell ref="E65:F65"/>
    <mergeCell ref="G65:H65"/>
    <mergeCell ref="I65:J65"/>
    <mergeCell ref="K65:L65"/>
    <mergeCell ref="G67:L67"/>
    <mergeCell ref="E63:F63"/>
    <mergeCell ref="G63:H63"/>
    <mergeCell ref="I63:J63"/>
    <mergeCell ref="K63:L63"/>
    <mergeCell ref="E64:F64"/>
    <mergeCell ref="G64:H64"/>
    <mergeCell ref="I64:J64"/>
    <mergeCell ref="K64:L64"/>
    <mergeCell ref="N67:N68"/>
    <mergeCell ref="F67:F68"/>
    <mergeCell ref="M67:M68"/>
    <mergeCell ref="O92:P92"/>
    <mergeCell ref="Q92:Q93"/>
    <mergeCell ref="G90:H90"/>
    <mergeCell ref="I90:J90"/>
    <mergeCell ref="K90:L90"/>
    <mergeCell ref="E88:F88"/>
    <mergeCell ref="G88:H88"/>
    <mergeCell ref="I88:J88"/>
    <mergeCell ref="K88:L88"/>
    <mergeCell ref="E89:F89"/>
    <mergeCell ref="G89:H89"/>
    <mergeCell ref="I89:J89"/>
    <mergeCell ref="K89:L89"/>
    <mergeCell ref="E90:F90"/>
    <mergeCell ref="N92:N93"/>
    <mergeCell ref="E107:F107"/>
    <mergeCell ref="G107:H107"/>
    <mergeCell ref="I107:J107"/>
    <mergeCell ref="K107:L107"/>
    <mergeCell ref="O101:P101"/>
    <mergeCell ref="Q101:Q102"/>
    <mergeCell ref="E105:F105"/>
    <mergeCell ref="G105:H105"/>
    <mergeCell ref="I105:J105"/>
    <mergeCell ref="K105:L105"/>
    <mergeCell ref="G101:L101"/>
    <mergeCell ref="N101:N102"/>
    <mergeCell ref="A3:B3"/>
    <mergeCell ref="A20:B20"/>
    <mergeCell ref="A66:B66"/>
    <mergeCell ref="A91:B91"/>
    <mergeCell ref="A100:B100"/>
    <mergeCell ref="E106:F106"/>
    <mergeCell ref="G106:H106"/>
    <mergeCell ref="I106:J106"/>
    <mergeCell ref="K106:L106"/>
    <mergeCell ref="E97:F97"/>
    <mergeCell ref="G97:H97"/>
    <mergeCell ref="I97:J97"/>
    <mergeCell ref="K97:L97"/>
    <mergeCell ref="E98:F98"/>
    <mergeCell ref="G98:H98"/>
    <mergeCell ref="I98:J98"/>
    <mergeCell ref="K98:L98"/>
    <mergeCell ref="E99:F99"/>
    <mergeCell ref="G99:H99"/>
    <mergeCell ref="I99:J99"/>
    <mergeCell ref="K99:L99"/>
    <mergeCell ref="G92:L92"/>
    <mergeCell ref="G21:L21"/>
    <mergeCell ref="D4:D5"/>
  </mergeCells>
  <printOptions horizontalCentered="1"/>
  <pageMargins left="0" right="0" top="0.19685039370078741" bottom="0" header="0" footer="0"/>
  <pageSetup paperSize="9" scale="42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F383-614A-45CA-B2C9-DD58ECB93D92}">
  <sheetPr>
    <tabColor theme="9" tint="0.79998168889431442"/>
  </sheetPr>
  <dimension ref="A1:R63"/>
  <sheetViews>
    <sheetView view="pageBreakPreview" zoomScaleNormal="70" zoomScaleSheetLayoutView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11" sqref="F11"/>
    </sheetView>
  </sheetViews>
  <sheetFormatPr defaultRowHeight="15"/>
  <cols>
    <col min="1" max="1" width="27.7109375" customWidth="1"/>
    <col min="2" max="17" width="20.7109375" customWidth="1"/>
  </cols>
  <sheetData>
    <row r="1" spans="1:17" ht="21">
      <c r="A1" s="317" t="s">
        <v>118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19"/>
      <c r="O1" s="19"/>
      <c r="P1" s="19"/>
      <c r="Q1" s="19"/>
    </row>
    <row r="2" spans="1:17" ht="21">
      <c r="A2" s="317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19"/>
      <c r="O2" s="19"/>
      <c r="P2" s="19"/>
      <c r="Q2" s="19"/>
    </row>
    <row r="3" spans="1:17" ht="15.75">
      <c r="A3" s="13"/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17"/>
      <c r="O3" s="17"/>
      <c r="P3" s="17"/>
      <c r="Q3" s="17"/>
    </row>
    <row r="4" spans="1:17" ht="16.5" thickBot="1">
      <c r="A4" s="13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ht="30" customHeight="1" thickBot="1">
      <c r="A5" s="60" t="s">
        <v>59</v>
      </c>
      <c r="B5" s="74" t="s">
        <v>119</v>
      </c>
      <c r="C5" s="74" t="s">
        <v>120</v>
      </c>
      <c r="D5" s="74" t="s">
        <v>121</v>
      </c>
      <c r="E5" s="74" t="s">
        <v>122</v>
      </c>
      <c r="F5" s="74" t="s">
        <v>123</v>
      </c>
      <c r="G5" s="74" t="s">
        <v>124</v>
      </c>
      <c r="H5" s="74" t="s">
        <v>125</v>
      </c>
      <c r="I5" s="74" t="s">
        <v>126</v>
      </c>
      <c r="J5" s="74" t="s">
        <v>127</v>
      </c>
      <c r="K5" s="74" t="s">
        <v>128</v>
      </c>
      <c r="L5" s="74" t="s">
        <v>129</v>
      </c>
      <c r="M5" s="106" t="s">
        <v>130</v>
      </c>
      <c r="N5" s="126" t="s">
        <v>175</v>
      </c>
      <c r="O5" s="122" t="s">
        <v>189</v>
      </c>
      <c r="P5" s="122" t="s">
        <v>190</v>
      </c>
      <c r="Q5" s="122" t="s">
        <v>184</v>
      </c>
    </row>
    <row r="6" spans="1:17" ht="20.100000000000001" customHeight="1" thickTop="1">
      <c r="A6" s="153">
        <v>46266</v>
      </c>
      <c r="B6" s="24"/>
      <c r="C6" s="24">
        <v>597</v>
      </c>
      <c r="D6" s="24">
        <v>1838</v>
      </c>
      <c r="E6" s="24">
        <v>196</v>
      </c>
      <c r="F6" s="24">
        <v>306</v>
      </c>
      <c r="G6" s="24"/>
      <c r="H6" s="24">
        <v>514</v>
      </c>
      <c r="I6" s="24">
        <v>606</v>
      </c>
      <c r="J6" s="24">
        <v>104</v>
      </c>
      <c r="K6" s="24">
        <v>554</v>
      </c>
      <c r="L6" s="24">
        <v>28</v>
      </c>
      <c r="M6" s="148"/>
      <c r="N6" s="149">
        <f>SUM(B6:M6)</f>
        <v>4743</v>
      </c>
      <c r="O6" s="253">
        <v>35</v>
      </c>
      <c r="P6" s="123">
        <v>34</v>
      </c>
      <c r="Q6" s="123">
        <v>1</v>
      </c>
    </row>
    <row r="7" spans="1:17" ht="20.100000000000001" customHeight="1">
      <c r="A7" s="29">
        <v>46267</v>
      </c>
      <c r="B7" s="12">
        <v>55</v>
      </c>
      <c r="C7" s="12">
        <v>1951</v>
      </c>
      <c r="D7" s="12">
        <v>1637</v>
      </c>
      <c r="E7" s="12">
        <v>426</v>
      </c>
      <c r="F7" s="12">
        <v>9</v>
      </c>
      <c r="G7" s="12">
        <v>1086</v>
      </c>
      <c r="H7" s="12">
        <v>515</v>
      </c>
      <c r="I7" s="12">
        <v>180</v>
      </c>
      <c r="J7" s="12"/>
      <c r="K7" s="12"/>
      <c r="L7" s="12"/>
      <c r="M7" s="150"/>
      <c r="N7" s="149">
        <f>SUM(B7:M7)</f>
        <v>5859</v>
      </c>
      <c r="O7" s="253">
        <v>34</v>
      </c>
      <c r="P7" s="124">
        <v>33</v>
      </c>
      <c r="Q7" s="124">
        <v>1</v>
      </c>
    </row>
    <row r="8" spans="1:17" ht="20.100000000000001" customHeight="1">
      <c r="A8" s="29">
        <v>46268</v>
      </c>
      <c r="B8" s="12">
        <v>73</v>
      </c>
      <c r="C8" s="12">
        <v>2345</v>
      </c>
      <c r="D8" s="12">
        <v>2671</v>
      </c>
      <c r="E8" s="12"/>
      <c r="F8" s="12">
        <v>631</v>
      </c>
      <c r="G8" s="12">
        <v>1215</v>
      </c>
      <c r="H8" s="12">
        <v>270</v>
      </c>
      <c r="I8" s="12"/>
      <c r="J8" s="12"/>
      <c r="K8" s="12">
        <v>556</v>
      </c>
      <c r="L8" s="12"/>
      <c r="M8" s="150"/>
      <c r="N8" s="149">
        <f>SUM(B8:M8)</f>
        <v>7761</v>
      </c>
      <c r="O8" s="253">
        <v>34</v>
      </c>
      <c r="P8" s="124">
        <v>32</v>
      </c>
      <c r="Q8" s="124">
        <v>2</v>
      </c>
    </row>
    <row r="9" spans="1:17" ht="20.100000000000001" customHeight="1">
      <c r="A9" s="29">
        <v>46269</v>
      </c>
      <c r="B9" s="12">
        <v>81</v>
      </c>
      <c r="C9" s="12">
        <v>2552</v>
      </c>
      <c r="D9" s="12">
        <v>1265</v>
      </c>
      <c r="E9" s="12">
        <v>504</v>
      </c>
      <c r="F9" s="12">
        <v>722</v>
      </c>
      <c r="G9" s="12">
        <v>12</v>
      </c>
      <c r="H9" s="12">
        <v>654</v>
      </c>
      <c r="I9" s="12">
        <v>1329</v>
      </c>
      <c r="J9" s="12">
        <v>749</v>
      </c>
      <c r="K9" s="12">
        <v>128</v>
      </c>
      <c r="L9" s="12"/>
      <c r="M9" s="150"/>
      <c r="N9" s="149">
        <f>SUM(B9:M9)</f>
        <v>7996</v>
      </c>
      <c r="O9" s="253">
        <v>34</v>
      </c>
      <c r="P9" s="124">
        <v>32</v>
      </c>
      <c r="Q9" s="124">
        <v>2</v>
      </c>
    </row>
    <row r="10" spans="1:17" ht="20.100000000000001" customHeight="1">
      <c r="A10" s="29">
        <v>46270</v>
      </c>
      <c r="B10" s="12">
        <v>207</v>
      </c>
      <c r="C10" s="12">
        <v>254</v>
      </c>
      <c r="D10" s="12">
        <v>518</v>
      </c>
      <c r="E10" s="12"/>
      <c r="F10" s="12">
        <v>313</v>
      </c>
      <c r="G10" s="12"/>
      <c r="H10" s="12">
        <v>350</v>
      </c>
      <c r="I10" s="12">
        <v>607</v>
      </c>
      <c r="J10" s="12">
        <v>950</v>
      </c>
      <c r="K10" s="12">
        <v>957</v>
      </c>
      <c r="L10" s="12">
        <v>84</v>
      </c>
      <c r="M10" s="150"/>
      <c r="N10" s="149">
        <f>SUM(B10:M10)</f>
        <v>4240</v>
      </c>
      <c r="O10" s="253">
        <v>34</v>
      </c>
      <c r="P10" s="124">
        <v>33</v>
      </c>
      <c r="Q10" s="124">
        <v>1</v>
      </c>
    </row>
    <row r="11" spans="1:17" ht="20.100000000000001" customHeight="1">
      <c r="A11" s="91">
        <v>46271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151"/>
      <c r="N11" s="139"/>
      <c r="O11" s="243"/>
      <c r="P11" s="125"/>
      <c r="Q11" s="125"/>
    </row>
    <row r="12" spans="1:17" ht="20.100000000000001" customHeight="1">
      <c r="A12" s="29">
        <v>46272</v>
      </c>
      <c r="B12" s="12"/>
      <c r="C12" s="12">
        <v>2065</v>
      </c>
      <c r="D12" s="12">
        <v>456</v>
      </c>
      <c r="E12" s="12">
        <v>829</v>
      </c>
      <c r="F12" s="12">
        <v>900</v>
      </c>
      <c r="G12" s="12">
        <v>12</v>
      </c>
      <c r="H12" s="12">
        <v>620</v>
      </c>
      <c r="I12" s="12">
        <v>1007</v>
      </c>
      <c r="J12" s="12">
        <v>193</v>
      </c>
      <c r="K12" s="12">
        <v>1154</v>
      </c>
      <c r="L12" s="12"/>
      <c r="M12" s="150"/>
      <c r="N12" s="149">
        <f t="shared" ref="N12:N17" si="0">SUM(B12:M12)</f>
        <v>7236</v>
      </c>
      <c r="O12" s="253">
        <v>38</v>
      </c>
      <c r="P12" s="124">
        <v>37</v>
      </c>
      <c r="Q12" s="124">
        <v>1</v>
      </c>
    </row>
    <row r="13" spans="1:17" ht="20.100000000000001" customHeight="1">
      <c r="A13" s="29">
        <v>46273</v>
      </c>
      <c r="B13" s="12">
        <v>40</v>
      </c>
      <c r="C13" s="12">
        <v>1400</v>
      </c>
      <c r="D13" s="12"/>
      <c r="E13" s="12">
        <v>1162</v>
      </c>
      <c r="F13" s="12">
        <v>85</v>
      </c>
      <c r="G13" s="12">
        <v>20</v>
      </c>
      <c r="H13" s="12">
        <v>1240</v>
      </c>
      <c r="I13" s="12">
        <v>985</v>
      </c>
      <c r="J13" s="12">
        <v>588</v>
      </c>
      <c r="K13" s="12"/>
      <c r="L13" s="12"/>
      <c r="M13" s="150"/>
      <c r="N13" s="149">
        <f t="shared" si="0"/>
        <v>5520</v>
      </c>
      <c r="O13" s="253">
        <v>38</v>
      </c>
      <c r="P13" s="124">
        <v>36</v>
      </c>
      <c r="Q13" s="124">
        <v>2</v>
      </c>
    </row>
    <row r="14" spans="1:17" ht="20.100000000000001" customHeight="1">
      <c r="A14" s="29">
        <v>46274</v>
      </c>
      <c r="B14" s="12">
        <v>98</v>
      </c>
      <c r="C14" s="12">
        <v>533</v>
      </c>
      <c r="D14" s="12">
        <v>2</v>
      </c>
      <c r="E14" s="12">
        <v>1124</v>
      </c>
      <c r="F14" s="12">
        <v>108</v>
      </c>
      <c r="G14" s="12">
        <v>1076</v>
      </c>
      <c r="H14" s="12">
        <v>512</v>
      </c>
      <c r="I14" s="12"/>
      <c r="J14" s="12">
        <v>548</v>
      </c>
      <c r="K14" s="12"/>
      <c r="L14" s="12">
        <v>913</v>
      </c>
      <c r="M14" s="150"/>
      <c r="N14" s="149">
        <f t="shared" si="0"/>
        <v>4914</v>
      </c>
      <c r="O14" s="253">
        <v>38</v>
      </c>
      <c r="P14" s="124">
        <v>38</v>
      </c>
      <c r="Q14" s="124">
        <v>0</v>
      </c>
    </row>
    <row r="15" spans="1:17" ht="20.100000000000001" customHeight="1">
      <c r="A15" s="29">
        <v>46275</v>
      </c>
      <c r="B15" s="12">
        <v>112</v>
      </c>
      <c r="C15" s="12">
        <v>899</v>
      </c>
      <c r="D15" s="12">
        <v>7</v>
      </c>
      <c r="E15" s="12">
        <v>1446</v>
      </c>
      <c r="F15" s="12">
        <v>720</v>
      </c>
      <c r="G15" s="12">
        <v>1105</v>
      </c>
      <c r="H15" s="12">
        <v>506</v>
      </c>
      <c r="I15" s="12">
        <v>356</v>
      </c>
      <c r="J15" s="12">
        <v>186</v>
      </c>
      <c r="K15" s="12"/>
      <c r="L15" s="12"/>
      <c r="M15" s="150"/>
      <c r="N15" s="149">
        <f t="shared" si="0"/>
        <v>5337</v>
      </c>
      <c r="O15" s="253">
        <v>38</v>
      </c>
      <c r="P15" s="124">
        <v>37</v>
      </c>
      <c r="Q15" s="124">
        <v>1</v>
      </c>
    </row>
    <row r="16" spans="1:17" ht="20.100000000000001" customHeight="1">
      <c r="A16" s="29">
        <v>46276</v>
      </c>
      <c r="B16" s="12"/>
      <c r="C16" s="12">
        <v>517</v>
      </c>
      <c r="D16" s="12">
        <v>235</v>
      </c>
      <c r="E16" s="12">
        <v>415</v>
      </c>
      <c r="F16" s="12">
        <v>781</v>
      </c>
      <c r="G16" s="12">
        <v>1698</v>
      </c>
      <c r="H16" s="12">
        <v>502</v>
      </c>
      <c r="I16" s="12">
        <v>947</v>
      </c>
      <c r="J16" s="12">
        <v>1179</v>
      </c>
      <c r="K16" s="12"/>
      <c r="L16" s="12">
        <v>24</v>
      </c>
      <c r="M16" s="150"/>
      <c r="N16" s="149">
        <f t="shared" si="0"/>
        <v>6298</v>
      </c>
      <c r="O16" s="253">
        <v>38</v>
      </c>
      <c r="P16" s="124">
        <v>38</v>
      </c>
      <c r="Q16" s="124">
        <v>0</v>
      </c>
    </row>
    <row r="17" spans="1:17" ht="20.100000000000001" customHeight="1">
      <c r="A17" s="29">
        <v>46277</v>
      </c>
      <c r="B17" s="12"/>
      <c r="C17" s="12">
        <v>320</v>
      </c>
      <c r="D17" s="12">
        <v>326</v>
      </c>
      <c r="E17" s="12"/>
      <c r="F17" s="12">
        <v>984</v>
      </c>
      <c r="G17" s="12">
        <v>48</v>
      </c>
      <c r="H17" s="12">
        <v>43</v>
      </c>
      <c r="I17" s="12">
        <v>705</v>
      </c>
      <c r="J17" s="12">
        <v>472</v>
      </c>
      <c r="K17" s="12">
        <v>915</v>
      </c>
      <c r="L17" s="12">
        <v>557</v>
      </c>
      <c r="M17" s="150"/>
      <c r="N17" s="149">
        <f t="shared" si="0"/>
        <v>4370</v>
      </c>
      <c r="O17" s="253">
        <v>38</v>
      </c>
      <c r="P17" s="124">
        <v>38</v>
      </c>
      <c r="Q17" s="124">
        <v>0</v>
      </c>
    </row>
    <row r="18" spans="1:17" ht="20.100000000000001" customHeight="1">
      <c r="A18" s="91">
        <v>46278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151"/>
      <c r="N18" s="139"/>
      <c r="O18" s="243"/>
      <c r="P18" s="125"/>
      <c r="Q18" s="125"/>
    </row>
    <row r="19" spans="1:17" ht="20.100000000000001" customHeight="1">
      <c r="A19" s="29">
        <v>46279</v>
      </c>
      <c r="B19" s="12">
        <v>57</v>
      </c>
      <c r="C19" s="12">
        <v>751</v>
      </c>
      <c r="D19" s="12">
        <v>1056</v>
      </c>
      <c r="E19" s="12"/>
      <c r="F19" s="12">
        <v>800</v>
      </c>
      <c r="G19" s="12">
        <v>36</v>
      </c>
      <c r="H19" s="12">
        <v>909</v>
      </c>
      <c r="I19" s="12">
        <v>1734</v>
      </c>
      <c r="J19" s="12">
        <v>162</v>
      </c>
      <c r="K19" s="12">
        <v>325</v>
      </c>
      <c r="L19" s="12">
        <v>78</v>
      </c>
      <c r="M19" s="150"/>
      <c r="N19" s="149">
        <f>SUM(B19:M19)</f>
        <v>5908</v>
      </c>
      <c r="O19" s="253">
        <v>35</v>
      </c>
      <c r="P19" s="124">
        <v>34</v>
      </c>
      <c r="Q19" s="124">
        <v>1</v>
      </c>
    </row>
    <row r="20" spans="1:17" ht="20.100000000000001" customHeight="1">
      <c r="A20" s="29">
        <v>46280</v>
      </c>
      <c r="B20" s="12">
        <v>810</v>
      </c>
      <c r="C20" s="12">
        <v>1007</v>
      </c>
      <c r="D20" s="12">
        <v>335</v>
      </c>
      <c r="E20" s="12">
        <v>43</v>
      </c>
      <c r="F20" s="12">
        <v>1470</v>
      </c>
      <c r="G20" s="12">
        <v>1359</v>
      </c>
      <c r="H20" s="12">
        <v>520</v>
      </c>
      <c r="I20" s="12">
        <v>663</v>
      </c>
      <c r="J20" s="12">
        <v>339</v>
      </c>
      <c r="K20" s="12"/>
      <c r="L20" s="12"/>
      <c r="M20" s="150"/>
      <c r="N20" s="149">
        <f>SUM(B20:M20)</f>
        <v>6546</v>
      </c>
      <c r="O20" s="253">
        <v>35</v>
      </c>
      <c r="P20" s="124">
        <v>33</v>
      </c>
      <c r="Q20" s="124">
        <v>2</v>
      </c>
    </row>
    <row r="21" spans="1:17" ht="20.100000000000001" customHeight="1" thickBot="1">
      <c r="A21" s="29">
        <v>46281</v>
      </c>
      <c r="B21" s="30">
        <v>892</v>
      </c>
      <c r="C21" s="30">
        <v>735</v>
      </c>
      <c r="D21" s="30">
        <v>385</v>
      </c>
      <c r="E21" s="30"/>
      <c r="F21" s="30">
        <v>1176</v>
      </c>
      <c r="G21" s="30">
        <v>1381</v>
      </c>
      <c r="H21" s="30">
        <v>155</v>
      </c>
      <c r="I21" s="30">
        <v>454</v>
      </c>
      <c r="J21" s="30">
        <v>911</v>
      </c>
      <c r="K21" s="30"/>
      <c r="L21" s="30"/>
      <c r="M21" s="152"/>
      <c r="N21" s="112">
        <f>SUM(B21:M21)</f>
        <v>6089</v>
      </c>
      <c r="O21" s="245">
        <v>35</v>
      </c>
      <c r="P21" s="130">
        <v>34</v>
      </c>
      <c r="Q21" s="130">
        <v>1</v>
      </c>
    </row>
    <row r="22" spans="1:17" ht="30" customHeight="1" thickBot="1">
      <c r="A22" s="76" t="s">
        <v>170</v>
      </c>
      <c r="B22" s="77">
        <f t="shared" ref="B22:L22" si="1">+ROUNDDOWN(AVERAGE(B6:B21),0)</f>
        <v>242</v>
      </c>
      <c r="C22" s="77">
        <f t="shared" si="1"/>
        <v>1137</v>
      </c>
      <c r="D22" s="77">
        <f t="shared" si="1"/>
        <v>825</v>
      </c>
      <c r="E22" s="77">
        <f t="shared" si="1"/>
        <v>682</v>
      </c>
      <c r="F22" s="77">
        <f t="shared" si="1"/>
        <v>643</v>
      </c>
      <c r="G22" s="77">
        <f t="shared" si="1"/>
        <v>754</v>
      </c>
      <c r="H22" s="77">
        <f t="shared" si="1"/>
        <v>522</v>
      </c>
      <c r="I22" s="77">
        <f t="shared" si="1"/>
        <v>797</v>
      </c>
      <c r="J22" s="77">
        <f t="shared" si="1"/>
        <v>531</v>
      </c>
      <c r="K22" s="77">
        <f t="shared" si="1"/>
        <v>655</v>
      </c>
      <c r="L22" s="77">
        <f t="shared" si="1"/>
        <v>280</v>
      </c>
      <c r="M22" s="133"/>
      <c r="N22" s="131"/>
      <c r="O22" s="132"/>
      <c r="P22" s="132">
        <f>MAX(P6:P21)</f>
        <v>38</v>
      </c>
      <c r="Q22" s="132">
        <f>MAX(Q6:Q21)</f>
        <v>2</v>
      </c>
    </row>
    <row r="24" spans="1:17" ht="15.75">
      <c r="A24" s="13" t="s">
        <v>4</v>
      </c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17"/>
      <c r="O24" s="17"/>
      <c r="P24" s="17"/>
      <c r="Q24" s="17"/>
    </row>
    <row r="25" spans="1:17" ht="16.5" thickBot="1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30" customHeight="1" thickBot="1">
      <c r="A26" s="60" t="s">
        <v>59</v>
      </c>
      <c r="B26" s="74" t="s">
        <v>119</v>
      </c>
      <c r="C26" s="74" t="s">
        <v>120</v>
      </c>
      <c r="D26" s="74" t="s">
        <v>121</v>
      </c>
      <c r="E26" s="74" t="s">
        <v>122</v>
      </c>
      <c r="F26" s="74" t="s">
        <v>123</v>
      </c>
      <c r="G26" s="74" t="s">
        <v>124</v>
      </c>
      <c r="H26" s="74" t="s">
        <v>125</v>
      </c>
      <c r="I26" s="74" t="s">
        <v>126</v>
      </c>
      <c r="J26" s="74" t="s">
        <v>127</v>
      </c>
      <c r="K26" s="74" t="s">
        <v>128</v>
      </c>
      <c r="L26" s="74" t="s">
        <v>129</v>
      </c>
      <c r="M26" s="75" t="s">
        <v>130</v>
      </c>
      <c r="N26" s="126" t="s">
        <v>174</v>
      </c>
      <c r="O26" s="122" t="s">
        <v>189</v>
      </c>
      <c r="P26" s="122" t="s">
        <v>173</v>
      </c>
      <c r="Q26" s="122" t="s">
        <v>184</v>
      </c>
    </row>
    <row r="27" spans="1:17" ht="20.100000000000001" customHeight="1" thickTop="1">
      <c r="A27" s="25">
        <v>46266</v>
      </c>
      <c r="B27" s="51">
        <v>18</v>
      </c>
      <c r="C27" s="51">
        <v>1812</v>
      </c>
      <c r="D27" s="51">
        <v>1763</v>
      </c>
      <c r="E27" s="51">
        <v>405</v>
      </c>
      <c r="F27" s="51"/>
      <c r="G27" s="51">
        <v>1108</v>
      </c>
      <c r="H27" s="51">
        <v>519</v>
      </c>
      <c r="I27" s="51">
        <v>66</v>
      </c>
      <c r="J27" s="51"/>
      <c r="K27" s="51"/>
      <c r="L27" s="51">
        <v>2</v>
      </c>
      <c r="M27" s="52"/>
      <c r="N27" s="127">
        <f>SUM(B27:M27)</f>
        <v>5693</v>
      </c>
      <c r="O27" s="123">
        <v>36</v>
      </c>
      <c r="P27" s="123">
        <v>36</v>
      </c>
      <c r="Q27" s="123">
        <v>0</v>
      </c>
    </row>
    <row r="28" spans="1:17" ht="20.100000000000001" customHeight="1">
      <c r="A28" s="27">
        <v>46267</v>
      </c>
      <c r="B28" s="21">
        <v>32</v>
      </c>
      <c r="C28" s="21">
        <v>1907</v>
      </c>
      <c r="D28" s="21">
        <v>1650</v>
      </c>
      <c r="E28" s="21"/>
      <c r="F28" s="21">
        <v>341</v>
      </c>
      <c r="G28" s="21">
        <v>1142</v>
      </c>
      <c r="H28" s="21">
        <v>514</v>
      </c>
      <c r="I28" s="21">
        <v>320</v>
      </c>
      <c r="J28" s="21"/>
      <c r="K28" s="21">
        <v>105</v>
      </c>
      <c r="L28" s="21"/>
      <c r="M28" s="50"/>
      <c r="N28" s="127">
        <f>SUM(B28:M28)</f>
        <v>6011</v>
      </c>
      <c r="O28" s="123">
        <v>36</v>
      </c>
      <c r="P28" s="124">
        <v>35</v>
      </c>
      <c r="Q28" s="124">
        <v>1</v>
      </c>
    </row>
    <row r="29" spans="1:17" ht="20.100000000000001" customHeight="1">
      <c r="A29" s="27">
        <v>46268</v>
      </c>
      <c r="B29" s="21">
        <v>32</v>
      </c>
      <c r="C29" s="21">
        <v>2352</v>
      </c>
      <c r="D29" s="21">
        <v>2187</v>
      </c>
      <c r="E29" s="21"/>
      <c r="F29" s="21">
        <v>210</v>
      </c>
      <c r="G29" s="21">
        <v>51</v>
      </c>
      <c r="H29" s="21">
        <v>650</v>
      </c>
      <c r="I29" s="21">
        <v>874</v>
      </c>
      <c r="J29" s="21"/>
      <c r="K29" s="21">
        <v>1802</v>
      </c>
      <c r="L29" s="21"/>
      <c r="M29" s="50"/>
      <c r="N29" s="127">
        <f>SUM(B29:M29)</f>
        <v>8158</v>
      </c>
      <c r="O29" s="123">
        <v>35</v>
      </c>
      <c r="P29" s="124">
        <v>35</v>
      </c>
      <c r="Q29" s="124">
        <v>0</v>
      </c>
    </row>
    <row r="30" spans="1:17" ht="20.100000000000001" customHeight="1">
      <c r="A30" s="27">
        <v>46269</v>
      </c>
      <c r="B30" s="21">
        <v>174</v>
      </c>
      <c r="C30" s="21">
        <v>2182</v>
      </c>
      <c r="D30" s="21">
        <v>1105</v>
      </c>
      <c r="E30" s="21">
        <v>507</v>
      </c>
      <c r="F30" s="21"/>
      <c r="G30" s="21"/>
      <c r="H30" s="21">
        <v>652</v>
      </c>
      <c r="I30" s="21">
        <v>1350</v>
      </c>
      <c r="J30" s="21">
        <v>1800</v>
      </c>
      <c r="K30" s="21">
        <v>1709</v>
      </c>
      <c r="L30" s="21"/>
      <c r="M30" s="50"/>
      <c r="N30" s="127">
        <f>SUM(B30:M30)</f>
        <v>9479</v>
      </c>
      <c r="O30" s="123">
        <v>35</v>
      </c>
      <c r="P30" s="124">
        <v>35</v>
      </c>
      <c r="Q30" s="124">
        <v>0</v>
      </c>
    </row>
    <row r="31" spans="1:17" ht="20.100000000000001" customHeight="1">
      <c r="A31" s="27">
        <v>46270</v>
      </c>
      <c r="B31" s="21">
        <v>203</v>
      </c>
      <c r="C31" s="21">
        <v>567</v>
      </c>
      <c r="D31" s="21">
        <v>685</v>
      </c>
      <c r="E31" s="21"/>
      <c r="F31" s="21">
        <v>642</v>
      </c>
      <c r="G31" s="21"/>
      <c r="H31" s="21">
        <v>552</v>
      </c>
      <c r="I31" s="21">
        <v>336</v>
      </c>
      <c r="J31" s="21">
        <v>544</v>
      </c>
      <c r="K31" s="21">
        <v>139</v>
      </c>
      <c r="L31" s="21"/>
      <c r="M31" s="50"/>
      <c r="N31" s="127">
        <f>SUM(B31:M31)</f>
        <v>3668</v>
      </c>
      <c r="O31" s="123">
        <v>35</v>
      </c>
      <c r="P31" s="124">
        <v>35</v>
      </c>
      <c r="Q31" s="124">
        <v>0</v>
      </c>
    </row>
    <row r="32" spans="1:17" ht="20.100000000000001" customHeight="1">
      <c r="A32" s="91">
        <v>46271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128"/>
      <c r="O32" s="125"/>
      <c r="P32" s="125"/>
      <c r="Q32" s="125"/>
    </row>
    <row r="33" spans="1:18" ht="20.100000000000001" customHeight="1">
      <c r="A33" s="27">
        <v>46272</v>
      </c>
      <c r="B33" s="21"/>
      <c r="C33" s="21">
        <v>2005</v>
      </c>
      <c r="D33" s="21">
        <v>785</v>
      </c>
      <c r="E33" s="21">
        <v>406</v>
      </c>
      <c r="F33" s="21">
        <v>1140</v>
      </c>
      <c r="G33" s="21">
        <v>18</v>
      </c>
      <c r="H33" s="21">
        <v>933</v>
      </c>
      <c r="I33" s="21">
        <v>0</v>
      </c>
      <c r="J33" s="21">
        <v>932</v>
      </c>
      <c r="K33" s="21">
        <v>161</v>
      </c>
      <c r="L33" s="21"/>
      <c r="M33" s="50"/>
      <c r="N33" s="127">
        <f t="shared" ref="N33:N38" si="2">SUM(B33:M33)</f>
        <v>6380</v>
      </c>
      <c r="O33" s="123">
        <v>33</v>
      </c>
      <c r="P33" s="124">
        <v>32</v>
      </c>
      <c r="Q33" s="124">
        <v>1</v>
      </c>
    </row>
    <row r="34" spans="1:18" ht="20.100000000000001" customHeight="1">
      <c r="A34" s="27">
        <v>46273</v>
      </c>
      <c r="B34" s="21"/>
      <c r="C34" s="21">
        <v>817</v>
      </c>
      <c r="D34" s="21">
        <v>272</v>
      </c>
      <c r="E34" s="21">
        <v>577</v>
      </c>
      <c r="F34" s="21">
        <v>277</v>
      </c>
      <c r="G34" s="21">
        <v>608</v>
      </c>
      <c r="H34" s="21">
        <v>858</v>
      </c>
      <c r="I34" s="21">
        <v>326</v>
      </c>
      <c r="J34" s="21">
        <v>898</v>
      </c>
      <c r="K34" s="21">
        <v>150</v>
      </c>
      <c r="L34" s="21">
        <v>427</v>
      </c>
      <c r="M34" s="50"/>
      <c r="N34" s="127">
        <f t="shared" si="2"/>
        <v>5210</v>
      </c>
      <c r="O34" s="123">
        <v>33</v>
      </c>
      <c r="P34" s="124">
        <v>32</v>
      </c>
      <c r="Q34" s="124">
        <v>1</v>
      </c>
    </row>
    <row r="35" spans="1:18" ht="20.100000000000001" customHeight="1">
      <c r="A35" s="27">
        <v>46274</v>
      </c>
      <c r="B35" s="21">
        <v>269</v>
      </c>
      <c r="C35" s="21">
        <v>1665</v>
      </c>
      <c r="D35" s="21">
        <v>922</v>
      </c>
      <c r="E35" s="21">
        <v>469</v>
      </c>
      <c r="F35" s="21">
        <v>690</v>
      </c>
      <c r="G35" s="21">
        <v>1178</v>
      </c>
      <c r="H35" s="21">
        <v>503</v>
      </c>
      <c r="I35" s="21">
        <v>60</v>
      </c>
      <c r="J35" s="21">
        <v>9</v>
      </c>
      <c r="K35" s="21">
        <v>0</v>
      </c>
      <c r="L35" s="21">
        <v>150</v>
      </c>
      <c r="M35" s="50"/>
      <c r="N35" s="127">
        <f t="shared" si="2"/>
        <v>5915</v>
      </c>
      <c r="O35" s="123">
        <v>33</v>
      </c>
      <c r="P35" s="124">
        <v>32</v>
      </c>
      <c r="Q35" s="124">
        <v>1</v>
      </c>
    </row>
    <row r="36" spans="1:18" ht="20.100000000000001" customHeight="1">
      <c r="A36" s="27">
        <v>46275</v>
      </c>
      <c r="B36" s="21"/>
      <c r="C36" s="21">
        <v>1861</v>
      </c>
      <c r="D36" s="21">
        <v>780</v>
      </c>
      <c r="E36" s="21">
        <v>165</v>
      </c>
      <c r="F36" s="21">
        <v>800</v>
      </c>
      <c r="G36" s="21">
        <v>1492</v>
      </c>
      <c r="H36" s="21">
        <v>500</v>
      </c>
      <c r="I36" s="21">
        <v>610</v>
      </c>
      <c r="J36" s="21">
        <v>764</v>
      </c>
      <c r="K36" s="21">
        <v>294</v>
      </c>
      <c r="L36" s="21">
        <v>0</v>
      </c>
      <c r="M36" s="50"/>
      <c r="N36" s="127">
        <f t="shared" si="2"/>
        <v>7266</v>
      </c>
      <c r="O36" s="123">
        <v>33</v>
      </c>
      <c r="P36" s="124">
        <v>31</v>
      </c>
      <c r="Q36" s="124">
        <v>2</v>
      </c>
    </row>
    <row r="37" spans="1:18" ht="20.100000000000001" customHeight="1">
      <c r="A37" s="27">
        <v>46276</v>
      </c>
      <c r="B37" s="21">
        <v>96</v>
      </c>
      <c r="C37" s="21">
        <v>988</v>
      </c>
      <c r="D37" s="21">
        <v>430</v>
      </c>
      <c r="E37" s="21">
        <v>343</v>
      </c>
      <c r="F37" s="21">
        <v>888</v>
      </c>
      <c r="G37" s="21">
        <v>0</v>
      </c>
      <c r="H37" s="21">
        <v>455</v>
      </c>
      <c r="I37" s="21">
        <v>1077</v>
      </c>
      <c r="J37" s="21">
        <v>0</v>
      </c>
      <c r="K37" s="21">
        <v>631</v>
      </c>
      <c r="L37" s="21">
        <v>696</v>
      </c>
      <c r="M37" s="50"/>
      <c r="N37" s="127">
        <f t="shared" si="2"/>
        <v>5604</v>
      </c>
      <c r="O37" s="123">
        <v>33</v>
      </c>
      <c r="P37" s="124">
        <v>32</v>
      </c>
      <c r="Q37" s="124">
        <v>1</v>
      </c>
    </row>
    <row r="38" spans="1:18" ht="20.100000000000001" customHeight="1">
      <c r="A38" s="27">
        <v>46277</v>
      </c>
      <c r="B38" s="21"/>
      <c r="C38" s="21">
        <v>840</v>
      </c>
      <c r="D38" s="21">
        <v>164</v>
      </c>
      <c r="E38" s="21"/>
      <c r="F38" s="21">
        <v>533</v>
      </c>
      <c r="G38" s="21">
        <v>103</v>
      </c>
      <c r="H38" s="21">
        <v>353</v>
      </c>
      <c r="I38" s="21">
        <v>886</v>
      </c>
      <c r="J38" s="21">
        <v>842</v>
      </c>
      <c r="K38" s="21">
        <v>860</v>
      </c>
      <c r="L38" s="21">
        <v>384</v>
      </c>
      <c r="M38" s="50"/>
      <c r="N38" s="127">
        <f t="shared" si="2"/>
        <v>4965</v>
      </c>
      <c r="O38" s="123">
        <v>33</v>
      </c>
      <c r="P38" s="124">
        <v>32</v>
      </c>
      <c r="Q38" s="124">
        <v>1</v>
      </c>
    </row>
    <row r="39" spans="1:18" ht="20.100000000000001" customHeight="1">
      <c r="A39" s="91">
        <v>46278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128"/>
      <c r="O39" s="125"/>
      <c r="P39" s="125"/>
      <c r="Q39" s="125"/>
    </row>
    <row r="40" spans="1:18" ht="20.100000000000001" customHeight="1">
      <c r="A40" s="27">
        <v>46279</v>
      </c>
      <c r="B40" s="21">
        <v>610</v>
      </c>
      <c r="C40" s="21">
        <v>1529</v>
      </c>
      <c r="D40" s="21">
        <v>616</v>
      </c>
      <c r="E40" s="21"/>
      <c r="F40" s="21">
        <v>1468</v>
      </c>
      <c r="G40" s="21">
        <v>660</v>
      </c>
      <c r="H40" s="21">
        <v>584</v>
      </c>
      <c r="I40" s="21">
        <v>1032</v>
      </c>
      <c r="J40" s="21"/>
      <c r="K40" s="21"/>
      <c r="L40" s="21"/>
      <c r="M40" s="50"/>
      <c r="N40" s="127">
        <f>SUM(B40:M40)</f>
        <v>6499</v>
      </c>
      <c r="O40" s="123">
        <v>36</v>
      </c>
      <c r="P40" s="124">
        <v>35</v>
      </c>
      <c r="Q40" s="124">
        <v>1</v>
      </c>
    </row>
    <row r="41" spans="1:18" ht="20.100000000000001" customHeight="1">
      <c r="A41" s="27">
        <v>46280</v>
      </c>
      <c r="B41" s="21">
        <v>750</v>
      </c>
      <c r="C41" s="21">
        <v>1607</v>
      </c>
      <c r="D41" s="21">
        <v>322</v>
      </c>
      <c r="E41" s="21"/>
      <c r="F41" s="21">
        <v>1619</v>
      </c>
      <c r="G41" s="21">
        <v>1200</v>
      </c>
      <c r="H41" s="21">
        <v>516</v>
      </c>
      <c r="I41" s="21">
        <v>8</v>
      </c>
      <c r="J41" s="21">
        <v>1222</v>
      </c>
      <c r="K41" s="21"/>
      <c r="L41" s="21"/>
      <c r="M41" s="50"/>
      <c r="N41" s="127">
        <f>SUM(B41:M41)</f>
        <v>7244</v>
      </c>
      <c r="O41" s="123">
        <v>36</v>
      </c>
      <c r="P41" s="124">
        <v>35</v>
      </c>
      <c r="Q41" s="124">
        <v>1</v>
      </c>
    </row>
    <row r="42" spans="1:18" ht="20.100000000000001" customHeight="1" thickBot="1">
      <c r="A42" s="29">
        <v>46281</v>
      </c>
      <c r="B42" s="53">
        <v>1182</v>
      </c>
      <c r="C42" s="53">
        <v>1598</v>
      </c>
      <c r="D42" s="53">
        <v>469</v>
      </c>
      <c r="E42" s="53"/>
      <c r="F42" s="53">
        <v>815</v>
      </c>
      <c r="G42" s="53">
        <v>2330</v>
      </c>
      <c r="H42" s="53"/>
      <c r="I42" s="53"/>
      <c r="J42" s="53"/>
      <c r="K42" s="53">
        <v>530</v>
      </c>
      <c r="L42" s="53"/>
      <c r="M42" s="54"/>
      <c r="N42" s="129">
        <f>SUM(B42:M42)</f>
        <v>6924</v>
      </c>
      <c r="O42" s="254">
        <v>36</v>
      </c>
      <c r="P42" s="130">
        <v>34</v>
      </c>
      <c r="Q42" s="130">
        <v>2</v>
      </c>
    </row>
    <row r="43" spans="1:18" ht="30" customHeight="1" thickBot="1">
      <c r="A43" s="76" t="s">
        <v>131</v>
      </c>
      <c r="B43" s="77">
        <f>+ROUNDDOWN(AVERAGE(B27:B42),0)</f>
        <v>336</v>
      </c>
      <c r="C43" s="77">
        <f t="shared" ref="C43" si="3">+ROUNDDOWN(AVERAGE(C27:C42),0)</f>
        <v>1552</v>
      </c>
      <c r="D43" s="77">
        <f t="shared" ref="D43" si="4">+ROUNDDOWN(AVERAGE(D27:D42),0)</f>
        <v>867</v>
      </c>
      <c r="E43" s="77">
        <f t="shared" ref="E43" si="5">+ROUNDDOWN(AVERAGE(E27:E42),0)</f>
        <v>410</v>
      </c>
      <c r="F43" s="77">
        <f t="shared" ref="F43" si="6">+ROUNDDOWN(AVERAGE(F27:F42),0)</f>
        <v>785</v>
      </c>
      <c r="G43" s="77">
        <f t="shared" ref="G43" si="7">+ROUNDDOWN(AVERAGE(G27:G42),0)</f>
        <v>824</v>
      </c>
      <c r="H43" s="77">
        <f t="shared" ref="H43" si="8">+ROUNDDOWN(AVERAGE(H27:H42),0)</f>
        <v>583</v>
      </c>
      <c r="I43" s="77">
        <f t="shared" ref="I43" si="9">+ROUNDDOWN(AVERAGE(I27:I42),0)</f>
        <v>534</v>
      </c>
      <c r="J43" s="77">
        <f t="shared" ref="J43" si="10">+ROUNDDOWN(AVERAGE(J27:J42),0)</f>
        <v>779</v>
      </c>
      <c r="K43" s="77">
        <f t="shared" ref="K43" si="11">+ROUNDDOWN(AVERAGE(K27:K42),0)</f>
        <v>580</v>
      </c>
      <c r="L43" s="77">
        <f t="shared" ref="L43" si="12">+ROUNDDOWN(AVERAGE(L27:L42),0)</f>
        <v>276</v>
      </c>
      <c r="M43" s="78"/>
      <c r="N43" s="131"/>
      <c r="O43" s="132"/>
      <c r="P43" s="132">
        <f>MAX(P27:P42)</f>
        <v>36</v>
      </c>
      <c r="Q43" s="132">
        <f>MAX(Q27:Q42)</f>
        <v>2</v>
      </c>
      <c r="R43" s="248"/>
    </row>
    <row r="45" spans="1:18" ht="20.100000000000001" customHeight="1" thickBot="1">
      <c r="A45" s="168" t="s">
        <v>177</v>
      </c>
    </row>
    <row r="46" spans="1:18" ht="20.100000000000001" customHeight="1">
      <c r="A46" s="315" t="s">
        <v>59</v>
      </c>
      <c r="B46" s="313" t="s">
        <v>174</v>
      </c>
      <c r="C46" s="314"/>
    </row>
    <row r="47" spans="1:18" ht="20.100000000000001" customHeight="1" thickBot="1">
      <c r="A47" s="316"/>
      <c r="B47" s="166" t="s">
        <v>3</v>
      </c>
      <c r="C47" s="167" t="s">
        <v>4</v>
      </c>
    </row>
    <row r="48" spans="1:18" ht="20.100000000000001" customHeight="1" thickTop="1">
      <c r="A48" s="163">
        <v>46266</v>
      </c>
      <c r="B48" s="164">
        <v>4743</v>
      </c>
      <c r="C48" s="165">
        <v>5693</v>
      </c>
    </row>
    <row r="49" spans="1:3" ht="20.100000000000001" customHeight="1">
      <c r="A49" s="157">
        <v>46267</v>
      </c>
      <c r="B49" s="154">
        <v>5859</v>
      </c>
      <c r="C49" s="156">
        <v>6011</v>
      </c>
    </row>
    <row r="50" spans="1:3" ht="20.100000000000001" customHeight="1">
      <c r="A50" s="157">
        <v>46268</v>
      </c>
      <c r="B50" s="154">
        <v>7761</v>
      </c>
      <c r="C50" s="156">
        <v>8158</v>
      </c>
    </row>
    <row r="51" spans="1:3" ht="20.100000000000001" customHeight="1">
      <c r="A51" s="157">
        <v>46269</v>
      </c>
      <c r="B51" s="154">
        <v>7996</v>
      </c>
      <c r="C51" s="156">
        <v>9479</v>
      </c>
    </row>
    <row r="52" spans="1:3" ht="20.100000000000001" customHeight="1">
      <c r="A52" s="157">
        <v>46270</v>
      </c>
      <c r="B52" s="154">
        <v>4240</v>
      </c>
      <c r="C52" s="156">
        <v>3668</v>
      </c>
    </row>
    <row r="53" spans="1:3" ht="20.100000000000001" customHeight="1">
      <c r="A53" s="158">
        <v>46271</v>
      </c>
      <c r="B53" s="155"/>
      <c r="C53" s="159"/>
    </row>
    <row r="54" spans="1:3" ht="20.100000000000001" customHeight="1">
      <c r="A54" s="157">
        <v>46272</v>
      </c>
      <c r="B54" s="154">
        <v>7236</v>
      </c>
      <c r="C54" s="156">
        <v>6380</v>
      </c>
    </row>
    <row r="55" spans="1:3" ht="20.100000000000001" customHeight="1">
      <c r="A55" s="157">
        <v>46273</v>
      </c>
      <c r="B55" s="154">
        <v>5520</v>
      </c>
      <c r="C55" s="156">
        <v>5210</v>
      </c>
    </row>
    <row r="56" spans="1:3" ht="20.100000000000001" customHeight="1">
      <c r="A56" s="157">
        <v>46274</v>
      </c>
      <c r="B56" s="154">
        <v>4914</v>
      </c>
      <c r="C56" s="156">
        <v>5915</v>
      </c>
    </row>
    <row r="57" spans="1:3" ht="20.100000000000001" customHeight="1">
      <c r="A57" s="157">
        <v>46275</v>
      </c>
      <c r="B57" s="154">
        <v>5337</v>
      </c>
      <c r="C57" s="156">
        <v>7266</v>
      </c>
    </row>
    <row r="58" spans="1:3" ht="20.100000000000001" customHeight="1">
      <c r="A58" s="157">
        <v>46276</v>
      </c>
      <c r="B58" s="154">
        <v>6298</v>
      </c>
      <c r="C58" s="156">
        <v>5604</v>
      </c>
    </row>
    <row r="59" spans="1:3" ht="20.100000000000001" customHeight="1">
      <c r="A59" s="157">
        <v>46277</v>
      </c>
      <c r="B59" s="154">
        <v>4370</v>
      </c>
      <c r="C59" s="156">
        <v>4965</v>
      </c>
    </row>
    <row r="60" spans="1:3" ht="20.100000000000001" customHeight="1">
      <c r="A60" s="158">
        <v>46278</v>
      </c>
      <c r="B60" s="155"/>
      <c r="C60" s="159"/>
    </row>
    <row r="61" spans="1:3" ht="20.100000000000001" customHeight="1">
      <c r="A61" s="157">
        <v>46279</v>
      </c>
      <c r="B61" s="154">
        <v>5908</v>
      </c>
      <c r="C61" s="156">
        <v>6499</v>
      </c>
    </row>
    <row r="62" spans="1:3" ht="20.100000000000001" customHeight="1">
      <c r="A62" s="157">
        <v>46280</v>
      </c>
      <c r="B62" s="154">
        <v>6546</v>
      </c>
      <c r="C62" s="156">
        <v>7244</v>
      </c>
    </row>
    <row r="63" spans="1:3" ht="20.100000000000001" customHeight="1" thickBot="1">
      <c r="A63" s="160">
        <v>46281</v>
      </c>
      <c r="B63" s="161">
        <v>6089</v>
      </c>
      <c r="C63" s="162">
        <v>6924</v>
      </c>
    </row>
  </sheetData>
  <mergeCells count="5">
    <mergeCell ref="B46:C46"/>
    <mergeCell ref="A46:A47"/>
    <mergeCell ref="A1:M2"/>
    <mergeCell ref="B3:M3"/>
    <mergeCell ref="B24:M24"/>
  </mergeCells>
  <pageMargins left="0.7" right="0.7" top="0.75" bottom="0.75" header="0.3" footer="0.3"/>
  <pageSetup paperSize="9" scale="24" orientation="portrait" r:id="rId1"/>
  <colBreaks count="1" manualBreakCount="1">
    <brk id="1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64B4-3D87-4E65-A5FB-CDA586A3479B}">
  <sheetPr>
    <tabColor rgb="FFFFC000"/>
  </sheetPr>
  <dimension ref="A1:AP84"/>
  <sheetViews>
    <sheetView showGridLines="0" view="pageBreakPreview" zoomScale="60" zoomScaleNormal="70" workbookViewId="0">
      <pane xSplit="1" ySplit="5" topLeftCell="B45" activePane="bottomRight" state="frozen"/>
      <selection pane="topRight" activeCell="B1" sqref="B1"/>
      <selection pane="bottomLeft" activeCell="A6" sqref="A6"/>
      <selection pane="bottomRight" activeCell="I3" sqref="I1:I1048576"/>
    </sheetView>
  </sheetViews>
  <sheetFormatPr defaultRowHeight="15"/>
  <cols>
    <col min="1" max="1" width="28.5703125" style="83" customWidth="1"/>
    <col min="2" max="38" width="17.28515625" customWidth="1"/>
    <col min="39" max="41" width="22.7109375" customWidth="1"/>
  </cols>
  <sheetData>
    <row r="1" spans="1:42" ht="28.5">
      <c r="A1" s="319" t="s">
        <v>169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105"/>
      <c r="AM1" s="105"/>
      <c r="AN1" s="105"/>
      <c r="AO1" s="105"/>
    </row>
    <row r="2" spans="1:42" ht="28.5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  <c r="AD2" s="319"/>
      <c r="AE2" s="319"/>
      <c r="AF2" s="319"/>
      <c r="AG2" s="319"/>
      <c r="AH2" s="319"/>
      <c r="AI2" s="319"/>
      <c r="AJ2" s="319"/>
      <c r="AK2" s="319"/>
      <c r="AL2" s="105"/>
      <c r="AM2" s="105"/>
      <c r="AN2" s="105"/>
      <c r="AO2" s="105"/>
    </row>
    <row r="3" spans="1:42" ht="30" customHeight="1" thickBot="1">
      <c r="A3" s="183" t="s">
        <v>3</v>
      </c>
    </row>
    <row r="4" spans="1:42" ht="35.1" customHeight="1">
      <c r="A4" s="320" t="s">
        <v>59</v>
      </c>
      <c r="B4" s="79">
        <v>608</v>
      </c>
      <c r="C4" s="79">
        <v>608</v>
      </c>
      <c r="D4" s="79">
        <v>608</v>
      </c>
      <c r="E4" s="79">
        <v>608</v>
      </c>
      <c r="F4" s="79">
        <v>608</v>
      </c>
      <c r="G4" s="79">
        <v>880</v>
      </c>
      <c r="H4" s="79">
        <v>880</v>
      </c>
      <c r="I4" s="79">
        <v>880</v>
      </c>
      <c r="J4" s="79">
        <v>880</v>
      </c>
      <c r="K4" s="79">
        <v>373</v>
      </c>
      <c r="L4" s="79">
        <v>373</v>
      </c>
      <c r="M4" s="79">
        <v>373</v>
      </c>
      <c r="N4" s="79">
        <v>373</v>
      </c>
      <c r="O4" s="79">
        <v>373</v>
      </c>
      <c r="P4" s="79">
        <v>373</v>
      </c>
      <c r="Q4" s="79">
        <v>373</v>
      </c>
      <c r="R4" s="79">
        <v>578</v>
      </c>
      <c r="S4" s="79" t="s">
        <v>132</v>
      </c>
      <c r="T4" s="79" t="s">
        <v>132</v>
      </c>
      <c r="U4" s="79" t="s">
        <v>132</v>
      </c>
      <c r="V4" s="79" t="s">
        <v>132</v>
      </c>
      <c r="W4" s="79" t="s">
        <v>132</v>
      </c>
      <c r="X4" s="79" t="s">
        <v>133</v>
      </c>
      <c r="Y4" s="79" t="s">
        <v>133</v>
      </c>
      <c r="Z4" s="79" t="s">
        <v>133</v>
      </c>
      <c r="AA4" s="79" t="s">
        <v>133</v>
      </c>
      <c r="AB4" s="79" t="s">
        <v>133</v>
      </c>
      <c r="AC4" s="79">
        <v>411</v>
      </c>
      <c r="AD4" s="79">
        <v>480</v>
      </c>
      <c r="AE4" s="79" t="s">
        <v>134</v>
      </c>
      <c r="AF4" s="79">
        <v>1906</v>
      </c>
      <c r="AG4" s="79">
        <v>1906</v>
      </c>
      <c r="AH4" s="79">
        <v>1906</v>
      </c>
      <c r="AI4" s="79">
        <v>1906</v>
      </c>
      <c r="AJ4" s="79">
        <v>1906</v>
      </c>
      <c r="AK4" s="113">
        <v>1906</v>
      </c>
      <c r="AL4" s="324" t="s">
        <v>175</v>
      </c>
      <c r="AM4" s="326" t="s">
        <v>189</v>
      </c>
      <c r="AN4" s="333" t="s">
        <v>190</v>
      </c>
      <c r="AO4" s="326" t="s">
        <v>184</v>
      </c>
    </row>
    <row r="5" spans="1:42" s="83" customFormat="1" ht="54.95" customHeight="1" thickBot="1">
      <c r="A5" s="321"/>
      <c r="B5" s="87" t="s">
        <v>135</v>
      </c>
      <c r="C5" s="87" t="s">
        <v>136</v>
      </c>
      <c r="D5" s="87" t="s">
        <v>137</v>
      </c>
      <c r="E5" s="87" t="s">
        <v>138</v>
      </c>
      <c r="F5" s="87" t="s">
        <v>139</v>
      </c>
      <c r="G5" s="87" t="s">
        <v>140</v>
      </c>
      <c r="H5" s="87" t="s">
        <v>141</v>
      </c>
      <c r="I5" s="87" t="s">
        <v>142</v>
      </c>
      <c r="J5" s="87" t="s">
        <v>143</v>
      </c>
      <c r="K5" s="87" t="s">
        <v>144</v>
      </c>
      <c r="L5" s="87" t="s">
        <v>145</v>
      </c>
      <c r="M5" s="87" t="s">
        <v>146</v>
      </c>
      <c r="N5" s="87" t="s">
        <v>147</v>
      </c>
      <c r="O5" s="87" t="s">
        <v>148</v>
      </c>
      <c r="P5" s="87" t="s">
        <v>149</v>
      </c>
      <c r="Q5" s="87" t="s">
        <v>150</v>
      </c>
      <c r="R5" s="87" t="s">
        <v>151</v>
      </c>
      <c r="S5" s="87" t="s">
        <v>85</v>
      </c>
      <c r="T5" s="87" t="s">
        <v>152</v>
      </c>
      <c r="U5" s="87" t="s">
        <v>153</v>
      </c>
      <c r="V5" s="87" t="s">
        <v>154</v>
      </c>
      <c r="W5" s="87" t="s">
        <v>155</v>
      </c>
      <c r="X5" s="87" t="s">
        <v>156</v>
      </c>
      <c r="Y5" s="87" t="s">
        <v>157</v>
      </c>
      <c r="Z5" s="87" t="s">
        <v>158</v>
      </c>
      <c r="AA5" s="87" t="s">
        <v>85</v>
      </c>
      <c r="AB5" s="87" t="s">
        <v>159</v>
      </c>
      <c r="AC5" s="87" t="s">
        <v>160</v>
      </c>
      <c r="AD5" s="87" t="s">
        <v>161</v>
      </c>
      <c r="AE5" s="87" t="s">
        <v>162</v>
      </c>
      <c r="AF5" s="87" t="s">
        <v>163</v>
      </c>
      <c r="AG5" s="87" t="s">
        <v>164</v>
      </c>
      <c r="AH5" s="87" t="s">
        <v>165</v>
      </c>
      <c r="AI5" s="87" t="s">
        <v>166</v>
      </c>
      <c r="AJ5" s="87" t="s">
        <v>167</v>
      </c>
      <c r="AK5" s="114" t="s">
        <v>168</v>
      </c>
      <c r="AL5" s="325"/>
      <c r="AM5" s="327"/>
      <c r="AN5" s="334"/>
      <c r="AO5" s="327"/>
    </row>
    <row r="6" spans="1:42" ht="30" customHeight="1" thickTop="1">
      <c r="A6" s="25">
        <v>46266</v>
      </c>
      <c r="B6" s="46">
        <v>0</v>
      </c>
      <c r="C6" s="46">
        <v>0</v>
      </c>
      <c r="D6" s="46">
        <v>266</v>
      </c>
      <c r="E6" s="46">
        <v>356</v>
      </c>
      <c r="F6" s="46">
        <v>1500</v>
      </c>
      <c r="G6" s="46">
        <v>774</v>
      </c>
      <c r="H6" s="46">
        <v>193</v>
      </c>
      <c r="I6" s="46">
        <v>718</v>
      </c>
      <c r="J6" s="46">
        <v>603</v>
      </c>
      <c r="K6" s="46">
        <v>567</v>
      </c>
      <c r="L6" s="46">
        <v>0</v>
      </c>
      <c r="M6" s="46">
        <v>0</v>
      </c>
      <c r="N6" s="46">
        <v>0</v>
      </c>
      <c r="O6" s="46">
        <v>861</v>
      </c>
      <c r="P6" s="46">
        <v>0</v>
      </c>
      <c r="Q6" s="46">
        <v>0</v>
      </c>
      <c r="R6" s="46">
        <v>1002</v>
      </c>
      <c r="S6" s="46">
        <v>0</v>
      </c>
      <c r="T6" s="46">
        <v>0</v>
      </c>
      <c r="U6" s="46">
        <v>329</v>
      </c>
      <c r="V6" s="46">
        <v>72</v>
      </c>
      <c r="W6" s="46">
        <v>186</v>
      </c>
      <c r="X6" s="46">
        <v>0</v>
      </c>
      <c r="Y6" s="46">
        <v>342</v>
      </c>
      <c r="Z6" s="46">
        <v>291</v>
      </c>
      <c r="AA6" s="46">
        <v>209</v>
      </c>
      <c r="AB6" s="46">
        <v>295</v>
      </c>
      <c r="AC6" s="46">
        <v>2287</v>
      </c>
      <c r="AD6" s="46">
        <v>0</v>
      </c>
      <c r="AE6" s="46">
        <v>753</v>
      </c>
      <c r="AF6" s="46">
        <v>0</v>
      </c>
      <c r="AG6" s="46">
        <v>0</v>
      </c>
      <c r="AH6" s="46">
        <v>0</v>
      </c>
      <c r="AI6" s="46">
        <v>332</v>
      </c>
      <c r="AJ6" s="46">
        <v>0</v>
      </c>
      <c r="AK6" s="115">
        <v>0</v>
      </c>
      <c r="AL6" s="120">
        <f>SUM(B6:AK6)</f>
        <v>11936</v>
      </c>
      <c r="AM6" s="120">
        <f>65+7</f>
        <v>72</v>
      </c>
      <c r="AN6" s="236">
        <v>71</v>
      </c>
      <c r="AO6" s="120">
        <v>1</v>
      </c>
      <c r="AP6" s="249"/>
    </row>
    <row r="7" spans="1:42" ht="30" customHeight="1">
      <c r="A7" s="27">
        <v>46267</v>
      </c>
      <c r="B7" s="14">
        <v>249</v>
      </c>
      <c r="C7" s="14">
        <v>0</v>
      </c>
      <c r="D7" s="14">
        <v>0</v>
      </c>
      <c r="E7" s="14">
        <v>268</v>
      </c>
      <c r="F7" s="14">
        <v>1328</v>
      </c>
      <c r="G7" s="14">
        <v>767</v>
      </c>
      <c r="H7" s="14">
        <v>788</v>
      </c>
      <c r="I7" s="14">
        <v>1140</v>
      </c>
      <c r="J7" s="14">
        <v>800</v>
      </c>
      <c r="K7" s="14">
        <v>883</v>
      </c>
      <c r="L7" s="14">
        <v>0</v>
      </c>
      <c r="M7" s="14">
        <v>0</v>
      </c>
      <c r="N7" s="14">
        <v>0</v>
      </c>
      <c r="O7" s="14">
        <v>1230</v>
      </c>
      <c r="P7" s="14">
        <v>0</v>
      </c>
      <c r="Q7" s="14">
        <v>0</v>
      </c>
      <c r="R7" s="14">
        <v>1285</v>
      </c>
      <c r="S7" s="14">
        <v>0</v>
      </c>
      <c r="T7" s="14">
        <v>0</v>
      </c>
      <c r="U7" s="14">
        <v>232</v>
      </c>
      <c r="V7" s="14">
        <v>42</v>
      </c>
      <c r="W7" s="14">
        <v>126</v>
      </c>
      <c r="X7" s="14">
        <v>484</v>
      </c>
      <c r="Y7" s="14">
        <v>0</v>
      </c>
      <c r="Z7" s="14">
        <v>484</v>
      </c>
      <c r="AA7" s="14">
        <v>182</v>
      </c>
      <c r="AB7" s="14">
        <v>388</v>
      </c>
      <c r="AC7" s="14">
        <v>1550</v>
      </c>
      <c r="AD7" s="14">
        <v>557</v>
      </c>
      <c r="AE7" s="14">
        <v>0</v>
      </c>
      <c r="AF7" s="14">
        <v>36</v>
      </c>
      <c r="AG7" s="14">
        <v>36</v>
      </c>
      <c r="AH7" s="14">
        <v>60</v>
      </c>
      <c r="AI7" s="14">
        <v>0</v>
      </c>
      <c r="AJ7" s="14">
        <v>0</v>
      </c>
      <c r="AK7" s="116">
        <v>0</v>
      </c>
      <c r="AL7" s="109">
        <f t="shared" ref="AL7:AL21" si="0">SUM(B7:AK7)</f>
        <v>12915</v>
      </c>
      <c r="AM7" s="109">
        <f>65+7</f>
        <v>72</v>
      </c>
      <c r="AN7" s="237">
        <v>72</v>
      </c>
      <c r="AO7" s="109">
        <v>0</v>
      </c>
      <c r="AP7" s="249"/>
    </row>
    <row r="8" spans="1:42" ht="30" customHeight="1">
      <c r="A8" s="27">
        <v>46268</v>
      </c>
      <c r="B8" s="14">
        <v>351</v>
      </c>
      <c r="C8" s="14">
        <v>0</v>
      </c>
      <c r="D8" s="14">
        <v>0</v>
      </c>
      <c r="E8" s="14">
        <v>315</v>
      </c>
      <c r="F8" s="14">
        <v>1096</v>
      </c>
      <c r="G8" s="14">
        <v>436</v>
      </c>
      <c r="H8" s="14">
        <v>882</v>
      </c>
      <c r="I8" s="14">
        <v>751</v>
      </c>
      <c r="J8" s="14">
        <v>837</v>
      </c>
      <c r="K8" s="14">
        <v>898</v>
      </c>
      <c r="L8" s="14">
        <v>0</v>
      </c>
      <c r="M8" s="14">
        <v>480</v>
      </c>
      <c r="N8" s="14">
        <v>0</v>
      </c>
      <c r="O8" s="14">
        <v>1496</v>
      </c>
      <c r="P8" s="14">
        <v>0</v>
      </c>
      <c r="Q8" s="14">
        <v>0</v>
      </c>
      <c r="R8" s="14">
        <v>1577</v>
      </c>
      <c r="S8" s="14">
        <v>278</v>
      </c>
      <c r="T8" s="14">
        <v>0</v>
      </c>
      <c r="U8" s="14">
        <v>0</v>
      </c>
      <c r="V8" s="14">
        <v>122</v>
      </c>
      <c r="W8" s="14">
        <v>0</v>
      </c>
      <c r="X8" s="14">
        <v>0</v>
      </c>
      <c r="Y8" s="14">
        <v>311</v>
      </c>
      <c r="Z8" s="14">
        <v>392</v>
      </c>
      <c r="AA8" s="14">
        <v>383</v>
      </c>
      <c r="AB8" s="14">
        <v>0</v>
      </c>
      <c r="AC8" s="14">
        <v>762</v>
      </c>
      <c r="AD8" s="14">
        <v>600</v>
      </c>
      <c r="AE8" s="14">
        <v>0</v>
      </c>
      <c r="AF8" s="14">
        <v>142</v>
      </c>
      <c r="AG8" s="14">
        <v>42</v>
      </c>
      <c r="AH8" s="14">
        <v>0</v>
      </c>
      <c r="AI8" s="14">
        <v>521</v>
      </c>
      <c r="AJ8" s="14">
        <v>0</v>
      </c>
      <c r="AK8" s="116">
        <v>0</v>
      </c>
      <c r="AL8" s="109">
        <f t="shared" si="0"/>
        <v>12672</v>
      </c>
      <c r="AM8" s="109">
        <f>65+7</f>
        <v>72</v>
      </c>
      <c r="AN8" s="237">
        <v>69</v>
      </c>
      <c r="AO8" s="109">
        <v>3</v>
      </c>
      <c r="AP8" s="249"/>
    </row>
    <row r="9" spans="1:42" ht="30" customHeight="1">
      <c r="A9" s="27">
        <v>46269</v>
      </c>
      <c r="B9" s="14">
        <v>419</v>
      </c>
      <c r="C9" s="14">
        <v>0</v>
      </c>
      <c r="D9" s="14">
        <v>0</v>
      </c>
      <c r="E9" s="14">
        <v>217</v>
      </c>
      <c r="F9" s="14">
        <v>1188</v>
      </c>
      <c r="G9" s="14">
        <v>743</v>
      </c>
      <c r="H9" s="14">
        <v>578</v>
      </c>
      <c r="I9" s="14">
        <v>597</v>
      </c>
      <c r="J9" s="14">
        <v>1270</v>
      </c>
      <c r="K9" s="14">
        <v>1341</v>
      </c>
      <c r="L9" s="14">
        <v>0</v>
      </c>
      <c r="M9" s="14">
        <v>524</v>
      </c>
      <c r="N9" s="14">
        <v>0</v>
      </c>
      <c r="O9" s="14">
        <v>1137</v>
      </c>
      <c r="P9" s="14">
        <v>0</v>
      </c>
      <c r="Q9" s="14">
        <v>0</v>
      </c>
      <c r="R9" s="14">
        <v>1657</v>
      </c>
      <c r="S9" s="14">
        <v>0</v>
      </c>
      <c r="T9" s="14">
        <v>0</v>
      </c>
      <c r="U9" s="14">
        <v>75</v>
      </c>
      <c r="V9" s="14">
        <v>104</v>
      </c>
      <c r="W9" s="14">
        <v>0</v>
      </c>
      <c r="X9" s="14">
        <v>0</v>
      </c>
      <c r="Y9" s="14">
        <v>294</v>
      </c>
      <c r="Z9" s="14">
        <v>387</v>
      </c>
      <c r="AA9" s="14">
        <v>336</v>
      </c>
      <c r="AB9" s="14">
        <v>223</v>
      </c>
      <c r="AC9" s="14">
        <v>776</v>
      </c>
      <c r="AD9" s="14">
        <v>460</v>
      </c>
      <c r="AE9" s="14">
        <v>0</v>
      </c>
      <c r="AF9" s="14">
        <v>120</v>
      </c>
      <c r="AG9" s="14">
        <v>144</v>
      </c>
      <c r="AH9" s="14">
        <v>54</v>
      </c>
      <c r="AI9" s="14">
        <v>243</v>
      </c>
      <c r="AJ9" s="14">
        <v>0</v>
      </c>
      <c r="AK9" s="116">
        <v>0</v>
      </c>
      <c r="AL9" s="109">
        <f t="shared" si="0"/>
        <v>12887</v>
      </c>
      <c r="AM9" s="109">
        <f>65+7</f>
        <v>72</v>
      </c>
      <c r="AN9" s="237">
        <v>70</v>
      </c>
      <c r="AO9" s="109">
        <v>2</v>
      </c>
      <c r="AP9" s="249"/>
    </row>
    <row r="10" spans="1:42" ht="30" customHeight="1">
      <c r="A10" s="27">
        <v>46270</v>
      </c>
      <c r="B10" s="14">
        <v>426</v>
      </c>
      <c r="C10" s="14">
        <v>962</v>
      </c>
      <c r="D10" s="14">
        <v>0</v>
      </c>
      <c r="E10" s="14">
        <v>0</v>
      </c>
      <c r="F10" s="14">
        <v>710</v>
      </c>
      <c r="G10" s="14">
        <v>752</v>
      </c>
      <c r="H10" s="14">
        <v>1180</v>
      </c>
      <c r="I10" s="14">
        <v>980</v>
      </c>
      <c r="J10" s="14">
        <v>2493</v>
      </c>
      <c r="K10" s="14">
        <v>847</v>
      </c>
      <c r="L10" s="14">
        <v>0</v>
      </c>
      <c r="M10" s="14">
        <v>776</v>
      </c>
      <c r="N10" s="14">
        <v>0</v>
      </c>
      <c r="O10" s="14">
        <v>1624</v>
      </c>
      <c r="P10" s="14">
        <v>0</v>
      </c>
      <c r="Q10" s="14">
        <v>0</v>
      </c>
      <c r="R10" s="14">
        <v>845</v>
      </c>
      <c r="S10" s="14">
        <v>0</v>
      </c>
      <c r="T10" s="14">
        <v>0</v>
      </c>
      <c r="U10" s="14">
        <v>188</v>
      </c>
      <c r="V10" s="14">
        <v>70</v>
      </c>
      <c r="W10" s="14">
        <v>0</v>
      </c>
      <c r="X10" s="14">
        <v>0</v>
      </c>
      <c r="Y10" s="14">
        <v>0</v>
      </c>
      <c r="Z10" s="14">
        <v>364</v>
      </c>
      <c r="AA10" s="14">
        <v>420</v>
      </c>
      <c r="AB10" s="14">
        <v>0</v>
      </c>
      <c r="AC10" s="14">
        <v>1692</v>
      </c>
      <c r="AD10" s="14">
        <v>318</v>
      </c>
      <c r="AE10" s="14">
        <v>0</v>
      </c>
      <c r="AF10" s="14">
        <v>132</v>
      </c>
      <c r="AG10" s="14">
        <v>160</v>
      </c>
      <c r="AH10" s="14">
        <v>137</v>
      </c>
      <c r="AI10" s="14">
        <v>0</v>
      </c>
      <c r="AJ10" s="14">
        <v>0</v>
      </c>
      <c r="AK10" s="116">
        <v>0</v>
      </c>
      <c r="AL10" s="109">
        <f t="shared" si="0"/>
        <v>15076</v>
      </c>
      <c r="AM10" s="109">
        <f>65+7</f>
        <v>72</v>
      </c>
      <c r="AN10" s="237">
        <v>70</v>
      </c>
      <c r="AO10" s="109">
        <v>2</v>
      </c>
      <c r="AP10" s="249"/>
    </row>
    <row r="11" spans="1:42" ht="30" customHeight="1">
      <c r="A11" s="91">
        <v>46271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117"/>
      <c r="AL11" s="110"/>
      <c r="AM11" s="110"/>
      <c r="AN11" s="238"/>
      <c r="AO11" s="110"/>
      <c r="AP11" s="249"/>
    </row>
    <row r="12" spans="1:42" ht="30" customHeight="1">
      <c r="A12" s="27">
        <v>46272</v>
      </c>
      <c r="B12" s="14">
        <v>378</v>
      </c>
      <c r="C12" s="14">
        <v>231</v>
      </c>
      <c r="D12" s="14">
        <v>0</v>
      </c>
      <c r="E12" s="14">
        <v>0</v>
      </c>
      <c r="F12" s="14">
        <v>656</v>
      </c>
      <c r="G12" s="14">
        <v>920</v>
      </c>
      <c r="H12" s="14">
        <v>528</v>
      </c>
      <c r="I12" s="14">
        <v>344</v>
      </c>
      <c r="J12" s="14">
        <v>276</v>
      </c>
      <c r="K12" s="14">
        <v>795</v>
      </c>
      <c r="L12" s="14">
        <v>0</v>
      </c>
      <c r="M12" s="14">
        <v>650</v>
      </c>
      <c r="N12" s="14">
        <v>0</v>
      </c>
      <c r="O12" s="14">
        <v>1118</v>
      </c>
      <c r="P12" s="14">
        <v>0</v>
      </c>
      <c r="Q12" s="14">
        <v>0</v>
      </c>
      <c r="R12" s="14">
        <v>605</v>
      </c>
      <c r="S12" s="14">
        <v>243</v>
      </c>
      <c r="T12" s="14">
        <v>0</v>
      </c>
      <c r="U12" s="14">
        <v>172</v>
      </c>
      <c r="V12" s="14">
        <v>50</v>
      </c>
      <c r="W12" s="14">
        <v>144</v>
      </c>
      <c r="X12" s="14">
        <v>0</v>
      </c>
      <c r="Y12" s="14">
        <v>0</v>
      </c>
      <c r="Z12" s="14">
        <v>0</v>
      </c>
      <c r="AA12" s="14">
        <v>0</v>
      </c>
      <c r="AB12" s="14">
        <v>364</v>
      </c>
      <c r="AC12" s="14">
        <v>1126</v>
      </c>
      <c r="AD12" s="14">
        <v>561</v>
      </c>
      <c r="AE12" s="14">
        <v>0</v>
      </c>
      <c r="AF12" s="14">
        <v>144</v>
      </c>
      <c r="AG12" s="14">
        <v>144</v>
      </c>
      <c r="AH12" s="14">
        <v>0</v>
      </c>
      <c r="AI12" s="14">
        <v>74</v>
      </c>
      <c r="AJ12" s="14">
        <v>0</v>
      </c>
      <c r="AK12" s="116">
        <v>0</v>
      </c>
      <c r="AL12" s="109">
        <f t="shared" si="0"/>
        <v>9523</v>
      </c>
      <c r="AM12" s="109">
        <f t="shared" ref="AM12:AM17" si="1">68+6</f>
        <v>74</v>
      </c>
      <c r="AN12" s="237">
        <v>72</v>
      </c>
      <c r="AO12" s="109">
        <v>2</v>
      </c>
      <c r="AP12" s="249"/>
    </row>
    <row r="13" spans="1:42" ht="30" customHeight="1">
      <c r="A13" s="27">
        <v>46273</v>
      </c>
      <c r="B13" s="14">
        <v>0</v>
      </c>
      <c r="C13" s="14">
        <v>414</v>
      </c>
      <c r="D13" s="14">
        <v>431</v>
      </c>
      <c r="E13" s="14">
        <v>91</v>
      </c>
      <c r="F13" s="14">
        <v>764</v>
      </c>
      <c r="G13" s="14">
        <v>280</v>
      </c>
      <c r="H13" s="14">
        <v>268</v>
      </c>
      <c r="I13" s="14">
        <v>486</v>
      </c>
      <c r="J13" s="14">
        <v>0</v>
      </c>
      <c r="K13" s="14">
        <v>648</v>
      </c>
      <c r="L13" s="14">
        <v>0</v>
      </c>
      <c r="M13" s="14">
        <v>0</v>
      </c>
      <c r="N13" s="14">
        <v>0</v>
      </c>
      <c r="O13" s="14">
        <v>716</v>
      </c>
      <c r="P13" s="14">
        <v>1206</v>
      </c>
      <c r="Q13" s="14">
        <v>0</v>
      </c>
      <c r="R13" s="14">
        <v>1041</v>
      </c>
      <c r="S13" s="14">
        <v>228</v>
      </c>
      <c r="T13" s="14">
        <v>0</v>
      </c>
      <c r="U13" s="14">
        <v>66</v>
      </c>
      <c r="V13" s="14">
        <v>127</v>
      </c>
      <c r="W13" s="14">
        <v>0</v>
      </c>
      <c r="X13" s="14">
        <v>0</v>
      </c>
      <c r="Y13" s="14">
        <v>212</v>
      </c>
      <c r="Z13" s="14">
        <v>0</v>
      </c>
      <c r="AA13" s="14">
        <v>0</v>
      </c>
      <c r="AB13" s="14">
        <v>0</v>
      </c>
      <c r="AC13" s="14">
        <v>1487</v>
      </c>
      <c r="AD13" s="14">
        <v>340</v>
      </c>
      <c r="AE13" s="14">
        <v>0</v>
      </c>
      <c r="AF13" s="14">
        <v>0</v>
      </c>
      <c r="AG13" s="14">
        <v>0</v>
      </c>
      <c r="AH13" s="14">
        <v>0</v>
      </c>
      <c r="AI13" s="14">
        <v>110</v>
      </c>
      <c r="AJ13" s="14">
        <v>774</v>
      </c>
      <c r="AK13" s="116">
        <v>0</v>
      </c>
      <c r="AL13" s="109">
        <f t="shared" si="0"/>
        <v>9689</v>
      </c>
      <c r="AM13" s="109">
        <f t="shared" si="1"/>
        <v>74</v>
      </c>
      <c r="AN13" s="237">
        <v>72</v>
      </c>
      <c r="AO13" s="109">
        <v>2</v>
      </c>
      <c r="AP13" s="249"/>
    </row>
    <row r="14" spans="1:42" ht="30" customHeight="1">
      <c r="A14" s="27">
        <v>46274</v>
      </c>
      <c r="B14" s="14">
        <v>0</v>
      </c>
      <c r="C14" s="14">
        <v>139</v>
      </c>
      <c r="D14" s="14">
        <v>381</v>
      </c>
      <c r="E14" s="14">
        <v>110</v>
      </c>
      <c r="F14" s="14">
        <v>297</v>
      </c>
      <c r="G14" s="14">
        <v>333</v>
      </c>
      <c r="H14" s="14">
        <v>456</v>
      </c>
      <c r="I14" s="14">
        <v>618</v>
      </c>
      <c r="J14" s="14">
        <v>0</v>
      </c>
      <c r="K14" s="14">
        <v>580</v>
      </c>
      <c r="L14" s="14">
        <v>0</v>
      </c>
      <c r="M14" s="14">
        <v>1884</v>
      </c>
      <c r="N14" s="14">
        <v>0</v>
      </c>
      <c r="O14" s="14">
        <v>446</v>
      </c>
      <c r="P14" s="14">
        <v>0</v>
      </c>
      <c r="Q14" s="14">
        <v>0</v>
      </c>
      <c r="R14" s="14">
        <v>530</v>
      </c>
      <c r="S14" s="14">
        <v>233</v>
      </c>
      <c r="T14" s="14">
        <v>0</v>
      </c>
      <c r="U14" s="14">
        <v>548</v>
      </c>
      <c r="V14" s="14">
        <v>0</v>
      </c>
      <c r="W14" s="14">
        <v>24</v>
      </c>
      <c r="X14" s="14">
        <v>0</v>
      </c>
      <c r="Y14" s="14">
        <v>0</v>
      </c>
      <c r="Z14" s="14">
        <v>168</v>
      </c>
      <c r="AA14" s="14">
        <v>206</v>
      </c>
      <c r="AB14" s="14">
        <v>0</v>
      </c>
      <c r="AC14" s="14">
        <v>1544</v>
      </c>
      <c r="AD14" s="14">
        <v>114</v>
      </c>
      <c r="AE14" s="14">
        <v>0</v>
      </c>
      <c r="AF14" s="14">
        <v>0</v>
      </c>
      <c r="AG14" s="14">
        <v>5</v>
      </c>
      <c r="AH14" s="14">
        <v>0</v>
      </c>
      <c r="AI14" s="14">
        <v>0</v>
      </c>
      <c r="AJ14" s="14">
        <v>0</v>
      </c>
      <c r="AK14" s="116">
        <v>108</v>
      </c>
      <c r="AL14" s="109">
        <f t="shared" si="0"/>
        <v>8724</v>
      </c>
      <c r="AM14" s="109">
        <f t="shared" si="1"/>
        <v>74</v>
      </c>
      <c r="AN14" s="237">
        <v>70</v>
      </c>
      <c r="AO14" s="109">
        <v>4</v>
      </c>
      <c r="AP14" s="249"/>
    </row>
    <row r="15" spans="1:42" ht="30" customHeight="1">
      <c r="A15" s="27">
        <v>46275</v>
      </c>
      <c r="B15" s="14">
        <v>122</v>
      </c>
      <c r="C15" s="14">
        <v>294</v>
      </c>
      <c r="D15" s="14">
        <v>216</v>
      </c>
      <c r="E15" s="14">
        <v>384</v>
      </c>
      <c r="F15" s="14">
        <v>496</v>
      </c>
      <c r="G15" s="14">
        <v>265</v>
      </c>
      <c r="H15" s="14">
        <v>110</v>
      </c>
      <c r="I15" s="14">
        <v>579</v>
      </c>
      <c r="J15" s="14">
        <v>1320</v>
      </c>
      <c r="K15" s="14">
        <v>1013</v>
      </c>
      <c r="L15" s="14">
        <v>0</v>
      </c>
      <c r="M15" s="14">
        <v>0</v>
      </c>
      <c r="N15" s="14">
        <v>0</v>
      </c>
      <c r="O15" s="14">
        <v>247</v>
      </c>
      <c r="P15" s="14">
        <v>1404</v>
      </c>
      <c r="Q15" s="14">
        <v>0</v>
      </c>
      <c r="R15" s="14">
        <v>0</v>
      </c>
      <c r="S15" s="14">
        <v>228</v>
      </c>
      <c r="T15" s="14">
        <v>299</v>
      </c>
      <c r="U15" s="14">
        <v>192</v>
      </c>
      <c r="V15" s="14">
        <v>261</v>
      </c>
      <c r="W15" s="14">
        <v>20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1422</v>
      </c>
      <c r="AD15" s="14">
        <v>0</v>
      </c>
      <c r="AE15" s="14">
        <v>432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16">
        <v>210</v>
      </c>
      <c r="AL15" s="109">
        <f t="shared" si="0"/>
        <v>9514</v>
      </c>
      <c r="AM15" s="109">
        <f t="shared" si="1"/>
        <v>74</v>
      </c>
      <c r="AN15" s="237">
        <v>72</v>
      </c>
      <c r="AO15" s="109">
        <v>2</v>
      </c>
      <c r="AP15" s="249"/>
    </row>
    <row r="16" spans="1:42" ht="30" customHeight="1">
      <c r="A16" s="27">
        <v>46276</v>
      </c>
      <c r="B16" s="14">
        <v>0</v>
      </c>
      <c r="C16" s="14">
        <v>430</v>
      </c>
      <c r="D16" s="14">
        <v>479</v>
      </c>
      <c r="E16" s="14">
        <v>507</v>
      </c>
      <c r="F16" s="14">
        <v>455</v>
      </c>
      <c r="G16" s="14">
        <v>495</v>
      </c>
      <c r="H16" s="14">
        <v>337</v>
      </c>
      <c r="I16" s="14">
        <v>260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2469</v>
      </c>
      <c r="Q16" s="14">
        <v>0</v>
      </c>
      <c r="R16" s="14">
        <v>252</v>
      </c>
      <c r="S16" s="14">
        <v>0</v>
      </c>
      <c r="T16" s="14">
        <v>348</v>
      </c>
      <c r="U16" s="14">
        <v>144</v>
      </c>
      <c r="V16" s="14">
        <v>250</v>
      </c>
      <c r="W16" s="14">
        <v>100</v>
      </c>
      <c r="X16" s="14">
        <v>0</v>
      </c>
      <c r="Y16" s="14">
        <v>211</v>
      </c>
      <c r="Z16" s="14">
        <v>0</v>
      </c>
      <c r="AA16" s="14">
        <v>114</v>
      </c>
      <c r="AB16" s="14">
        <v>114</v>
      </c>
      <c r="AC16" s="14">
        <v>1446</v>
      </c>
      <c r="AD16" s="14">
        <v>0</v>
      </c>
      <c r="AE16" s="14">
        <v>727</v>
      </c>
      <c r="AF16" s="14">
        <v>57</v>
      </c>
      <c r="AG16" s="14">
        <v>24</v>
      </c>
      <c r="AH16" s="14">
        <v>122</v>
      </c>
      <c r="AI16" s="14">
        <v>0</v>
      </c>
      <c r="AJ16" s="14">
        <v>0</v>
      </c>
      <c r="AK16" s="116">
        <v>0</v>
      </c>
      <c r="AL16" s="109">
        <f t="shared" si="0"/>
        <v>9341</v>
      </c>
      <c r="AM16" s="109">
        <f t="shared" si="1"/>
        <v>74</v>
      </c>
      <c r="AN16" s="237">
        <v>72</v>
      </c>
      <c r="AO16" s="109">
        <v>2</v>
      </c>
      <c r="AP16" s="249"/>
    </row>
    <row r="17" spans="1:42" ht="30" customHeight="1">
      <c r="A17" s="27">
        <v>46277</v>
      </c>
      <c r="B17" s="14">
        <v>578</v>
      </c>
      <c r="C17" s="14">
        <v>464</v>
      </c>
      <c r="D17" s="14">
        <v>302</v>
      </c>
      <c r="E17" s="14">
        <v>262</v>
      </c>
      <c r="F17" s="14">
        <v>235</v>
      </c>
      <c r="G17" s="14">
        <v>270</v>
      </c>
      <c r="H17" s="14">
        <v>354</v>
      </c>
      <c r="I17" s="14">
        <v>365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468</v>
      </c>
      <c r="Q17" s="14">
        <v>0</v>
      </c>
      <c r="R17" s="14">
        <v>405</v>
      </c>
      <c r="S17" s="14">
        <v>184</v>
      </c>
      <c r="T17" s="14">
        <v>0</v>
      </c>
      <c r="U17" s="14">
        <v>136</v>
      </c>
      <c r="V17" s="14">
        <v>124</v>
      </c>
      <c r="W17" s="14">
        <v>0</v>
      </c>
      <c r="X17" s="14">
        <v>0</v>
      </c>
      <c r="Y17" s="14">
        <v>315</v>
      </c>
      <c r="Z17" s="14">
        <v>0</v>
      </c>
      <c r="AA17" s="14">
        <v>0</v>
      </c>
      <c r="AB17" s="14">
        <v>0</v>
      </c>
      <c r="AC17" s="14">
        <v>1150</v>
      </c>
      <c r="AD17" s="14">
        <v>126</v>
      </c>
      <c r="AE17" s="14">
        <v>586</v>
      </c>
      <c r="AF17" s="14">
        <v>72</v>
      </c>
      <c r="AG17" s="14">
        <v>24</v>
      </c>
      <c r="AH17" s="14">
        <v>66</v>
      </c>
      <c r="AI17" s="14">
        <v>48</v>
      </c>
      <c r="AJ17" s="14">
        <v>0</v>
      </c>
      <c r="AK17" s="116">
        <v>0</v>
      </c>
      <c r="AL17" s="109">
        <f t="shared" si="0"/>
        <v>6534</v>
      </c>
      <c r="AM17" s="109">
        <f t="shared" si="1"/>
        <v>74</v>
      </c>
      <c r="AN17" s="237">
        <f>62+6</f>
        <v>68</v>
      </c>
      <c r="AO17" s="109">
        <v>6</v>
      </c>
      <c r="AP17" s="249"/>
    </row>
    <row r="18" spans="1:42" ht="30" customHeight="1">
      <c r="A18" s="91">
        <v>46278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117"/>
      <c r="AL18" s="110"/>
      <c r="AM18" s="110"/>
      <c r="AN18" s="238"/>
      <c r="AO18" s="110"/>
      <c r="AP18" s="249"/>
    </row>
    <row r="19" spans="1:42" ht="30" customHeight="1">
      <c r="A19" s="27">
        <v>46279</v>
      </c>
      <c r="B19" s="14">
        <v>276</v>
      </c>
      <c r="C19" s="14">
        <v>120</v>
      </c>
      <c r="D19" s="14">
        <v>602</v>
      </c>
      <c r="E19" s="14">
        <v>238</v>
      </c>
      <c r="F19" s="14">
        <v>192</v>
      </c>
      <c r="G19" s="14">
        <v>80</v>
      </c>
      <c r="H19" s="14">
        <v>104</v>
      </c>
      <c r="I19" s="14">
        <v>285</v>
      </c>
      <c r="J19" s="14">
        <v>264</v>
      </c>
      <c r="K19" s="14">
        <v>262</v>
      </c>
      <c r="L19" s="14">
        <v>0</v>
      </c>
      <c r="M19" s="14">
        <v>0</v>
      </c>
      <c r="N19" s="14">
        <v>0</v>
      </c>
      <c r="O19" s="14">
        <v>512</v>
      </c>
      <c r="P19" s="14">
        <v>402</v>
      </c>
      <c r="Q19" s="14">
        <v>0</v>
      </c>
      <c r="R19" s="14">
        <v>540</v>
      </c>
      <c r="S19" s="14">
        <v>0</v>
      </c>
      <c r="T19" s="14">
        <v>271</v>
      </c>
      <c r="U19" s="14">
        <v>120</v>
      </c>
      <c r="V19" s="14">
        <v>107</v>
      </c>
      <c r="W19" s="14">
        <v>156</v>
      </c>
      <c r="X19" s="14">
        <v>0</v>
      </c>
      <c r="Y19" s="14">
        <v>252</v>
      </c>
      <c r="Z19" s="14">
        <v>0</v>
      </c>
      <c r="AA19" s="14">
        <v>208</v>
      </c>
      <c r="AB19" s="14">
        <v>266</v>
      </c>
      <c r="AC19" s="14">
        <v>1851</v>
      </c>
      <c r="AD19" s="14">
        <v>0</v>
      </c>
      <c r="AE19" s="14">
        <v>0</v>
      </c>
      <c r="AF19" s="14">
        <v>48</v>
      </c>
      <c r="AG19" s="14">
        <v>48</v>
      </c>
      <c r="AH19" s="14">
        <v>24</v>
      </c>
      <c r="AI19" s="14">
        <v>60</v>
      </c>
      <c r="AJ19" s="14">
        <v>0</v>
      </c>
      <c r="AK19" s="116">
        <v>120</v>
      </c>
      <c r="AL19" s="109">
        <f t="shared" si="0"/>
        <v>7408</v>
      </c>
      <c r="AM19" s="109">
        <f>70+7</f>
        <v>77</v>
      </c>
      <c r="AN19" s="237">
        <v>75</v>
      </c>
      <c r="AO19" s="109">
        <v>2</v>
      </c>
      <c r="AP19" s="249"/>
    </row>
    <row r="20" spans="1:42" ht="30" customHeight="1">
      <c r="A20" s="27">
        <v>46280</v>
      </c>
      <c r="B20" s="14">
        <v>302</v>
      </c>
      <c r="C20" s="14">
        <v>317</v>
      </c>
      <c r="D20" s="14">
        <v>477</v>
      </c>
      <c r="E20" s="14">
        <v>150</v>
      </c>
      <c r="F20" s="14">
        <v>48</v>
      </c>
      <c r="G20" s="14">
        <v>317</v>
      </c>
      <c r="H20" s="14">
        <v>368</v>
      </c>
      <c r="I20" s="14">
        <v>861</v>
      </c>
      <c r="J20" s="14">
        <v>150</v>
      </c>
      <c r="K20" s="14">
        <v>491</v>
      </c>
      <c r="L20" s="14">
        <v>0</v>
      </c>
      <c r="M20" s="14">
        <v>0</v>
      </c>
      <c r="N20" s="14">
        <v>0</v>
      </c>
      <c r="O20" s="14">
        <v>480</v>
      </c>
      <c r="P20" s="14">
        <v>0</v>
      </c>
      <c r="Q20" s="14">
        <v>0</v>
      </c>
      <c r="R20" s="14">
        <v>742</v>
      </c>
      <c r="S20" s="14">
        <v>0</v>
      </c>
      <c r="T20" s="14">
        <v>0</v>
      </c>
      <c r="U20" s="14">
        <v>304</v>
      </c>
      <c r="V20" s="14">
        <v>145</v>
      </c>
      <c r="W20" s="14">
        <v>243</v>
      </c>
      <c r="X20" s="14">
        <v>0</v>
      </c>
      <c r="Y20" s="14">
        <v>261</v>
      </c>
      <c r="Z20" s="14">
        <v>0</v>
      </c>
      <c r="AA20" s="14">
        <v>0</v>
      </c>
      <c r="AB20" s="14">
        <v>0</v>
      </c>
      <c r="AC20" s="14">
        <v>1746</v>
      </c>
      <c r="AD20" s="14">
        <v>0</v>
      </c>
      <c r="AE20" s="14">
        <v>0</v>
      </c>
      <c r="AF20" s="14">
        <v>338</v>
      </c>
      <c r="AG20" s="14">
        <v>146</v>
      </c>
      <c r="AH20" s="14">
        <v>22</v>
      </c>
      <c r="AI20" s="14">
        <v>192</v>
      </c>
      <c r="AJ20" s="14">
        <v>0</v>
      </c>
      <c r="AK20" s="116">
        <v>168</v>
      </c>
      <c r="AL20" s="109">
        <f t="shared" si="0"/>
        <v>8268</v>
      </c>
      <c r="AM20" s="109">
        <f>69+7</f>
        <v>76</v>
      </c>
      <c r="AN20" s="237">
        <v>74</v>
      </c>
      <c r="AO20" s="109">
        <v>2</v>
      </c>
      <c r="AP20" s="249"/>
    </row>
    <row r="21" spans="1:42" ht="30" customHeight="1" thickBot="1">
      <c r="A21" s="29">
        <v>46281</v>
      </c>
      <c r="B21" s="48">
        <v>110</v>
      </c>
      <c r="C21" s="48">
        <v>66</v>
      </c>
      <c r="D21" s="48">
        <v>8</v>
      </c>
      <c r="E21" s="48">
        <v>190</v>
      </c>
      <c r="F21" s="48">
        <v>32</v>
      </c>
      <c r="G21" s="48">
        <v>235</v>
      </c>
      <c r="H21" s="48">
        <v>309</v>
      </c>
      <c r="I21" s="48">
        <v>582</v>
      </c>
      <c r="J21" s="48">
        <v>0</v>
      </c>
      <c r="K21" s="48">
        <v>288</v>
      </c>
      <c r="L21" s="48">
        <v>0</v>
      </c>
      <c r="M21" s="48">
        <v>0</v>
      </c>
      <c r="N21" s="48">
        <v>0</v>
      </c>
      <c r="O21" s="48">
        <v>420</v>
      </c>
      <c r="P21" s="48">
        <v>678</v>
      </c>
      <c r="Q21" s="48">
        <v>0</v>
      </c>
      <c r="R21" s="48">
        <v>1325</v>
      </c>
      <c r="S21" s="48">
        <v>0</v>
      </c>
      <c r="T21" s="48">
        <v>0</v>
      </c>
      <c r="U21" s="48">
        <v>258</v>
      </c>
      <c r="V21" s="48">
        <v>160</v>
      </c>
      <c r="W21" s="48">
        <v>384</v>
      </c>
      <c r="X21" s="48">
        <v>0</v>
      </c>
      <c r="Y21" s="48">
        <v>0</v>
      </c>
      <c r="Z21" s="48">
        <v>156</v>
      </c>
      <c r="AA21" s="48">
        <v>225</v>
      </c>
      <c r="AB21" s="48">
        <v>300</v>
      </c>
      <c r="AC21" s="48">
        <v>1628</v>
      </c>
      <c r="AD21" s="48">
        <v>0</v>
      </c>
      <c r="AE21" s="48">
        <v>504</v>
      </c>
      <c r="AF21" s="48">
        <v>252</v>
      </c>
      <c r="AG21" s="48">
        <v>78</v>
      </c>
      <c r="AH21" s="48">
        <v>300</v>
      </c>
      <c r="AI21" s="48">
        <v>0</v>
      </c>
      <c r="AJ21" s="48">
        <v>0</v>
      </c>
      <c r="AK21" s="118">
        <v>0</v>
      </c>
      <c r="AL21" s="121">
        <f t="shared" si="0"/>
        <v>8488</v>
      </c>
      <c r="AM21" s="121">
        <f>69+7</f>
        <v>76</v>
      </c>
      <c r="AN21" s="239">
        <v>74</v>
      </c>
      <c r="AO21" s="121">
        <v>2</v>
      </c>
      <c r="AP21" s="249"/>
    </row>
    <row r="22" spans="1:42" ht="39.75" customHeight="1" thickBot="1">
      <c r="A22" s="84" t="s">
        <v>170</v>
      </c>
      <c r="B22" s="89">
        <f>+ROUNDDOWN(AVERAGEIF(B6:B21,"&gt;0"),0)</f>
        <v>321</v>
      </c>
      <c r="C22" s="89">
        <f t="shared" ref="C22:AK22" si="2">+ROUNDDOWN(AVERAGEIF(C6:C21,"&gt;0"),0)</f>
        <v>343</v>
      </c>
      <c r="D22" s="89">
        <f t="shared" si="2"/>
        <v>351</v>
      </c>
      <c r="E22" s="89">
        <f t="shared" si="2"/>
        <v>257</v>
      </c>
      <c r="F22" s="89">
        <f t="shared" si="2"/>
        <v>642</v>
      </c>
      <c r="G22" s="89">
        <f t="shared" si="2"/>
        <v>476</v>
      </c>
      <c r="H22" s="89">
        <f t="shared" si="2"/>
        <v>461</v>
      </c>
      <c r="I22" s="89">
        <f t="shared" si="2"/>
        <v>611</v>
      </c>
      <c r="J22" s="89">
        <f t="shared" si="2"/>
        <v>890</v>
      </c>
      <c r="K22" s="89">
        <f t="shared" si="2"/>
        <v>717</v>
      </c>
      <c r="L22" s="89"/>
      <c r="M22" s="89">
        <f t="shared" si="2"/>
        <v>862</v>
      </c>
      <c r="N22" s="89"/>
      <c r="O22" s="89">
        <f t="shared" si="2"/>
        <v>857</v>
      </c>
      <c r="P22" s="89">
        <f t="shared" si="2"/>
        <v>1104</v>
      </c>
      <c r="Q22" s="89"/>
      <c r="R22" s="89">
        <f t="shared" si="2"/>
        <v>908</v>
      </c>
      <c r="S22" s="89">
        <f t="shared" si="2"/>
        <v>232</v>
      </c>
      <c r="T22" s="89">
        <f t="shared" si="2"/>
        <v>306</v>
      </c>
      <c r="U22" s="89">
        <f t="shared" si="2"/>
        <v>212</v>
      </c>
      <c r="V22" s="89">
        <f t="shared" si="2"/>
        <v>125</v>
      </c>
      <c r="W22" s="89">
        <f t="shared" si="2"/>
        <v>153</v>
      </c>
      <c r="X22" s="89">
        <f t="shared" si="2"/>
        <v>484</v>
      </c>
      <c r="Y22" s="89">
        <f t="shared" si="2"/>
        <v>274</v>
      </c>
      <c r="Z22" s="89">
        <f t="shared" si="2"/>
        <v>320</v>
      </c>
      <c r="AA22" s="89">
        <f t="shared" si="2"/>
        <v>253</v>
      </c>
      <c r="AB22" s="89">
        <f t="shared" si="2"/>
        <v>278</v>
      </c>
      <c r="AC22" s="89">
        <f t="shared" si="2"/>
        <v>1461</v>
      </c>
      <c r="AD22" s="89">
        <f t="shared" si="2"/>
        <v>384</v>
      </c>
      <c r="AE22" s="89">
        <f t="shared" si="2"/>
        <v>600</v>
      </c>
      <c r="AF22" s="89">
        <f t="shared" si="2"/>
        <v>134</v>
      </c>
      <c r="AG22" s="89">
        <f t="shared" si="2"/>
        <v>77</v>
      </c>
      <c r="AH22" s="89">
        <f t="shared" si="2"/>
        <v>98</v>
      </c>
      <c r="AI22" s="89">
        <f t="shared" si="2"/>
        <v>197</v>
      </c>
      <c r="AJ22" s="89">
        <f t="shared" si="2"/>
        <v>774</v>
      </c>
      <c r="AK22" s="119">
        <f t="shared" si="2"/>
        <v>151</v>
      </c>
      <c r="AL22" s="108"/>
      <c r="AM22" s="108"/>
      <c r="AN22" s="255">
        <f>MAX(AN6:AN21)</f>
        <v>75</v>
      </c>
      <c r="AO22" s="108">
        <f>MAX(AO6:AO21)</f>
        <v>6</v>
      </c>
      <c r="AP22" s="249"/>
    </row>
    <row r="24" spans="1:42" ht="30" customHeight="1" thickBot="1">
      <c r="A24" s="183" t="s">
        <v>4</v>
      </c>
    </row>
    <row r="25" spans="1:42" ht="31.5" customHeight="1">
      <c r="A25" s="322" t="s">
        <v>59</v>
      </c>
      <c r="B25" s="79">
        <v>608</v>
      </c>
      <c r="C25" s="79">
        <v>608</v>
      </c>
      <c r="D25" s="79">
        <v>608</v>
      </c>
      <c r="E25" s="79">
        <v>608</v>
      </c>
      <c r="F25" s="79">
        <v>608</v>
      </c>
      <c r="G25" s="79">
        <v>880</v>
      </c>
      <c r="H25" s="79">
        <v>880</v>
      </c>
      <c r="I25" s="79">
        <v>880</v>
      </c>
      <c r="J25" s="79">
        <v>880</v>
      </c>
      <c r="K25" s="79">
        <v>373</v>
      </c>
      <c r="L25" s="79">
        <v>373</v>
      </c>
      <c r="M25" s="79">
        <v>373</v>
      </c>
      <c r="N25" s="79">
        <v>373</v>
      </c>
      <c r="O25" s="79">
        <v>373</v>
      </c>
      <c r="P25" s="79">
        <v>373</v>
      </c>
      <c r="Q25" s="79">
        <v>373</v>
      </c>
      <c r="R25" s="79">
        <v>578</v>
      </c>
      <c r="S25" s="79" t="s">
        <v>132</v>
      </c>
      <c r="T25" s="79" t="s">
        <v>132</v>
      </c>
      <c r="U25" s="79" t="s">
        <v>132</v>
      </c>
      <c r="V25" s="79" t="s">
        <v>132</v>
      </c>
      <c r="W25" s="79" t="s">
        <v>132</v>
      </c>
      <c r="X25" s="79" t="s">
        <v>133</v>
      </c>
      <c r="Y25" s="79" t="s">
        <v>133</v>
      </c>
      <c r="Z25" s="79" t="s">
        <v>133</v>
      </c>
      <c r="AA25" s="79" t="s">
        <v>133</v>
      </c>
      <c r="AB25" s="79" t="s">
        <v>133</v>
      </c>
      <c r="AC25" s="79">
        <v>411</v>
      </c>
      <c r="AD25" s="79">
        <v>480</v>
      </c>
      <c r="AE25" s="79" t="s">
        <v>134</v>
      </c>
      <c r="AF25" s="79">
        <v>1906</v>
      </c>
      <c r="AG25" s="79">
        <v>1906</v>
      </c>
      <c r="AH25" s="79">
        <v>1906</v>
      </c>
      <c r="AI25" s="79">
        <v>1906</v>
      </c>
      <c r="AJ25" s="79">
        <v>1906</v>
      </c>
      <c r="AK25" s="80">
        <v>1906</v>
      </c>
      <c r="AL25" s="335" t="s">
        <v>175</v>
      </c>
      <c r="AM25" s="326" t="s">
        <v>189</v>
      </c>
      <c r="AN25" s="333" t="s">
        <v>176</v>
      </c>
      <c r="AO25" s="326" t="s">
        <v>184</v>
      </c>
    </row>
    <row r="26" spans="1:42" ht="54.95" customHeight="1" thickBot="1">
      <c r="A26" s="323"/>
      <c r="B26" s="87" t="s">
        <v>135</v>
      </c>
      <c r="C26" s="87" t="s">
        <v>136</v>
      </c>
      <c r="D26" s="87" t="s">
        <v>137</v>
      </c>
      <c r="E26" s="87" t="s">
        <v>138</v>
      </c>
      <c r="F26" s="87" t="s">
        <v>139</v>
      </c>
      <c r="G26" s="87" t="s">
        <v>140</v>
      </c>
      <c r="H26" s="87" t="s">
        <v>141</v>
      </c>
      <c r="I26" s="87" t="s">
        <v>142</v>
      </c>
      <c r="J26" s="87" t="s">
        <v>143</v>
      </c>
      <c r="K26" s="87" t="s">
        <v>144</v>
      </c>
      <c r="L26" s="87" t="s">
        <v>145</v>
      </c>
      <c r="M26" s="87" t="s">
        <v>146</v>
      </c>
      <c r="N26" s="87" t="s">
        <v>147</v>
      </c>
      <c r="O26" s="87" t="s">
        <v>148</v>
      </c>
      <c r="P26" s="87" t="s">
        <v>149</v>
      </c>
      <c r="Q26" s="87" t="s">
        <v>150</v>
      </c>
      <c r="R26" s="87" t="s">
        <v>151</v>
      </c>
      <c r="S26" s="87" t="s">
        <v>85</v>
      </c>
      <c r="T26" s="87" t="s">
        <v>152</v>
      </c>
      <c r="U26" s="87" t="s">
        <v>153</v>
      </c>
      <c r="V26" s="87" t="s">
        <v>154</v>
      </c>
      <c r="W26" s="87" t="s">
        <v>155</v>
      </c>
      <c r="X26" s="87" t="s">
        <v>156</v>
      </c>
      <c r="Y26" s="87" t="s">
        <v>157</v>
      </c>
      <c r="Z26" s="87" t="s">
        <v>158</v>
      </c>
      <c r="AA26" s="87" t="s">
        <v>85</v>
      </c>
      <c r="AB26" s="87" t="s">
        <v>159</v>
      </c>
      <c r="AC26" s="87" t="s">
        <v>160</v>
      </c>
      <c r="AD26" s="87" t="s">
        <v>161</v>
      </c>
      <c r="AE26" s="87" t="s">
        <v>162</v>
      </c>
      <c r="AF26" s="87" t="s">
        <v>163</v>
      </c>
      <c r="AG26" s="87" t="s">
        <v>164</v>
      </c>
      <c r="AH26" s="87" t="s">
        <v>165</v>
      </c>
      <c r="AI26" s="87" t="s">
        <v>166</v>
      </c>
      <c r="AJ26" s="87" t="s">
        <v>167</v>
      </c>
      <c r="AK26" s="88" t="s">
        <v>168</v>
      </c>
      <c r="AL26" s="336"/>
      <c r="AM26" s="327"/>
      <c r="AN26" s="334"/>
      <c r="AO26" s="327"/>
    </row>
    <row r="27" spans="1:42" ht="30" customHeight="1" thickTop="1">
      <c r="A27" s="25">
        <v>46266</v>
      </c>
      <c r="B27" s="24">
        <v>0</v>
      </c>
      <c r="C27" s="24">
        <v>215</v>
      </c>
      <c r="D27" s="24">
        <v>243</v>
      </c>
      <c r="E27" s="24">
        <v>0</v>
      </c>
      <c r="F27" s="24">
        <v>1052</v>
      </c>
      <c r="G27" s="24">
        <v>926</v>
      </c>
      <c r="H27" s="24">
        <v>767</v>
      </c>
      <c r="I27" s="24">
        <v>780</v>
      </c>
      <c r="J27" s="24">
        <v>314</v>
      </c>
      <c r="K27" s="24">
        <v>1008</v>
      </c>
      <c r="L27" s="24">
        <v>0</v>
      </c>
      <c r="M27" s="24">
        <v>0</v>
      </c>
      <c r="N27" s="24">
        <v>0</v>
      </c>
      <c r="O27" s="24">
        <v>668</v>
      </c>
      <c r="P27" s="24">
        <v>216</v>
      </c>
      <c r="Q27" s="24">
        <v>0</v>
      </c>
      <c r="R27" s="24">
        <v>1152</v>
      </c>
      <c r="S27" s="24">
        <v>0</v>
      </c>
      <c r="T27" s="24">
        <v>0</v>
      </c>
      <c r="U27" s="24">
        <v>202</v>
      </c>
      <c r="V27" s="24">
        <v>103</v>
      </c>
      <c r="W27" s="24">
        <v>252</v>
      </c>
      <c r="X27" s="24">
        <v>0</v>
      </c>
      <c r="Y27" s="24">
        <v>0</v>
      </c>
      <c r="Z27" s="24">
        <v>408</v>
      </c>
      <c r="AA27" s="24">
        <v>238</v>
      </c>
      <c r="AB27" s="24">
        <v>398</v>
      </c>
      <c r="AC27" s="24">
        <v>1977</v>
      </c>
      <c r="AD27" s="24">
        <v>508</v>
      </c>
      <c r="AE27" s="24">
        <v>758</v>
      </c>
      <c r="AF27" s="24">
        <v>0</v>
      </c>
      <c r="AG27" s="24">
        <v>260</v>
      </c>
      <c r="AH27" s="24">
        <v>0</v>
      </c>
      <c r="AI27" s="24">
        <v>0</v>
      </c>
      <c r="AJ27" s="24">
        <v>0</v>
      </c>
      <c r="AK27" s="26">
        <v>0</v>
      </c>
      <c r="AL27" s="47">
        <f>SUM(B27:AK27)</f>
        <v>12445</v>
      </c>
      <c r="AM27" s="120">
        <f>63+6</f>
        <v>69</v>
      </c>
      <c r="AN27" s="237">
        <v>67</v>
      </c>
      <c r="AO27" s="109">
        <v>2</v>
      </c>
    </row>
    <row r="28" spans="1:42" ht="30" customHeight="1">
      <c r="A28" s="27">
        <v>46267</v>
      </c>
      <c r="B28" s="12">
        <v>0</v>
      </c>
      <c r="C28" s="12">
        <v>254</v>
      </c>
      <c r="D28" s="12">
        <v>243</v>
      </c>
      <c r="E28" s="12">
        <v>0</v>
      </c>
      <c r="F28" s="12">
        <v>1180</v>
      </c>
      <c r="G28" s="12">
        <v>805</v>
      </c>
      <c r="H28" s="12">
        <v>757</v>
      </c>
      <c r="I28" s="12">
        <v>872</v>
      </c>
      <c r="J28" s="12">
        <v>510</v>
      </c>
      <c r="K28" s="12">
        <v>500</v>
      </c>
      <c r="L28" s="12">
        <v>0</v>
      </c>
      <c r="M28" s="12">
        <v>0</v>
      </c>
      <c r="N28" s="12">
        <v>0</v>
      </c>
      <c r="O28" s="12">
        <v>499</v>
      </c>
      <c r="P28" s="12">
        <v>444</v>
      </c>
      <c r="Q28" s="12">
        <v>0</v>
      </c>
      <c r="R28" s="12">
        <v>4072</v>
      </c>
      <c r="S28" s="12">
        <v>240</v>
      </c>
      <c r="T28" s="12">
        <v>408</v>
      </c>
      <c r="U28" s="12">
        <v>192</v>
      </c>
      <c r="V28" s="12">
        <v>174</v>
      </c>
      <c r="W28" s="12">
        <v>186</v>
      </c>
      <c r="X28" s="12">
        <v>0</v>
      </c>
      <c r="Y28" s="12">
        <v>206</v>
      </c>
      <c r="Z28" s="12">
        <v>0</v>
      </c>
      <c r="AA28" s="12">
        <v>0</v>
      </c>
      <c r="AB28" s="12">
        <v>0</v>
      </c>
      <c r="AC28" s="12">
        <v>1051</v>
      </c>
      <c r="AD28" s="12">
        <v>534</v>
      </c>
      <c r="AE28" s="12">
        <v>364</v>
      </c>
      <c r="AF28" s="12">
        <v>220</v>
      </c>
      <c r="AG28" s="12">
        <v>0</v>
      </c>
      <c r="AH28" s="12">
        <v>162</v>
      </c>
      <c r="AI28" s="12">
        <v>92</v>
      </c>
      <c r="AJ28" s="12">
        <v>0</v>
      </c>
      <c r="AK28" s="28">
        <v>0</v>
      </c>
      <c r="AL28" s="45">
        <f t="shared" ref="AL28:AL31" si="3">SUM(B28:AK28)</f>
        <v>13965</v>
      </c>
      <c r="AM28" s="109">
        <f>63+6</f>
        <v>69</v>
      </c>
      <c r="AN28" s="237">
        <v>67</v>
      </c>
      <c r="AO28" s="109">
        <v>2</v>
      </c>
    </row>
    <row r="29" spans="1:42" ht="30" customHeight="1">
      <c r="A29" s="27">
        <v>46268</v>
      </c>
      <c r="B29" s="12">
        <v>276</v>
      </c>
      <c r="C29" s="12">
        <v>315</v>
      </c>
      <c r="D29" s="12">
        <v>0</v>
      </c>
      <c r="E29" s="12">
        <v>192</v>
      </c>
      <c r="F29" s="12">
        <v>727</v>
      </c>
      <c r="G29" s="12">
        <v>1602</v>
      </c>
      <c r="H29" s="12">
        <v>726</v>
      </c>
      <c r="I29" s="12">
        <v>1058</v>
      </c>
      <c r="J29" s="12">
        <v>930</v>
      </c>
      <c r="K29" s="12">
        <v>1132</v>
      </c>
      <c r="L29" s="12">
        <v>0</v>
      </c>
      <c r="M29" s="12">
        <v>0</v>
      </c>
      <c r="N29" s="12">
        <v>0</v>
      </c>
      <c r="O29" s="12">
        <v>1341</v>
      </c>
      <c r="P29" s="12">
        <v>600</v>
      </c>
      <c r="Q29" s="12">
        <v>0</v>
      </c>
      <c r="R29" s="12">
        <v>1899</v>
      </c>
      <c r="S29" s="12">
        <v>167</v>
      </c>
      <c r="T29" s="12">
        <v>0</v>
      </c>
      <c r="U29" s="12">
        <v>71</v>
      </c>
      <c r="V29" s="12">
        <v>96</v>
      </c>
      <c r="W29" s="12">
        <v>0</v>
      </c>
      <c r="X29" s="12">
        <v>0</v>
      </c>
      <c r="Y29" s="12">
        <v>420</v>
      </c>
      <c r="Z29" s="12">
        <v>360</v>
      </c>
      <c r="AA29" s="12">
        <v>244</v>
      </c>
      <c r="AB29" s="12">
        <v>0</v>
      </c>
      <c r="AC29" s="12">
        <v>949</v>
      </c>
      <c r="AD29" s="12">
        <v>253</v>
      </c>
      <c r="AE29" s="12">
        <v>0</v>
      </c>
      <c r="AF29" s="12">
        <v>0</v>
      </c>
      <c r="AG29" s="12">
        <v>0</v>
      </c>
      <c r="AH29" s="12">
        <v>0</v>
      </c>
      <c r="AI29" s="12">
        <v>378</v>
      </c>
      <c r="AJ29" s="12">
        <v>0</v>
      </c>
      <c r="AK29" s="28">
        <v>84</v>
      </c>
      <c r="AL29" s="45">
        <f t="shared" si="3"/>
        <v>13820</v>
      </c>
      <c r="AM29" s="109">
        <f>63+6</f>
        <v>69</v>
      </c>
      <c r="AN29" s="237">
        <v>69</v>
      </c>
      <c r="AO29" s="109">
        <v>0</v>
      </c>
    </row>
    <row r="30" spans="1:42" ht="30" customHeight="1">
      <c r="A30" s="27">
        <v>46269</v>
      </c>
      <c r="B30" s="12">
        <v>544</v>
      </c>
      <c r="C30" s="12">
        <v>0</v>
      </c>
      <c r="D30" s="12">
        <v>0</v>
      </c>
      <c r="E30" s="12">
        <v>142</v>
      </c>
      <c r="F30" s="12">
        <v>860</v>
      </c>
      <c r="G30" s="12">
        <v>1602</v>
      </c>
      <c r="H30" s="12">
        <v>726</v>
      </c>
      <c r="I30" s="12">
        <v>1058</v>
      </c>
      <c r="J30" s="12">
        <v>930</v>
      </c>
      <c r="K30" s="12">
        <v>2231</v>
      </c>
      <c r="L30" s="12">
        <v>0</v>
      </c>
      <c r="M30" s="12">
        <v>0</v>
      </c>
      <c r="N30" s="12">
        <v>0</v>
      </c>
      <c r="O30" s="12">
        <v>1381</v>
      </c>
      <c r="P30" s="12">
        <v>870</v>
      </c>
      <c r="Q30" s="12">
        <v>0</v>
      </c>
      <c r="R30" s="12">
        <v>1899</v>
      </c>
      <c r="S30" s="12">
        <v>0</v>
      </c>
      <c r="T30" s="12">
        <v>0</v>
      </c>
      <c r="U30" s="12">
        <v>23</v>
      </c>
      <c r="V30" s="12">
        <v>91</v>
      </c>
      <c r="W30" s="12">
        <v>0</v>
      </c>
      <c r="X30" s="12">
        <v>0</v>
      </c>
      <c r="Y30" s="12">
        <v>408</v>
      </c>
      <c r="Z30" s="12">
        <v>436</v>
      </c>
      <c r="AA30" s="12">
        <v>183</v>
      </c>
      <c r="AB30" s="12">
        <v>0</v>
      </c>
      <c r="AC30" s="12">
        <v>1676</v>
      </c>
      <c r="AD30" s="12">
        <v>371</v>
      </c>
      <c r="AE30" s="12">
        <v>49</v>
      </c>
      <c r="AF30" s="12">
        <v>0</v>
      </c>
      <c r="AG30" s="12">
        <v>0</v>
      </c>
      <c r="AH30" s="12">
        <v>323</v>
      </c>
      <c r="AI30" s="12">
        <v>0</v>
      </c>
      <c r="AJ30" s="12">
        <v>0</v>
      </c>
      <c r="AK30" s="28">
        <v>0</v>
      </c>
      <c r="AL30" s="45">
        <f t="shared" si="3"/>
        <v>15803</v>
      </c>
      <c r="AM30" s="109">
        <f>63+6</f>
        <v>69</v>
      </c>
      <c r="AN30" s="237">
        <v>69</v>
      </c>
      <c r="AO30" s="109">
        <v>0</v>
      </c>
    </row>
    <row r="31" spans="1:42" ht="30" customHeight="1">
      <c r="A31" s="27">
        <v>46270</v>
      </c>
      <c r="B31" s="12">
        <v>0</v>
      </c>
      <c r="C31" s="12">
        <v>0</v>
      </c>
      <c r="D31" s="12">
        <v>258</v>
      </c>
      <c r="E31" s="12">
        <v>155</v>
      </c>
      <c r="F31" s="12">
        <v>710</v>
      </c>
      <c r="G31" s="12">
        <v>753</v>
      </c>
      <c r="H31" s="12">
        <v>416</v>
      </c>
      <c r="I31" s="12">
        <v>504</v>
      </c>
      <c r="J31" s="12">
        <v>538</v>
      </c>
      <c r="K31" s="12">
        <v>1140</v>
      </c>
      <c r="L31" s="12">
        <v>0</v>
      </c>
      <c r="M31" s="12">
        <v>0</v>
      </c>
      <c r="N31" s="12">
        <v>0</v>
      </c>
      <c r="O31" s="12">
        <v>662</v>
      </c>
      <c r="P31" s="12">
        <v>930</v>
      </c>
      <c r="Q31" s="12">
        <v>0</v>
      </c>
      <c r="R31" s="12">
        <v>1193</v>
      </c>
      <c r="S31" s="12">
        <v>228</v>
      </c>
      <c r="T31" s="12">
        <v>0</v>
      </c>
      <c r="U31" s="12">
        <v>170</v>
      </c>
      <c r="V31" s="12">
        <v>125</v>
      </c>
      <c r="W31" s="12">
        <v>156</v>
      </c>
      <c r="X31" s="12">
        <v>0</v>
      </c>
      <c r="Y31" s="12">
        <v>0</v>
      </c>
      <c r="Z31" s="12">
        <v>240</v>
      </c>
      <c r="AA31" s="12">
        <v>0</v>
      </c>
      <c r="AB31" s="12">
        <v>0</v>
      </c>
      <c r="AC31" s="12">
        <v>1455</v>
      </c>
      <c r="AD31" s="12">
        <v>714</v>
      </c>
      <c r="AE31" s="12">
        <v>0</v>
      </c>
      <c r="AF31" s="12">
        <v>230</v>
      </c>
      <c r="AG31" s="12">
        <v>94</v>
      </c>
      <c r="AH31" s="12">
        <v>0</v>
      </c>
      <c r="AI31" s="12">
        <v>165</v>
      </c>
      <c r="AJ31" s="12">
        <v>0</v>
      </c>
      <c r="AK31" s="28">
        <v>0</v>
      </c>
      <c r="AL31" s="45">
        <f t="shared" si="3"/>
        <v>10836</v>
      </c>
      <c r="AM31" s="109">
        <f>63+6</f>
        <v>69</v>
      </c>
      <c r="AN31" s="237">
        <v>67</v>
      </c>
      <c r="AO31" s="109">
        <v>2</v>
      </c>
    </row>
    <row r="32" spans="1:42" ht="30" customHeight="1">
      <c r="A32" s="91">
        <v>46271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7"/>
      <c r="AL32" s="95"/>
      <c r="AM32" s="110"/>
      <c r="AN32" s="238"/>
      <c r="AO32" s="110"/>
    </row>
    <row r="33" spans="1:41" ht="30" customHeight="1">
      <c r="A33" s="27">
        <v>46272</v>
      </c>
      <c r="B33" s="12">
        <v>420</v>
      </c>
      <c r="C33" s="12">
        <v>205</v>
      </c>
      <c r="D33" s="12">
        <v>0</v>
      </c>
      <c r="E33" s="12">
        <v>0</v>
      </c>
      <c r="F33" s="12">
        <v>942</v>
      </c>
      <c r="G33" s="12">
        <v>521</v>
      </c>
      <c r="H33" s="12">
        <v>528</v>
      </c>
      <c r="I33" s="12">
        <v>0</v>
      </c>
      <c r="J33" s="12">
        <v>828</v>
      </c>
      <c r="K33" s="12">
        <v>995</v>
      </c>
      <c r="L33" s="12">
        <v>0</v>
      </c>
      <c r="M33" s="12">
        <v>1704</v>
      </c>
      <c r="N33" s="12">
        <v>0</v>
      </c>
      <c r="O33" s="12">
        <v>802</v>
      </c>
      <c r="P33" s="12">
        <v>0</v>
      </c>
      <c r="Q33" s="12">
        <v>0</v>
      </c>
      <c r="R33" s="12">
        <v>1369</v>
      </c>
      <c r="S33" s="12">
        <v>267</v>
      </c>
      <c r="T33" s="12">
        <v>0</v>
      </c>
      <c r="U33" s="12">
        <v>0</v>
      </c>
      <c r="V33" s="12">
        <v>120</v>
      </c>
      <c r="W33" s="12">
        <v>672</v>
      </c>
      <c r="X33" s="12">
        <v>0</v>
      </c>
      <c r="Y33" s="12">
        <v>558</v>
      </c>
      <c r="Z33" s="12">
        <v>714</v>
      </c>
      <c r="AA33" s="12">
        <v>0</v>
      </c>
      <c r="AB33" s="12">
        <v>0</v>
      </c>
      <c r="AC33" s="12">
        <v>1247</v>
      </c>
      <c r="AD33" s="12">
        <v>294</v>
      </c>
      <c r="AE33" s="12">
        <v>0</v>
      </c>
      <c r="AF33" s="12">
        <v>149</v>
      </c>
      <c r="AG33" s="12">
        <v>0</v>
      </c>
      <c r="AH33" s="12">
        <v>294</v>
      </c>
      <c r="AI33" s="12">
        <v>0</v>
      </c>
      <c r="AJ33" s="12">
        <v>0</v>
      </c>
      <c r="AK33" s="28">
        <v>996</v>
      </c>
      <c r="AL33" s="45">
        <f t="shared" ref="AL33:AL38" si="4">SUM(B33:AK33)</f>
        <v>13625</v>
      </c>
      <c r="AM33" s="109">
        <f t="shared" ref="AM33:AM38" si="5">70+7</f>
        <v>77</v>
      </c>
      <c r="AN33" s="237">
        <v>76</v>
      </c>
      <c r="AO33" s="109">
        <v>1</v>
      </c>
    </row>
    <row r="34" spans="1:41" ht="30" customHeight="1">
      <c r="A34" s="27">
        <v>46273</v>
      </c>
      <c r="B34" s="12">
        <v>368</v>
      </c>
      <c r="C34" s="12">
        <v>443</v>
      </c>
      <c r="D34" s="12">
        <v>214</v>
      </c>
      <c r="E34" s="12">
        <v>292</v>
      </c>
      <c r="F34" s="12">
        <v>628</v>
      </c>
      <c r="G34" s="12">
        <v>1134</v>
      </c>
      <c r="H34" s="12">
        <v>597</v>
      </c>
      <c r="I34" s="12">
        <v>417</v>
      </c>
      <c r="J34" s="12">
        <v>324</v>
      </c>
      <c r="K34" s="12">
        <v>1072</v>
      </c>
      <c r="L34" s="12">
        <v>0</v>
      </c>
      <c r="M34" s="12">
        <v>0</v>
      </c>
      <c r="N34" s="12">
        <v>0</v>
      </c>
      <c r="O34" s="12">
        <v>847</v>
      </c>
      <c r="P34" s="12">
        <v>1362</v>
      </c>
      <c r="Q34" s="12">
        <v>0</v>
      </c>
      <c r="R34" s="12">
        <v>804</v>
      </c>
      <c r="S34" s="12">
        <v>272</v>
      </c>
      <c r="T34" s="12">
        <v>258</v>
      </c>
      <c r="U34" s="12">
        <v>190</v>
      </c>
      <c r="V34" s="12">
        <v>272</v>
      </c>
      <c r="W34" s="12">
        <v>240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2357</v>
      </c>
      <c r="AD34" s="12">
        <v>333</v>
      </c>
      <c r="AE34" s="12">
        <v>0</v>
      </c>
      <c r="AF34" s="12">
        <v>0</v>
      </c>
      <c r="AG34" s="12">
        <v>0</v>
      </c>
      <c r="AH34" s="12">
        <v>0</v>
      </c>
      <c r="AI34" s="12">
        <v>103</v>
      </c>
      <c r="AJ34" s="12">
        <v>0</v>
      </c>
      <c r="AK34" s="28">
        <v>228</v>
      </c>
      <c r="AL34" s="45">
        <f t="shared" si="4"/>
        <v>12755</v>
      </c>
      <c r="AM34" s="109">
        <f t="shared" si="5"/>
        <v>77</v>
      </c>
      <c r="AN34" s="237">
        <v>75</v>
      </c>
      <c r="AO34" s="109">
        <v>2</v>
      </c>
    </row>
    <row r="35" spans="1:41" ht="30" customHeight="1">
      <c r="A35" s="27">
        <v>46274</v>
      </c>
      <c r="B35" s="12">
        <v>0</v>
      </c>
      <c r="C35" s="12">
        <v>471</v>
      </c>
      <c r="D35" s="12">
        <v>469</v>
      </c>
      <c r="E35" s="12">
        <v>60</v>
      </c>
      <c r="F35" s="12">
        <v>145</v>
      </c>
      <c r="G35" s="12">
        <v>587</v>
      </c>
      <c r="H35" s="12">
        <v>582</v>
      </c>
      <c r="I35" s="12">
        <v>948</v>
      </c>
      <c r="J35" s="12">
        <v>644</v>
      </c>
      <c r="K35" s="12">
        <v>797</v>
      </c>
      <c r="L35" s="12">
        <v>0</v>
      </c>
      <c r="M35" s="12">
        <v>0</v>
      </c>
      <c r="N35" s="12">
        <v>0</v>
      </c>
      <c r="O35" s="12">
        <v>575</v>
      </c>
      <c r="P35" s="12">
        <v>1212</v>
      </c>
      <c r="Q35" s="12">
        <v>0</v>
      </c>
      <c r="R35" s="12">
        <v>473</v>
      </c>
      <c r="S35" s="12">
        <v>236</v>
      </c>
      <c r="T35" s="12">
        <v>0</v>
      </c>
      <c r="U35" s="12">
        <v>296</v>
      </c>
      <c r="V35" s="12">
        <v>264</v>
      </c>
      <c r="W35" s="12">
        <v>330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1543</v>
      </c>
      <c r="AD35" s="12">
        <v>0</v>
      </c>
      <c r="AE35" s="12">
        <v>0</v>
      </c>
      <c r="AF35" s="12">
        <v>22</v>
      </c>
      <c r="AG35" s="12">
        <v>0</v>
      </c>
      <c r="AH35" s="12">
        <v>14</v>
      </c>
      <c r="AI35" s="12">
        <v>96</v>
      </c>
      <c r="AJ35" s="12">
        <v>0</v>
      </c>
      <c r="AK35" s="28">
        <v>240</v>
      </c>
      <c r="AL35" s="45">
        <f t="shared" si="4"/>
        <v>10004</v>
      </c>
      <c r="AM35" s="109">
        <f t="shared" si="5"/>
        <v>77</v>
      </c>
      <c r="AN35" s="237">
        <v>75</v>
      </c>
      <c r="AO35" s="109">
        <v>2</v>
      </c>
    </row>
    <row r="36" spans="1:41" ht="30" customHeight="1">
      <c r="A36" s="27">
        <v>46275</v>
      </c>
      <c r="B36" s="12">
        <v>282</v>
      </c>
      <c r="C36" s="12">
        <v>0</v>
      </c>
      <c r="D36" s="12">
        <v>222</v>
      </c>
      <c r="E36" s="12">
        <v>413</v>
      </c>
      <c r="F36" s="12">
        <v>786</v>
      </c>
      <c r="G36" s="12">
        <v>512</v>
      </c>
      <c r="H36" s="12">
        <v>310</v>
      </c>
      <c r="I36" s="12">
        <v>482</v>
      </c>
      <c r="J36" s="12">
        <v>936</v>
      </c>
      <c r="K36" s="12">
        <v>1309</v>
      </c>
      <c r="L36" s="12">
        <v>0</v>
      </c>
      <c r="M36" s="12">
        <v>0</v>
      </c>
      <c r="N36" s="12">
        <v>0</v>
      </c>
      <c r="O36" s="12">
        <v>456</v>
      </c>
      <c r="P36" s="12">
        <v>72</v>
      </c>
      <c r="Q36" s="12">
        <v>0</v>
      </c>
      <c r="R36" s="12">
        <v>0</v>
      </c>
      <c r="S36" s="12">
        <v>0</v>
      </c>
      <c r="T36" s="12">
        <v>366</v>
      </c>
      <c r="U36" s="12">
        <v>150</v>
      </c>
      <c r="V36" s="12">
        <v>155</v>
      </c>
      <c r="W36" s="12">
        <v>264</v>
      </c>
      <c r="X36" s="12">
        <v>0</v>
      </c>
      <c r="Y36" s="12">
        <v>0</v>
      </c>
      <c r="Z36" s="12">
        <v>0</v>
      </c>
      <c r="AA36" s="12">
        <v>221</v>
      </c>
      <c r="AB36" s="12">
        <v>0</v>
      </c>
      <c r="AC36" s="12">
        <v>1945</v>
      </c>
      <c r="AD36" s="12">
        <v>0</v>
      </c>
      <c r="AE36" s="12">
        <v>350</v>
      </c>
      <c r="AF36" s="12">
        <v>0</v>
      </c>
      <c r="AG36" s="12">
        <v>24</v>
      </c>
      <c r="AH36" s="12">
        <v>0</v>
      </c>
      <c r="AI36" s="12">
        <v>0</v>
      </c>
      <c r="AJ36" s="12">
        <v>0</v>
      </c>
      <c r="AK36" s="28">
        <v>0</v>
      </c>
      <c r="AL36" s="45">
        <f t="shared" si="4"/>
        <v>9255</v>
      </c>
      <c r="AM36" s="109">
        <f t="shared" si="5"/>
        <v>77</v>
      </c>
      <c r="AN36" s="237">
        <v>77</v>
      </c>
      <c r="AO36" s="109">
        <v>0</v>
      </c>
    </row>
    <row r="37" spans="1:41" ht="30" customHeight="1">
      <c r="A37" s="27">
        <v>46276</v>
      </c>
      <c r="B37" s="12">
        <v>400</v>
      </c>
      <c r="C37" s="12">
        <v>187</v>
      </c>
      <c r="D37" s="12">
        <v>0</v>
      </c>
      <c r="E37" s="12">
        <v>404</v>
      </c>
      <c r="F37" s="12">
        <v>102</v>
      </c>
      <c r="G37" s="12">
        <v>502</v>
      </c>
      <c r="H37" s="12">
        <v>213</v>
      </c>
      <c r="I37" s="12">
        <v>0</v>
      </c>
      <c r="J37" s="12">
        <v>1175</v>
      </c>
      <c r="K37" s="12">
        <v>467</v>
      </c>
      <c r="L37" s="12">
        <v>0</v>
      </c>
      <c r="M37" s="12">
        <v>0</v>
      </c>
      <c r="N37" s="12">
        <v>0</v>
      </c>
      <c r="O37" s="12">
        <v>449</v>
      </c>
      <c r="P37" s="12">
        <v>716</v>
      </c>
      <c r="Q37" s="12">
        <v>0</v>
      </c>
      <c r="R37" s="12">
        <v>0</v>
      </c>
      <c r="S37" s="12">
        <v>0</v>
      </c>
      <c r="T37" s="12">
        <v>0</v>
      </c>
      <c r="U37" s="12">
        <v>39</v>
      </c>
      <c r="V37" s="12">
        <v>156</v>
      </c>
      <c r="W37" s="12">
        <v>324</v>
      </c>
      <c r="X37" s="12">
        <v>0</v>
      </c>
      <c r="Y37" s="12">
        <v>312</v>
      </c>
      <c r="Z37" s="12">
        <v>0</v>
      </c>
      <c r="AA37" s="12">
        <v>266</v>
      </c>
      <c r="AB37" s="12">
        <v>247</v>
      </c>
      <c r="AC37" s="12">
        <v>1775</v>
      </c>
      <c r="AD37" s="12">
        <v>0</v>
      </c>
      <c r="AE37" s="12">
        <v>0</v>
      </c>
      <c r="AF37" s="12">
        <v>440</v>
      </c>
      <c r="AG37" s="12">
        <v>42</v>
      </c>
      <c r="AH37" s="12">
        <v>0</v>
      </c>
      <c r="AI37" s="12">
        <v>65</v>
      </c>
      <c r="AJ37" s="12">
        <v>0</v>
      </c>
      <c r="AK37" s="28">
        <v>360</v>
      </c>
      <c r="AL37" s="45">
        <f t="shared" si="4"/>
        <v>8641</v>
      </c>
      <c r="AM37" s="109">
        <f t="shared" si="5"/>
        <v>77</v>
      </c>
      <c r="AN37" s="237">
        <v>76</v>
      </c>
      <c r="AO37" s="109">
        <v>1</v>
      </c>
    </row>
    <row r="38" spans="1:41" ht="30" customHeight="1">
      <c r="A38" s="27">
        <v>46277</v>
      </c>
      <c r="B38" s="12">
        <v>525</v>
      </c>
      <c r="C38" s="12">
        <v>369</v>
      </c>
      <c r="D38" s="12">
        <v>230</v>
      </c>
      <c r="E38" s="12">
        <v>161</v>
      </c>
      <c r="F38" s="12">
        <v>174</v>
      </c>
      <c r="G38" s="12">
        <v>596</v>
      </c>
      <c r="H38" s="12">
        <v>226</v>
      </c>
      <c r="I38" s="12">
        <v>450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515</v>
      </c>
      <c r="S38" s="12">
        <v>224</v>
      </c>
      <c r="T38" s="12">
        <v>489</v>
      </c>
      <c r="U38" s="12">
        <v>46</v>
      </c>
      <c r="V38" s="12">
        <v>70</v>
      </c>
      <c r="W38" s="12">
        <v>120</v>
      </c>
      <c r="X38" s="12">
        <v>0</v>
      </c>
      <c r="Y38" s="12">
        <v>332</v>
      </c>
      <c r="Z38" s="12">
        <v>0</v>
      </c>
      <c r="AA38" s="12">
        <v>0</v>
      </c>
      <c r="AB38" s="12">
        <v>246</v>
      </c>
      <c r="AC38" s="12">
        <v>1905</v>
      </c>
      <c r="AD38" s="12">
        <v>0</v>
      </c>
      <c r="AE38" s="12">
        <v>753</v>
      </c>
      <c r="AF38" s="12">
        <v>486</v>
      </c>
      <c r="AG38" s="12">
        <v>30</v>
      </c>
      <c r="AH38" s="12">
        <v>78</v>
      </c>
      <c r="AI38" s="12">
        <v>40</v>
      </c>
      <c r="AJ38" s="12">
        <v>0</v>
      </c>
      <c r="AK38" s="28">
        <v>264</v>
      </c>
      <c r="AL38" s="45">
        <f t="shared" si="4"/>
        <v>8329</v>
      </c>
      <c r="AM38" s="109">
        <f t="shared" si="5"/>
        <v>77</v>
      </c>
      <c r="AN38" s="237">
        <v>74</v>
      </c>
      <c r="AO38" s="109">
        <v>3</v>
      </c>
    </row>
    <row r="39" spans="1:41" ht="30" customHeight="1">
      <c r="A39" s="91">
        <v>46278</v>
      </c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7"/>
      <c r="AL39" s="95"/>
      <c r="AM39" s="110"/>
      <c r="AN39" s="238"/>
      <c r="AO39" s="110"/>
    </row>
    <row r="40" spans="1:41" ht="30" customHeight="1">
      <c r="A40" s="27">
        <v>46279</v>
      </c>
      <c r="B40" s="12">
        <v>90</v>
      </c>
      <c r="C40" s="12">
        <v>327</v>
      </c>
      <c r="D40" s="12">
        <v>656</v>
      </c>
      <c r="E40" s="12">
        <v>422</v>
      </c>
      <c r="F40" s="12">
        <v>204</v>
      </c>
      <c r="G40" s="12">
        <v>114</v>
      </c>
      <c r="H40" s="12">
        <v>232</v>
      </c>
      <c r="I40" s="12">
        <v>1194</v>
      </c>
      <c r="J40" s="12">
        <v>273</v>
      </c>
      <c r="K40" s="12">
        <v>426</v>
      </c>
      <c r="L40" s="12">
        <v>0</v>
      </c>
      <c r="M40" s="12">
        <v>0</v>
      </c>
      <c r="N40" s="12">
        <v>0</v>
      </c>
      <c r="O40" s="12">
        <v>61</v>
      </c>
      <c r="P40" s="12">
        <v>1222</v>
      </c>
      <c r="Q40" s="12">
        <v>0</v>
      </c>
      <c r="R40" s="12">
        <v>698</v>
      </c>
      <c r="S40" s="12">
        <v>0</v>
      </c>
      <c r="T40" s="12">
        <v>402</v>
      </c>
      <c r="U40" s="12">
        <v>174</v>
      </c>
      <c r="V40" s="12">
        <v>132</v>
      </c>
      <c r="W40" s="12">
        <v>144</v>
      </c>
      <c r="X40" s="12">
        <v>0</v>
      </c>
      <c r="Y40" s="12">
        <v>264</v>
      </c>
      <c r="Z40" s="12">
        <v>0</v>
      </c>
      <c r="AA40" s="12">
        <v>130</v>
      </c>
      <c r="AB40" s="12">
        <v>290</v>
      </c>
      <c r="AC40" s="12">
        <v>2639</v>
      </c>
      <c r="AD40" s="12">
        <v>0</v>
      </c>
      <c r="AE40" s="12">
        <v>0</v>
      </c>
      <c r="AF40" s="12">
        <v>69</v>
      </c>
      <c r="AG40" s="12">
        <v>180</v>
      </c>
      <c r="AH40" s="12">
        <v>120</v>
      </c>
      <c r="AI40" s="12">
        <v>652</v>
      </c>
      <c r="AJ40" s="12">
        <v>0</v>
      </c>
      <c r="AK40" s="28">
        <v>0</v>
      </c>
      <c r="AL40" s="45">
        <f t="shared" ref="AL40:AL42" si="6">SUM(B40:AK40)</f>
        <v>11115</v>
      </c>
      <c r="AM40" s="109">
        <f>70+6</f>
        <v>76</v>
      </c>
      <c r="AN40" s="237">
        <v>74</v>
      </c>
      <c r="AO40" s="109">
        <v>2</v>
      </c>
    </row>
    <row r="41" spans="1:41" ht="30" customHeight="1">
      <c r="A41" s="27">
        <v>46280</v>
      </c>
      <c r="B41" s="12">
        <v>114</v>
      </c>
      <c r="C41" s="12">
        <v>324</v>
      </c>
      <c r="D41" s="12">
        <v>482</v>
      </c>
      <c r="E41" s="12">
        <v>137</v>
      </c>
      <c r="F41" s="12">
        <v>0</v>
      </c>
      <c r="G41" s="12">
        <v>245</v>
      </c>
      <c r="H41" s="12">
        <v>326</v>
      </c>
      <c r="I41" s="12">
        <v>1501</v>
      </c>
      <c r="J41" s="12">
        <v>180</v>
      </c>
      <c r="K41" s="12">
        <v>478</v>
      </c>
      <c r="L41" s="12">
        <v>0</v>
      </c>
      <c r="M41" s="12">
        <v>0</v>
      </c>
      <c r="N41" s="12">
        <v>0</v>
      </c>
      <c r="O41" s="12">
        <v>446</v>
      </c>
      <c r="P41" s="12">
        <v>720</v>
      </c>
      <c r="Q41" s="12">
        <v>0</v>
      </c>
      <c r="R41" s="12">
        <v>608</v>
      </c>
      <c r="S41" s="12">
        <v>0</v>
      </c>
      <c r="T41" s="12">
        <v>0</v>
      </c>
      <c r="U41" s="12">
        <v>166</v>
      </c>
      <c r="V41" s="12">
        <v>158</v>
      </c>
      <c r="W41" s="12">
        <v>194</v>
      </c>
      <c r="X41" s="12">
        <v>0</v>
      </c>
      <c r="Y41" s="12">
        <v>24</v>
      </c>
      <c r="Z41" s="12">
        <v>301</v>
      </c>
      <c r="AA41" s="12">
        <v>236</v>
      </c>
      <c r="AB41" s="12">
        <v>148</v>
      </c>
      <c r="AC41" s="12">
        <v>2327</v>
      </c>
      <c r="AD41" s="12">
        <v>0</v>
      </c>
      <c r="AE41" s="12">
        <v>207</v>
      </c>
      <c r="AF41" s="12">
        <v>46</v>
      </c>
      <c r="AG41" s="12">
        <v>262</v>
      </c>
      <c r="AH41" s="12">
        <v>144</v>
      </c>
      <c r="AI41" s="12">
        <v>0</v>
      </c>
      <c r="AJ41" s="12">
        <v>0</v>
      </c>
      <c r="AK41" s="28">
        <v>0</v>
      </c>
      <c r="AL41" s="45">
        <f t="shared" si="6"/>
        <v>9774</v>
      </c>
      <c r="AM41" s="109">
        <f>68+6</f>
        <v>74</v>
      </c>
      <c r="AN41" s="237">
        <v>72</v>
      </c>
      <c r="AO41" s="109">
        <v>2</v>
      </c>
    </row>
    <row r="42" spans="1:41" ht="30" customHeight="1" thickBot="1">
      <c r="A42" s="27">
        <v>46281</v>
      </c>
      <c r="B42" s="12">
        <v>0</v>
      </c>
      <c r="C42" s="12">
        <v>304</v>
      </c>
      <c r="D42" s="12">
        <v>0</v>
      </c>
      <c r="E42" s="12">
        <v>0</v>
      </c>
      <c r="F42" s="12">
        <v>280</v>
      </c>
      <c r="G42" s="12">
        <v>671</v>
      </c>
      <c r="H42" s="12">
        <v>175</v>
      </c>
      <c r="I42" s="12">
        <v>1000</v>
      </c>
      <c r="J42" s="12">
        <v>210</v>
      </c>
      <c r="K42" s="12">
        <v>705</v>
      </c>
      <c r="L42" s="12">
        <v>0</v>
      </c>
      <c r="M42" s="12">
        <v>0</v>
      </c>
      <c r="N42" s="12">
        <v>0</v>
      </c>
      <c r="O42" s="12">
        <v>1019</v>
      </c>
      <c r="P42" s="12">
        <v>935</v>
      </c>
      <c r="Q42" s="12">
        <v>0</v>
      </c>
      <c r="R42" s="12">
        <v>1169</v>
      </c>
      <c r="S42" s="12">
        <v>0</v>
      </c>
      <c r="T42" s="12">
        <v>0</v>
      </c>
      <c r="U42" s="12">
        <v>0</v>
      </c>
      <c r="V42" s="12">
        <v>220</v>
      </c>
      <c r="W42" s="12">
        <v>240</v>
      </c>
      <c r="X42" s="12">
        <v>0</v>
      </c>
      <c r="Y42" s="12">
        <v>0</v>
      </c>
      <c r="Z42" s="12">
        <v>258</v>
      </c>
      <c r="AA42" s="12">
        <v>313</v>
      </c>
      <c r="AB42" s="12">
        <v>174</v>
      </c>
      <c r="AC42" s="12">
        <v>2049</v>
      </c>
      <c r="AD42" s="12">
        <v>0</v>
      </c>
      <c r="AE42" s="12">
        <v>0</v>
      </c>
      <c r="AF42" s="12">
        <v>0</v>
      </c>
      <c r="AG42" s="12">
        <v>147</v>
      </c>
      <c r="AH42" s="12">
        <v>172</v>
      </c>
      <c r="AI42" s="12">
        <v>85</v>
      </c>
      <c r="AJ42" s="12">
        <v>0</v>
      </c>
      <c r="AK42" s="28">
        <v>0</v>
      </c>
      <c r="AL42" s="49">
        <f t="shared" si="6"/>
        <v>10126</v>
      </c>
      <c r="AM42" s="121">
        <f>68+6</f>
        <v>74</v>
      </c>
      <c r="AN42" s="239">
        <v>71</v>
      </c>
      <c r="AO42" s="121">
        <v>3</v>
      </c>
    </row>
    <row r="43" spans="1:41" ht="39.950000000000003" customHeight="1" thickBot="1">
      <c r="A43" s="84" t="s">
        <v>170</v>
      </c>
      <c r="B43" s="89">
        <f>+ROUNDDOWN(AVERAGEIF(B27:B42,"&gt;0"),0)</f>
        <v>335</v>
      </c>
      <c r="C43" s="89">
        <f t="shared" ref="C43:AK43" si="7">+ROUNDDOWN(AVERAGEIF(C27:C42,"&gt;0"),0)</f>
        <v>310</v>
      </c>
      <c r="D43" s="89">
        <f t="shared" si="7"/>
        <v>335</v>
      </c>
      <c r="E43" s="89">
        <f t="shared" si="7"/>
        <v>237</v>
      </c>
      <c r="F43" s="89">
        <f t="shared" si="7"/>
        <v>599</v>
      </c>
      <c r="G43" s="89">
        <f t="shared" si="7"/>
        <v>755</v>
      </c>
      <c r="H43" s="89">
        <f t="shared" si="7"/>
        <v>470</v>
      </c>
      <c r="I43" s="89">
        <f t="shared" si="7"/>
        <v>855</v>
      </c>
      <c r="J43" s="89">
        <f t="shared" si="7"/>
        <v>599</v>
      </c>
      <c r="K43" s="89">
        <f t="shared" si="7"/>
        <v>943</v>
      </c>
      <c r="L43" s="89"/>
      <c r="M43" s="89">
        <f t="shared" si="7"/>
        <v>1704</v>
      </c>
      <c r="N43" s="89"/>
      <c r="O43" s="89">
        <f t="shared" si="7"/>
        <v>708</v>
      </c>
      <c r="P43" s="89">
        <f t="shared" si="7"/>
        <v>774</v>
      </c>
      <c r="Q43" s="89"/>
      <c r="R43" s="89">
        <f t="shared" si="7"/>
        <v>1320</v>
      </c>
      <c r="S43" s="89">
        <f t="shared" si="7"/>
        <v>233</v>
      </c>
      <c r="T43" s="89">
        <f t="shared" si="7"/>
        <v>384</v>
      </c>
      <c r="U43" s="89">
        <f t="shared" si="7"/>
        <v>143</v>
      </c>
      <c r="V43" s="89">
        <f t="shared" si="7"/>
        <v>152</v>
      </c>
      <c r="W43" s="89">
        <f t="shared" si="7"/>
        <v>260</v>
      </c>
      <c r="X43" s="89"/>
      <c r="Y43" s="89">
        <f t="shared" si="7"/>
        <v>315</v>
      </c>
      <c r="Z43" s="89">
        <f t="shared" si="7"/>
        <v>388</v>
      </c>
      <c r="AA43" s="89">
        <f t="shared" si="7"/>
        <v>228</v>
      </c>
      <c r="AB43" s="89">
        <f t="shared" si="7"/>
        <v>250</v>
      </c>
      <c r="AC43" s="89">
        <f t="shared" si="7"/>
        <v>1778</v>
      </c>
      <c r="AD43" s="89">
        <f t="shared" si="7"/>
        <v>429</v>
      </c>
      <c r="AE43" s="89">
        <f t="shared" si="7"/>
        <v>413</v>
      </c>
      <c r="AF43" s="89">
        <f t="shared" si="7"/>
        <v>207</v>
      </c>
      <c r="AG43" s="89">
        <f t="shared" si="7"/>
        <v>129</v>
      </c>
      <c r="AH43" s="89">
        <f t="shared" si="7"/>
        <v>163</v>
      </c>
      <c r="AI43" s="89">
        <f t="shared" si="7"/>
        <v>186</v>
      </c>
      <c r="AJ43" s="89"/>
      <c r="AK43" s="90">
        <f t="shared" si="7"/>
        <v>362</v>
      </c>
      <c r="AL43" s="90"/>
      <c r="AM43" s="108"/>
      <c r="AN43" s="255">
        <f>MAX(AN27:AN42)</f>
        <v>77</v>
      </c>
      <c r="AO43" s="108">
        <f>MAX(AO27:AO42)</f>
        <v>3</v>
      </c>
    </row>
    <row r="44" spans="1:41" s="170" customFormat="1">
      <c r="A44" s="169"/>
    </row>
    <row r="45" spans="1:41" ht="30" customHeight="1" thickBot="1">
      <c r="A45" s="183" t="s">
        <v>6</v>
      </c>
    </row>
    <row r="46" spans="1:41" ht="35.1" customHeight="1">
      <c r="A46" s="322" t="s">
        <v>59</v>
      </c>
      <c r="B46" s="79">
        <v>608</v>
      </c>
      <c r="C46" s="79">
        <v>608</v>
      </c>
      <c r="D46" s="79">
        <v>608</v>
      </c>
      <c r="E46" s="79">
        <v>608</v>
      </c>
      <c r="F46" s="79">
        <v>608</v>
      </c>
      <c r="G46" s="79">
        <v>880</v>
      </c>
      <c r="H46" s="79">
        <v>880</v>
      </c>
      <c r="I46" s="79">
        <v>880</v>
      </c>
      <c r="J46" s="79">
        <v>880</v>
      </c>
      <c r="K46" s="79">
        <v>373</v>
      </c>
      <c r="L46" s="79">
        <v>373</v>
      </c>
      <c r="M46" s="79">
        <v>373</v>
      </c>
      <c r="N46" s="79">
        <v>373</v>
      </c>
      <c r="O46" s="79">
        <v>373</v>
      </c>
      <c r="P46" s="79">
        <v>373</v>
      </c>
      <c r="Q46" s="79">
        <v>373</v>
      </c>
      <c r="R46" s="79">
        <v>578</v>
      </c>
      <c r="S46" s="79" t="s">
        <v>132</v>
      </c>
      <c r="T46" s="79" t="s">
        <v>132</v>
      </c>
      <c r="U46" s="79" t="s">
        <v>132</v>
      </c>
      <c r="V46" s="79" t="s">
        <v>132</v>
      </c>
      <c r="W46" s="79" t="s">
        <v>132</v>
      </c>
      <c r="X46" s="79" t="s">
        <v>133</v>
      </c>
      <c r="Y46" s="79" t="s">
        <v>133</v>
      </c>
      <c r="Z46" s="79" t="s">
        <v>133</v>
      </c>
      <c r="AA46" s="79" t="s">
        <v>133</v>
      </c>
      <c r="AB46" s="79" t="s">
        <v>133</v>
      </c>
      <c r="AC46" s="79">
        <v>411</v>
      </c>
      <c r="AD46" s="79">
        <v>480</v>
      </c>
      <c r="AE46" s="79" t="s">
        <v>134</v>
      </c>
      <c r="AF46" s="79">
        <v>1906</v>
      </c>
      <c r="AG46" s="79">
        <v>1906</v>
      </c>
      <c r="AH46" s="79">
        <v>1906</v>
      </c>
      <c r="AI46" s="79">
        <v>1906</v>
      </c>
      <c r="AJ46" s="79">
        <v>1906</v>
      </c>
      <c r="AK46" s="80">
        <v>1906</v>
      </c>
      <c r="AL46" s="335" t="s">
        <v>175</v>
      </c>
      <c r="AM46" s="326" t="s">
        <v>189</v>
      </c>
      <c r="AN46" s="333" t="s">
        <v>176</v>
      </c>
      <c r="AO46" s="326" t="s">
        <v>184</v>
      </c>
    </row>
    <row r="47" spans="1:41" ht="54.95" customHeight="1" thickBot="1">
      <c r="A47" s="323"/>
      <c r="B47" s="87" t="s">
        <v>135</v>
      </c>
      <c r="C47" s="87" t="s">
        <v>136</v>
      </c>
      <c r="D47" s="87" t="s">
        <v>137</v>
      </c>
      <c r="E47" s="87" t="s">
        <v>138</v>
      </c>
      <c r="F47" s="87" t="s">
        <v>139</v>
      </c>
      <c r="G47" s="87" t="s">
        <v>140</v>
      </c>
      <c r="H47" s="87" t="s">
        <v>141</v>
      </c>
      <c r="I47" s="87" t="s">
        <v>142</v>
      </c>
      <c r="J47" s="87" t="s">
        <v>143</v>
      </c>
      <c r="K47" s="87" t="s">
        <v>144</v>
      </c>
      <c r="L47" s="87" t="s">
        <v>145</v>
      </c>
      <c r="M47" s="87" t="s">
        <v>146</v>
      </c>
      <c r="N47" s="87" t="s">
        <v>147</v>
      </c>
      <c r="O47" s="87" t="s">
        <v>148</v>
      </c>
      <c r="P47" s="87" t="s">
        <v>149</v>
      </c>
      <c r="Q47" s="87" t="s">
        <v>150</v>
      </c>
      <c r="R47" s="87" t="s">
        <v>151</v>
      </c>
      <c r="S47" s="87" t="s">
        <v>85</v>
      </c>
      <c r="T47" s="87" t="s">
        <v>152</v>
      </c>
      <c r="U47" s="87" t="s">
        <v>153</v>
      </c>
      <c r="V47" s="87" t="s">
        <v>154</v>
      </c>
      <c r="W47" s="87" t="s">
        <v>155</v>
      </c>
      <c r="X47" s="87" t="s">
        <v>156</v>
      </c>
      <c r="Y47" s="87" t="s">
        <v>157</v>
      </c>
      <c r="Z47" s="87" t="s">
        <v>158</v>
      </c>
      <c r="AA47" s="87" t="s">
        <v>85</v>
      </c>
      <c r="AB47" s="87" t="s">
        <v>159</v>
      </c>
      <c r="AC47" s="87" t="s">
        <v>160</v>
      </c>
      <c r="AD47" s="87" t="s">
        <v>161</v>
      </c>
      <c r="AE47" s="87" t="s">
        <v>162</v>
      </c>
      <c r="AF47" s="87" t="s">
        <v>163</v>
      </c>
      <c r="AG47" s="87" t="s">
        <v>164</v>
      </c>
      <c r="AH47" s="87" t="s">
        <v>165</v>
      </c>
      <c r="AI47" s="87" t="s">
        <v>166</v>
      </c>
      <c r="AJ47" s="87" t="s">
        <v>167</v>
      </c>
      <c r="AK47" s="88" t="s">
        <v>168</v>
      </c>
      <c r="AL47" s="336"/>
      <c r="AM47" s="327"/>
      <c r="AN47" s="334"/>
      <c r="AO47" s="327"/>
    </row>
    <row r="48" spans="1:41" ht="30" customHeight="1" thickTop="1">
      <c r="A48" s="85">
        <v>46266</v>
      </c>
      <c r="B48" s="24">
        <v>0</v>
      </c>
      <c r="C48" s="24">
        <v>0</v>
      </c>
      <c r="D48" s="24">
        <v>192</v>
      </c>
      <c r="E48" s="24">
        <v>0</v>
      </c>
      <c r="F48" s="24">
        <v>434</v>
      </c>
      <c r="G48" s="24">
        <v>855</v>
      </c>
      <c r="H48" s="24">
        <v>783</v>
      </c>
      <c r="I48" s="24">
        <v>264</v>
      </c>
      <c r="J48" s="24">
        <v>147</v>
      </c>
      <c r="K48" s="24">
        <v>552</v>
      </c>
      <c r="L48" s="24">
        <v>740</v>
      </c>
      <c r="M48" s="24">
        <v>2034</v>
      </c>
      <c r="N48" s="24">
        <v>0</v>
      </c>
      <c r="O48" s="24">
        <v>0</v>
      </c>
      <c r="P48" s="24">
        <v>0</v>
      </c>
      <c r="Q48" s="24">
        <v>0</v>
      </c>
      <c r="R48" s="24">
        <v>1307</v>
      </c>
      <c r="S48" s="24">
        <v>0</v>
      </c>
      <c r="T48" s="24">
        <v>0</v>
      </c>
      <c r="U48" s="24">
        <v>0</v>
      </c>
      <c r="V48" s="24">
        <v>135</v>
      </c>
      <c r="W48" s="24">
        <v>180</v>
      </c>
      <c r="X48" s="24">
        <v>0</v>
      </c>
      <c r="Y48" s="24">
        <v>0</v>
      </c>
      <c r="Z48" s="24">
        <v>298</v>
      </c>
      <c r="AA48" s="24">
        <v>290</v>
      </c>
      <c r="AB48" s="24">
        <v>626</v>
      </c>
      <c r="AC48" s="24">
        <v>2512</v>
      </c>
      <c r="AD48" s="24">
        <v>634</v>
      </c>
      <c r="AE48" s="24">
        <v>550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6">
        <v>0</v>
      </c>
      <c r="AL48" s="47">
        <f>SUM(B48:AK48)</f>
        <v>12533</v>
      </c>
      <c r="AM48" s="120">
        <v>66</v>
      </c>
      <c r="AN48" s="237">
        <v>66</v>
      </c>
      <c r="AO48" s="109"/>
    </row>
    <row r="49" spans="1:41" ht="30" customHeight="1">
      <c r="A49" s="86">
        <v>46267</v>
      </c>
      <c r="B49" s="12">
        <v>264</v>
      </c>
      <c r="C49" s="12">
        <v>0</v>
      </c>
      <c r="D49" s="12">
        <v>0</v>
      </c>
      <c r="E49" s="12">
        <v>109</v>
      </c>
      <c r="F49" s="12">
        <v>1000</v>
      </c>
      <c r="G49" s="12">
        <v>619</v>
      </c>
      <c r="H49" s="12">
        <v>620</v>
      </c>
      <c r="I49" s="12">
        <v>0</v>
      </c>
      <c r="J49" s="12">
        <v>512</v>
      </c>
      <c r="K49" s="12">
        <v>510</v>
      </c>
      <c r="L49" s="12">
        <v>1736</v>
      </c>
      <c r="M49" s="12">
        <v>1394</v>
      </c>
      <c r="N49" s="12">
        <v>0</v>
      </c>
      <c r="O49" s="12">
        <v>0</v>
      </c>
      <c r="P49" s="12">
        <v>0</v>
      </c>
      <c r="Q49" s="12">
        <v>0</v>
      </c>
      <c r="R49" s="12">
        <v>1932</v>
      </c>
      <c r="S49" s="12">
        <v>268</v>
      </c>
      <c r="T49" s="12">
        <v>444</v>
      </c>
      <c r="U49" s="12">
        <v>0</v>
      </c>
      <c r="V49" s="12">
        <v>115</v>
      </c>
      <c r="W49" s="12">
        <v>0</v>
      </c>
      <c r="X49" s="12">
        <v>0</v>
      </c>
      <c r="Y49" s="12">
        <v>0</v>
      </c>
      <c r="Z49" s="12">
        <v>0</v>
      </c>
      <c r="AA49" s="12">
        <v>197</v>
      </c>
      <c r="AB49" s="12">
        <v>0</v>
      </c>
      <c r="AC49" s="12">
        <v>1473</v>
      </c>
      <c r="AD49" s="12">
        <v>216</v>
      </c>
      <c r="AE49" s="12">
        <v>0</v>
      </c>
      <c r="AF49" s="12">
        <v>48</v>
      </c>
      <c r="AG49" s="12">
        <v>84</v>
      </c>
      <c r="AH49" s="12">
        <v>158</v>
      </c>
      <c r="AI49" s="12">
        <v>84</v>
      </c>
      <c r="AJ49" s="12">
        <v>0</v>
      </c>
      <c r="AK49" s="28">
        <v>0</v>
      </c>
      <c r="AL49" s="45">
        <f t="shared" ref="AL49:AL52" si="8">SUM(B49:AK49)</f>
        <v>11783</v>
      </c>
      <c r="AM49" s="109">
        <v>66</v>
      </c>
      <c r="AN49" s="237">
        <v>65</v>
      </c>
      <c r="AO49" s="109">
        <v>1</v>
      </c>
    </row>
    <row r="50" spans="1:41" ht="30" customHeight="1">
      <c r="A50" s="86">
        <v>46268</v>
      </c>
      <c r="B50" s="12">
        <v>315</v>
      </c>
      <c r="C50" s="12">
        <v>222</v>
      </c>
      <c r="D50" s="12">
        <v>0</v>
      </c>
      <c r="E50" s="12">
        <v>0</v>
      </c>
      <c r="F50" s="12">
        <v>147</v>
      </c>
      <c r="G50" s="12">
        <v>1300</v>
      </c>
      <c r="H50" s="12">
        <v>825</v>
      </c>
      <c r="I50" s="12">
        <v>1265</v>
      </c>
      <c r="J50" s="12">
        <v>2226</v>
      </c>
      <c r="K50" s="12">
        <v>1685</v>
      </c>
      <c r="L50" s="12">
        <v>672</v>
      </c>
      <c r="M50" s="12">
        <v>1172</v>
      </c>
      <c r="N50" s="12">
        <v>0</v>
      </c>
      <c r="O50" s="12">
        <v>0</v>
      </c>
      <c r="P50" s="12">
        <v>0</v>
      </c>
      <c r="Q50" s="12">
        <v>0</v>
      </c>
      <c r="R50" s="12">
        <v>1871</v>
      </c>
      <c r="S50" s="12">
        <v>0</v>
      </c>
      <c r="T50" s="12">
        <v>0</v>
      </c>
      <c r="U50" s="12">
        <v>0</v>
      </c>
      <c r="V50" s="12">
        <v>29</v>
      </c>
      <c r="W50" s="12">
        <v>0</v>
      </c>
      <c r="X50" s="12">
        <v>0</v>
      </c>
      <c r="Y50" s="12">
        <v>0</v>
      </c>
      <c r="Z50" s="12">
        <v>494</v>
      </c>
      <c r="AA50" s="12">
        <v>523</v>
      </c>
      <c r="AB50" s="12">
        <v>0</v>
      </c>
      <c r="AC50" s="12">
        <v>1136</v>
      </c>
      <c r="AD50" s="12">
        <v>330</v>
      </c>
      <c r="AE50" s="12">
        <v>0</v>
      </c>
      <c r="AF50" s="12">
        <v>66</v>
      </c>
      <c r="AG50" s="12">
        <v>108</v>
      </c>
      <c r="AH50" s="12">
        <v>66</v>
      </c>
      <c r="AI50" s="12">
        <v>0</v>
      </c>
      <c r="AJ50" s="12">
        <v>0</v>
      </c>
      <c r="AK50" s="28">
        <v>0</v>
      </c>
      <c r="AL50" s="45">
        <f t="shared" si="8"/>
        <v>14452</v>
      </c>
      <c r="AM50" s="109">
        <v>66</v>
      </c>
      <c r="AN50" s="237">
        <v>65</v>
      </c>
      <c r="AO50" s="109">
        <v>1</v>
      </c>
    </row>
    <row r="51" spans="1:41" ht="30" customHeight="1">
      <c r="A51" s="86">
        <v>46269</v>
      </c>
      <c r="B51" s="12">
        <v>0</v>
      </c>
      <c r="C51" s="12">
        <v>274</v>
      </c>
      <c r="D51" s="12">
        <v>325</v>
      </c>
      <c r="E51" s="12">
        <v>0</v>
      </c>
      <c r="F51" s="12">
        <v>892</v>
      </c>
      <c r="G51" s="12">
        <v>721</v>
      </c>
      <c r="H51" s="12">
        <v>969</v>
      </c>
      <c r="I51" s="12">
        <v>792</v>
      </c>
      <c r="J51" s="12">
        <v>1984</v>
      </c>
      <c r="K51" s="12">
        <v>1625</v>
      </c>
      <c r="L51" s="12">
        <v>1494</v>
      </c>
      <c r="M51" s="12">
        <v>2340</v>
      </c>
      <c r="N51" s="12">
        <v>0</v>
      </c>
      <c r="O51" s="12">
        <v>0</v>
      </c>
      <c r="P51" s="12">
        <v>0</v>
      </c>
      <c r="Q51" s="12">
        <v>0</v>
      </c>
      <c r="R51" s="12">
        <v>1090</v>
      </c>
      <c r="S51" s="12">
        <v>0</v>
      </c>
      <c r="T51" s="12">
        <v>290</v>
      </c>
      <c r="U51" s="12">
        <v>0</v>
      </c>
      <c r="V51" s="12">
        <v>65</v>
      </c>
      <c r="W51" s="12">
        <v>0</v>
      </c>
      <c r="X51" s="12">
        <v>0</v>
      </c>
      <c r="Y51" s="12">
        <v>0</v>
      </c>
      <c r="Z51" s="12">
        <v>0</v>
      </c>
      <c r="AA51" s="12">
        <v>264</v>
      </c>
      <c r="AB51" s="12">
        <v>0</v>
      </c>
      <c r="AC51" s="12">
        <v>1962</v>
      </c>
      <c r="AD51" s="12">
        <v>432</v>
      </c>
      <c r="AE51" s="12">
        <v>0</v>
      </c>
      <c r="AF51" s="12">
        <v>69</v>
      </c>
      <c r="AG51" s="12">
        <v>0</v>
      </c>
      <c r="AH51" s="12">
        <v>69</v>
      </c>
      <c r="AI51" s="12">
        <v>68</v>
      </c>
      <c r="AJ51" s="12">
        <v>0</v>
      </c>
      <c r="AK51" s="28">
        <v>0</v>
      </c>
      <c r="AL51" s="45">
        <f t="shared" si="8"/>
        <v>15725</v>
      </c>
      <c r="AM51" s="109">
        <v>66</v>
      </c>
      <c r="AN51" s="237">
        <v>63</v>
      </c>
      <c r="AO51" s="109">
        <v>3</v>
      </c>
    </row>
    <row r="52" spans="1:41" ht="30" customHeight="1">
      <c r="A52" s="86">
        <v>46270</v>
      </c>
      <c r="B52" s="12">
        <v>336</v>
      </c>
      <c r="C52" s="12">
        <v>372</v>
      </c>
      <c r="D52" s="12">
        <v>0</v>
      </c>
      <c r="E52" s="12">
        <v>0</v>
      </c>
      <c r="F52" s="12">
        <v>710</v>
      </c>
      <c r="G52" s="12">
        <v>945</v>
      </c>
      <c r="H52" s="12">
        <v>668</v>
      </c>
      <c r="I52" s="12">
        <v>552</v>
      </c>
      <c r="J52" s="12">
        <v>201</v>
      </c>
      <c r="K52" s="12">
        <v>958</v>
      </c>
      <c r="L52" s="12">
        <v>1195</v>
      </c>
      <c r="M52" s="12">
        <v>1266</v>
      </c>
      <c r="N52" s="12">
        <v>0</v>
      </c>
      <c r="O52" s="12">
        <v>0</v>
      </c>
      <c r="P52" s="12">
        <v>0</v>
      </c>
      <c r="Q52" s="12">
        <v>0</v>
      </c>
      <c r="R52" s="12">
        <v>983</v>
      </c>
      <c r="S52" s="12">
        <v>228</v>
      </c>
      <c r="T52" s="12">
        <v>0</v>
      </c>
      <c r="U52" s="12">
        <v>0</v>
      </c>
      <c r="V52" s="12">
        <v>118</v>
      </c>
      <c r="W52" s="12">
        <v>180</v>
      </c>
      <c r="X52" s="12">
        <v>0</v>
      </c>
      <c r="Y52" s="12">
        <v>0</v>
      </c>
      <c r="Z52" s="12">
        <v>0</v>
      </c>
      <c r="AA52" s="12">
        <v>0</v>
      </c>
      <c r="AB52" s="12">
        <v>226</v>
      </c>
      <c r="AC52" s="12">
        <v>1244</v>
      </c>
      <c r="AD52" s="12">
        <v>504</v>
      </c>
      <c r="AE52" s="12">
        <v>0</v>
      </c>
      <c r="AF52" s="12">
        <v>0</v>
      </c>
      <c r="AG52" s="12">
        <v>0</v>
      </c>
      <c r="AH52" s="12">
        <v>144</v>
      </c>
      <c r="AI52" s="12">
        <v>70</v>
      </c>
      <c r="AJ52" s="12">
        <v>0</v>
      </c>
      <c r="AK52" s="28">
        <v>0</v>
      </c>
      <c r="AL52" s="45">
        <f t="shared" si="8"/>
        <v>10900</v>
      </c>
      <c r="AM52" s="109">
        <v>66</v>
      </c>
      <c r="AN52" s="237">
        <v>61</v>
      </c>
      <c r="AO52" s="109">
        <v>5</v>
      </c>
    </row>
    <row r="53" spans="1:41" ht="30" customHeight="1">
      <c r="A53" s="98">
        <v>46271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7"/>
      <c r="AL53" s="95"/>
      <c r="AM53" s="110"/>
      <c r="AN53" s="238"/>
      <c r="AO53" s="110"/>
    </row>
    <row r="54" spans="1:41" ht="30" customHeight="1">
      <c r="A54" s="86">
        <v>46272</v>
      </c>
      <c r="B54" s="12">
        <v>108</v>
      </c>
      <c r="C54" s="12">
        <v>0</v>
      </c>
      <c r="D54" s="12">
        <v>202</v>
      </c>
      <c r="E54" s="12">
        <v>0</v>
      </c>
      <c r="F54" s="12">
        <v>1300</v>
      </c>
      <c r="G54" s="12">
        <v>400</v>
      </c>
      <c r="H54" s="12">
        <v>974</v>
      </c>
      <c r="I54" s="12">
        <v>1247</v>
      </c>
      <c r="J54" s="12">
        <v>297</v>
      </c>
      <c r="K54" s="12">
        <v>755</v>
      </c>
      <c r="L54" s="12">
        <v>900</v>
      </c>
      <c r="M54" s="12">
        <v>1963</v>
      </c>
      <c r="N54" s="12">
        <v>0</v>
      </c>
      <c r="O54" s="12">
        <v>0</v>
      </c>
      <c r="P54" s="12">
        <v>0</v>
      </c>
      <c r="Q54" s="12">
        <v>0</v>
      </c>
      <c r="R54" s="12">
        <v>543</v>
      </c>
      <c r="S54" s="12">
        <v>342</v>
      </c>
      <c r="T54" s="12">
        <v>0</v>
      </c>
      <c r="U54" s="12">
        <v>109</v>
      </c>
      <c r="V54" s="12">
        <v>65</v>
      </c>
      <c r="W54" s="12">
        <v>198</v>
      </c>
      <c r="X54" s="12">
        <v>814</v>
      </c>
      <c r="Y54" s="12">
        <v>0</v>
      </c>
      <c r="Z54" s="12">
        <v>27</v>
      </c>
      <c r="AA54" s="12">
        <v>0</v>
      </c>
      <c r="AB54" s="12">
        <v>0</v>
      </c>
      <c r="AC54" s="12">
        <v>1310</v>
      </c>
      <c r="AD54" s="12">
        <v>0</v>
      </c>
      <c r="AE54" s="12">
        <v>0</v>
      </c>
      <c r="AF54" s="12">
        <v>119</v>
      </c>
      <c r="AG54" s="12">
        <v>202</v>
      </c>
      <c r="AH54" s="12">
        <v>50</v>
      </c>
      <c r="AI54" s="12">
        <v>0</v>
      </c>
      <c r="AJ54" s="12">
        <v>0</v>
      </c>
      <c r="AK54" s="28">
        <v>0</v>
      </c>
      <c r="AL54" s="45">
        <f t="shared" ref="AL54:AL59" si="9">SUM(B54:AK54)</f>
        <v>11925</v>
      </c>
      <c r="AM54" s="109">
        <v>72</v>
      </c>
      <c r="AN54" s="237">
        <v>68</v>
      </c>
      <c r="AO54" s="109">
        <v>4</v>
      </c>
    </row>
    <row r="55" spans="1:41" ht="30" customHeight="1">
      <c r="A55" s="86">
        <v>46273</v>
      </c>
      <c r="B55" s="12">
        <v>0</v>
      </c>
      <c r="C55" s="12">
        <v>134</v>
      </c>
      <c r="D55" s="12">
        <v>220</v>
      </c>
      <c r="E55" s="12">
        <v>191</v>
      </c>
      <c r="F55" s="12">
        <v>880</v>
      </c>
      <c r="G55" s="12">
        <v>300</v>
      </c>
      <c r="H55" s="12">
        <v>523</v>
      </c>
      <c r="I55" s="12">
        <v>994</v>
      </c>
      <c r="J55" s="12">
        <v>296</v>
      </c>
      <c r="K55" s="12">
        <v>778</v>
      </c>
      <c r="L55" s="12">
        <v>794</v>
      </c>
      <c r="M55" s="12">
        <v>684</v>
      </c>
      <c r="N55" s="12">
        <v>0</v>
      </c>
      <c r="O55" s="12">
        <v>0</v>
      </c>
      <c r="P55" s="12">
        <v>0</v>
      </c>
      <c r="Q55" s="12">
        <v>0</v>
      </c>
      <c r="R55" s="12">
        <v>665</v>
      </c>
      <c r="S55" s="12">
        <v>314</v>
      </c>
      <c r="T55" s="12">
        <v>0</v>
      </c>
      <c r="U55" s="12">
        <v>288</v>
      </c>
      <c r="V55" s="12">
        <v>134</v>
      </c>
      <c r="W55" s="12">
        <v>204</v>
      </c>
      <c r="X55" s="12">
        <v>732</v>
      </c>
      <c r="Y55" s="12">
        <v>0</v>
      </c>
      <c r="Z55" s="12">
        <v>468</v>
      </c>
      <c r="AA55" s="12">
        <v>0</v>
      </c>
      <c r="AB55" s="12">
        <v>0</v>
      </c>
      <c r="AC55" s="12">
        <v>2060</v>
      </c>
      <c r="AD55" s="12">
        <v>300</v>
      </c>
      <c r="AE55" s="12">
        <v>0</v>
      </c>
      <c r="AF55" s="12">
        <v>0</v>
      </c>
      <c r="AG55" s="12">
        <v>0</v>
      </c>
      <c r="AH55" s="12">
        <v>0</v>
      </c>
      <c r="AI55" s="12">
        <v>132</v>
      </c>
      <c r="AJ55" s="12">
        <v>0</v>
      </c>
      <c r="AK55" s="28">
        <v>0</v>
      </c>
      <c r="AL55" s="45">
        <f t="shared" si="9"/>
        <v>11091</v>
      </c>
      <c r="AM55" s="109">
        <v>72</v>
      </c>
      <c r="AN55" s="237">
        <v>69</v>
      </c>
      <c r="AO55" s="109">
        <v>3</v>
      </c>
    </row>
    <row r="56" spans="1:41" ht="30" customHeight="1">
      <c r="A56" s="86">
        <v>46274</v>
      </c>
      <c r="B56" s="12">
        <v>0</v>
      </c>
      <c r="C56" s="12">
        <v>281</v>
      </c>
      <c r="D56" s="12">
        <v>542</v>
      </c>
      <c r="E56" s="12">
        <v>264</v>
      </c>
      <c r="F56" s="12">
        <v>1048</v>
      </c>
      <c r="G56" s="12">
        <v>226</v>
      </c>
      <c r="H56" s="12">
        <v>608</v>
      </c>
      <c r="I56" s="12">
        <v>1186</v>
      </c>
      <c r="J56" s="12">
        <v>844</v>
      </c>
      <c r="K56" s="12">
        <v>850</v>
      </c>
      <c r="L56" s="12">
        <v>0</v>
      </c>
      <c r="M56" s="12">
        <v>1212</v>
      </c>
      <c r="N56" s="12">
        <v>0</v>
      </c>
      <c r="O56" s="12">
        <v>0</v>
      </c>
      <c r="P56" s="12">
        <v>0</v>
      </c>
      <c r="Q56" s="12">
        <v>0</v>
      </c>
      <c r="R56" s="12">
        <v>358</v>
      </c>
      <c r="S56" s="12">
        <v>301</v>
      </c>
      <c r="T56" s="12">
        <v>0</v>
      </c>
      <c r="U56" s="12">
        <v>99</v>
      </c>
      <c r="V56" s="12">
        <v>202</v>
      </c>
      <c r="W56" s="12">
        <v>150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1893</v>
      </c>
      <c r="AD56" s="12">
        <v>0</v>
      </c>
      <c r="AE56" s="12">
        <v>224</v>
      </c>
      <c r="AF56" s="12">
        <v>16</v>
      </c>
      <c r="AG56" s="12">
        <v>0</v>
      </c>
      <c r="AH56" s="12">
        <v>34</v>
      </c>
      <c r="AI56" s="12">
        <v>0</v>
      </c>
      <c r="AJ56" s="12">
        <v>180</v>
      </c>
      <c r="AK56" s="28">
        <v>275</v>
      </c>
      <c r="AL56" s="45">
        <f t="shared" si="9"/>
        <v>10793</v>
      </c>
      <c r="AM56" s="109">
        <v>72</v>
      </c>
      <c r="AN56" s="237">
        <v>67</v>
      </c>
      <c r="AO56" s="109">
        <v>5</v>
      </c>
    </row>
    <row r="57" spans="1:41" ht="30" customHeight="1">
      <c r="A57" s="86">
        <v>46275</v>
      </c>
      <c r="B57" s="12">
        <v>321</v>
      </c>
      <c r="C57" s="12">
        <v>224</v>
      </c>
      <c r="D57" s="12">
        <v>0</v>
      </c>
      <c r="E57" s="12">
        <v>492</v>
      </c>
      <c r="F57" s="12">
        <v>1068</v>
      </c>
      <c r="G57" s="12">
        <v>188</v>
      </c>
      <c r="H57" s="12">
        <v>159</v>
      </c>
      <c r="I57" s="12">
        <v>1233</v>
      </c>
      <c r="J57" s="12">
        <v>480</v>
      </c>
      <c r="K57" s="12">
        <v>906</v>
      </c>
      <c r="L57" s="12">
        <v>506</v>
      </c>
      <c r="M57" s="12">
        <v>0</v>
      </c>
      <c r="N57" s="12">
        <v>0</v>
      </c>
      <c r="O57" s="12">
        <v>0</v>
      </c>
      <c r="P57" s="12">
        <v>604</v>
      </c>
      <c r="Q57" s="12">
        <v>0</v>
      </c>
      <c r="R57" s="12">
        <v>0</v>
      </c>
      <c r="S57" s="12">
        <v>0</v>
      </c>
      <c r="T57" s="12">
        <v>0</v>
      </c>
      <c r="U57" s="12">
        <v>86</v>
      </c>
      <c r="V57" s="12">
        <v>57</v>
      </c>
      <c r="W57" s="12">
        <v>270</v>
      </c>
      <c r="X57" s="12">
        <v>0</v>
      </c>
      <c r="Y57" s="12">
        <v>379</v>
      </c>
      <c r="Z57" s="12">
        <v>229</v>
      </c>
      <c r="AA57" s="12">
        <v>233</v>
      </c>
      <c r="AB57" s="12">
        <v>0</v>
      </c>
      <c r="AC57" s="12">
        <v>2392</v>
      </c>
      <c r="AD57" s="12">
        <v>0</v>
      </c>
      <c r="AE57" s="12">
        <v>774</v>
      </c>
      <c r="AF57" s="12">
        <v>22</v>
      </c>
      <c r="AG57" s="12">
        <v>0</v>
      </c>
      <c r="AH57" s="12">
        <v>60</v>
      </c>
      <c r="AI57" s="12">
        <v>0</v>
      </c>
      <c r="AJ57" s="12">
        <v>0</v>
      </c>
      <c r="AK57" s="28">
        <v>0</v>
      </c>
      <c r="AL57" s="45">
        <f t="shared" si="9"/>
        <v>10683</v>
      </c>
      <c r="AM57" s="109">
        <v>72</v>
      </c>
      <c r="AN57" s="237">
        <v>69</v>
      </c>
      <c r="AO57" s="109">
        <v>3</v>
      </c>
    </row>
    <row r="58" spans="1:41" ht="30" customHeight="1">
      <c r="A58" s="86">
        <v>46276</v>
      </c>
      <c r="B58" s="12">
        <v>888</v>
      </c>
      <c r="C58" s="12">
        <v>797</v>
      </c>
      <c r="D58" s="12">
        <v>0</v>
      </c>
      <c r="E58" s="12">
        <v>309</v>
      </c>
      <c r="F58" s="12">
        <v>808</v>
      </c>
      <c r="G58" s="12">
        <v>0</v>
      </c>
      <c r="H58" s="12">
        <v>250</v>
      </c>
      <c r="I58" s="12">
        <v>1325</v>
      </c>
      <c r="J58" s="12">
        <v>906</v>
      </c>
      <c r="K58" s="12">
        <v>241</v>
      </c>
      <c r="L58" s="12">
        <v>0</v>
      </c>
      <c r="M58" s="12">
        <v>0</v>
      </c>
      <c r="N58" s="12">
        <v>0</v>
      </c>
      <c r="O58" s="12">
        <v>0</v>
      </c>
      <c r="P58" s="12">
        <v>1038</v>
      </c>
      <c r="Q58" s="12">
        <v>0</v>
      </c>
      <c r="R58" s="12">
        <v>0</v>
      </c>
      <c r="S58" s="12">
        <v>0</v>
      </c>
      <c r="T58" s="12">
        <v>0</v>
      </c>
      <c r="U58" s="12">
        <v>116</v>
      </c>
      <c r="V58" s="12">
        <v>187</v>
      </c>
      <c r="W58" s="12">
        <v>228</v>
      </c>
      <c r="X58" s="12">
        <v>0</v>
      </c>
      <c r="Y58" s="12">
        <v>242</v>
      </c>
      <c r="Z58" s="12">
        <v>452</v>
      </c>
      <c r="AA58" s="12">
        <v>282</v>
      </c>
      <c r="AB58" s="12">
        <v>0</v>
      </c>
      <c r="AC58" s="12">
        <v>1744</v>
      </c>
      <c r="AD58" s="12">
        <v>0</v>
      </c>
      <c r="AE58" s="12">
        <v>459</v>
      </c>
      <c r="AF58" s="12">
        <v>66</v>
      </c>
      <c r="AG58" s="12">
        <v>96</v>
      </c>
      <c r="AH58" s="12">
        <v>222</v>
      </c>
      <c r="AI58" s="12">
        <v>1068</v>
      </c>
      <c r="AJ58" s="12">
        <v>0</v>
      </c>
      <c r="AK58" s="28">
        <v>0</v>
      </c>
      <c r="AL58" s="45">
        <f t="shared" si="9"/>
        <v>11724</v>
      </c>
      <c r="AM58" s="109">
        <v>72</v>
      </c>
      <c r="AN58" s="237">
        <v>68</v>
      </c>
      <c r="AO58" s="109">
        <v>4</v>
      </c>
    </row>
    <row r="59" spans="1:41" ht="30" customHeight="1">
      <c r="A59" s="86">
        <v>46277</v>
      </c>
      <c r="B59" s="12">
        <v>366</v>
      </c>
      <c r="C59" s="12">
        <v>276</v>
      </c>
      <c r="D59" s="12">
        <v>204</v>
      </c>
      <c r="E59" s="12">
        <v>0</v>
      </c>
      <c r="F59" s="12">
        <v>202</v>
      </c>
      <c r="G59" s="12">
        <v>22</v>
      </c>
      <c r="H59" s="12">
        <v>200</v>
      </c>
      <c r="I59" s="12">
        <v>1531</v>
      </c>
      <c r="J59" s="12">
        <v>114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1710</v>
      </c>
      <c r="Q59" s="12">
        <v>0</v>
      </c>
      <c r="R59" s="12">
        <v>308</v>
      </c>
      <c r="S59" s="12">
        <v>238</v>
      </c>
      <c r="T59" s="12">
        <v>330</v>
      </c>
      <c r="U59" s="12">
        <v>74</v>
      </c>
      <c r="V59" s="12">
        <v>170</v>
      </c>
      <c r="W59" s="12">
        <v>162</v>
      </c>
      <c r="X59" s="12">
        <v>0</v>
      </c>
      <c r="Y59" s="12">
        <v>250</v>
      </c>
      <c r="Z59" s="12">
        <v>0</v>
      </c>
      <c r="AA59" s="12">
        <v>0</v>
      </c>
      <c r="AB59" s="12">
        <v>38</v>
      </c>
      <c r="AC59" s="12">
        <v>1891</v>
      </c>
      <c r="AD59" s="12">
        <v>0</v>
      </c>
      <c r="AE59" s="12">
        <v>954</v>
      </c>
      <c r="AF59" s="12">
        <v>0</v>
      </c>
      <c r="AG59" s="12">
        <v>72</v>
      </c>
      <c r="AH59" s="12">
        <v>36</v>
      </c>
      <c r="AI59" s="12">
        <v>168</v>
      </c>
      <c r="AJ59" s="12">
        <v>0</v>
      </c>
      <c r="AK59" s="28">
        <v>0</v>
      </c>
      <c r="AL59" s="45">
        <f t="shared" si="9"/>
        <v>9316</v>
      </c>
      <c r="AM59" s="109">
        <v>72</v>
      </c>
      <c r="AN59" s="237">
        <v>66</v>
      </c>
      <c r="AO59" s="109">
        <v>6</v>
      </c>
    </row>
    <row r="60" spans="1:41" ht="30" customHeight="1">
      <c r="A60" s="98">
        <v>46278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7"/>
      <c r="AL60" s="95"/>
      <c r="AM60" s="110"/>
      <c r="AN60" s="238"/>
      <c r="AO60" s="110"/>
    </row>
    <row r="61" spans="1:41" ht="30" customHeight="1">
      <c r="A61" s="86">
        <v>46279</v>
      </c>
      <c r="B61" s="12">
        <v>271</v>
      </c>
      <c r="C61" s="12">
        <v>372</v>
      </c>
      <c r="D61" s="12">
        <v>338</v>
      </c>
      <c r="E61" s="12">
        <v>321</v>
      </c>
      <c r="F61" s="12">
        <v>180</v>
      </c>
      <c r="G61" s="12">
        <v>160</v>
      </c>
      <c r="H61" s="12">
        <v>464</v>
      </c>
      <c r="I61" s="12">
        <v>460</v>
      </c>
      <c r="J61" s="12">
        <v>408</v>
      </c>
      <c r="K61" s="12">
        <v>384</v>
      </c>
      <c r="L61" s="12">
        <v>0</v>
      </c>
      <c r="M61" s="12">
        <v>0</v>
      </c>
      <c r="N61" s="12">
        <v>0</v>
      </c>
      <c r="O61" s="12">
        <v>0</v>
      </c>
      <c r="P61" s="12">
        <v>461</v>
      </c>
      <c r="Q61" s="12">
        <v>0</v>
      </c>
      <c r="R61" s="12">
        <v>436</v>
      </c>
      <c r="S61" s="12">
        <v>0</v>
      </c>
      <c r="T61" s="12">
        <v>0</v>
      </c>
      <c r="U61" s="12">
        <v>532</v>
      </c>
      <c r="V61" s="12">
        <v>135</v>
      </c>
      <c r="W61" s="12">
        <v>175</v>
      </c>
      <c r="X61" s="12">
        <v>1056</v>
      </c>
      <c r="Y61" s="12">
        <v>0</v>
      </c>
      <c r="Z61" s="12">
        <v>250</v>
      </c>
      <c r="AA61" s="12">
        <v>186</v>
      </c>
      <c r="AB61" s="12">
        <v>144</v>
      </c>
      <c r="AC61" s="12">
        <v>2231</v>
      </c>
      <c r="AD61" s="12">
        <v>0</v>
      </c>
      <c r="AE61" s="12">
        <v>633</v>
      </c>
      <c r="AF61" s="12">
        <v>71</v>
      </c>
      <c r="AG61" s="12">
        <v>0</v>
      </c>
      <c r="AH61" s="12">
        <v>51</v>
      </c>
      <c r="AI61" s="12">
        <v>144</v>
      </c>
      <c r="AJ61" s="12">
        <v>0</v>
      </c>
      <c r="AK61" s="28">
        <v>0</v>
      </c>
      <c r="AL61" s="45">
        <f t="shared" ref="AL61:AL63" si="10">SUM(B61:AK61)</f>
        <v>9863</v>
      </c>
      <c r="AM61" s="109">
        <v>68</v>
      </c>
      <c r="AN61" s="237">
        <v>64</v>
      </c>
      <c r="AO61" s="109">
        <v>4</v>
      </c>
    </row>
    <row r="62" spans="1:41" ht="30" customHeight="1">
      <c r="A62" s="86">
        <v>46280</v>
      </c>
      <c r="B62" s="12">
        <v>97</v>
      </c>
      <c r="C62" s="12">
        <v>321</v>
      </c>
      <c r="D62" s="12">
        <v>0</v>
      </c>
      <c r="E62" s="12">
        <v>119</v>
      </c>
      <c r="F62" s="12">
        <v>152</v>
      </c>
      <c r="G62" s="12">
        <v>618</v>
      </c>
      <c r="H62" s="12">
        <v>520</v>
      </c>
      <c r="I62" s="12">
        <v>566</v>
      </c>
      <c r="J62" s="12">
        <v>0</v>
      </c>
      <c r="K62" s="12">
        <v>660</v>
      </c>
      <c r="L62" s="12">
        <v>0</v>
      </c>
      <c r="M62" s="12">
        <v>0</v>
      </c>
      <c r="N62" s="12">
        <v>0</v>
      </c>
      <c r="O62" s="12">
        <v>540</v>
      </c>
      <c r="P62" s="12">
        <v>0</v>
      </c>
      <c r="Q62" s="12">
        <v>0</v>
      </c>
      <c r="R62" s="12">
        <v>1317</v>
      </c>
      <c r="S62" s="12">
        <v>238</v>
      </c>
      <c r="T62" s="12">
        <v>0</v>
      </c>
      <c r="U62" s="12">
        <v>0</v>
      </c>
      <c r="V62" s="12">
        <v>207</v>
      </c>
      <c r="W62" s="12">
        <v>246</v>
      </c>
      <c r="X62" s="12">
        <v>1098</v>
      </c>
      <c r="Y62" s="12">
        <v>0</v>
      </c>
      <c r="Z62" s="12">
        <v>172</v>
      </c>
      <c r="AA62" s="12">
        <v>0</v>
      </c>
      <c r="AB62" s="12">
        <v>182</v>
      </c>
      <c r="AC62" s="12">
        <v>1383</v>
      </c>
      <c r="AD62" s="12">
        <v>0</v>
      </c>
      <c r="AE62" s="12">
        <v>718</v>
      </c>
      <c r="AF62" s="12">
        <v>96</v>
      </c>
      <c r="AG62" s="12">
        <v>268</v>
      </c>
      <c r="AH62" s="12">
        <v>138</v>
      </c>
      <c r="AI62" s="12">
        <v>0</v>
      </c>
      <c r="AJ62" s="12">
        <v>0</v>
      </c>
      <c r="AK62" s="28">
        <v>0</v>
      </c>
      <c r="AL62" s="45">
        <f t="shared" si="10"/>
        <v>9656</v>
      </c>
      <c r="AM62" s="109">
        <v>70</v>
      </c>
      <c r="AN62" s="237">
        <v>66</v>
      </c>
      <c r="AO62" s="109">
        <v>4</v>
      </c>
    </row>
    <row r="63" spans="1:41" ht="30" customHeight="1" thickBot="1">
      <c r="A63" s="86">
        <v>46281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371</v>
      </c>
      <c r="H63" s="12">
        <v>440</v>
      </c>
      <c r="I63" s="12">
        <v>359</v>
      </c>
      <c r="J63" s="12">
        <v>0</v>
      </c>
      <c r="K63" s="12">
        <v>672</v>
      </c>
      <c r="L63" s="12">
        <v>0</v>
      </c>
      <c r="M63" s="12">
        <v>0</v>
      </c>
      <c r="N63" s="12">
        <v>0</v>
      </c>
      <c r="O63" s="12">
        <v>577</v>
      </c>
      <c r="P63" s="12">
        <v>666</v>
      </c>
      <c r="Q63" s="12">
        <v>0</v>
      </c>
      <c r="R63" s="12">
        <v>1262</v>
      </c>
      <c r="S63" s="12">
        <v>256</v>
      </c>
      <c r="T63" s="12">
        <v>324</v>
      </c>
      <c r="U63" s="12">
        <v>118</v>
      </c>
      <c r="V63" s="12">
        <v>138</v>
      </c>
      <c r="W63" s="12">
        <v>156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1930</v>
      </c>
      <c r="AD63" s="12">
        <v>0</v>
      </c>
      <c r="AE63" s="12">
        <v>195</v>
      </c>
      <c r="AF63" s="12">
        <v>314</v>
      </c>
      <c r="AG63" s="12">
        <v>0</v>
      </c>
      <c r="AH63" s="12">
        <v>146</v>
      </c>
      <c r="AI63" s="12">
        <v>0</v>
      </c>
      <c r="AJ63" s="12">
        <v>144</v>
      </c>
      <c r="AK63" s="28">
        <v>0</v>
      </c>
      <c r="AL63" s="49">
        <f t="shared" si="10"/>
        <v>8068</v>
      </c>
      <c r="AM63" s="121">
        <v>70</v>
      </c>
      <c r="AN63" s="237">
        <v>66</v>
      </c>
      <c r="AO63" s="121">
        <v>4</v>
      </c>
    </row>
    <row r="64" spans="1:41" ht="39.950000000000003" customHeight="1" thickBot="1">
      <c r="A64" s="84" t="s">
        <v>170</v>
      </c>
      <c r="B64" s="89">
        <f>+ROUNDDOWN(AVERAGEIF(B48:B63,"&gt;0"),0)</f>
        <v>329</v>
      </c>
      <c r="C64" s="89">
        <f t="shared" ref="C64:AK64" si="11">+ROUNDDOWN(AVERAGEIF(C48:C63,"&gt;0"),0)</f>
        <v>327</v>
      </c>
      <c r="D64" s="89">
        <f t="shared" si="11"/>
        <v>289</v>
      </c>
      <c r="E64" s="89">
        <f t="shared" si="11"/>
        <v>257</v>
      </c>
      <c r="F64" s="89">
        <f t="shared" si="11"/>
        <v>678</v>
      </c>
      <c r="G64" s="89">
        <f t="shared" si="11"/>
        <v>517</v>
      </c>
      <c r="H64" s="89">
        <f t="shared" si="11"/>
        <v>571</v>
      </c>
      <c r="I64" s="89">
        <f t="shared" si="11"/>
        <v>905</v>
      </c>
      <c r="J64" s="89">
        <f t="shared" si="11"/>
        <v>701</v>
      </c>
      <c r="K64" s="89">
        <f t="shared" si="11"/>
        <v>813</v>
      </c>
      <c r="L64" s="89">
        <f t="shared" si="11"/>
        <v>1004</v>
      </c>
      <c r="M64" s="89">
        <f t="shared" si="11"/>
        <v>1508</v>
      </c>
      <c r="N64" s="89"/>
      <c r="O64" s="89">
        <f t="shared" si="11"/>
        <v>558</v>
      </c>
      <c r="P64" s="89">
        <f t="shared" si="11"/>
        <v>895</v>
      </c>
      <c r="Q64" s="89"/>
      <c r="R64" s="89">
        <f t="shared" si="11"/>
        <v>1006</v>
      </c>
      <c r="S64" s="89">
        <f t="shared" si="11"/>
        <v>273</v>
      </c>
      <c r="T64" s="89">
        <f t="shared" si="11"/>
        <v>347</v>
      </c>
      <c r="U64" s="89">
        <f t="shared" si="11"/>
        <v>177</v>
      </c>
      <c r="V64" s="89">
        <f>+ROUNDDOWN(AVERAGEIF(V48:V63,"&gt;0"),0)</f>
        <v>125</v>
      </c>
      <c r="W64" s="89">
        <f t="shared" si="11"/>
        <v>195</v>
      </c>
      <c r="X64" s="89">
        <f t="shared" si="11"/>
        <v>925</v>
      </c>
      <c r="Y64" s="89">
        <f t="shared" si="11"/>
        <v>290</v>
      </c>
      <c r="Z64" s="89">
        <f t="shared" si="11"/>
        <v>298</v>
      </c>
      <c r="AA64" s="89">
        <f t="shared" si="11"/>
        <v>282</v>
      </c>
      <c r="AB64" s="89">
        <f t="shared" si="11"/>
        <v>243</v>
      </c>
      <c r="AC64" s="89">
        <f t="shared" si="11"/>
        <v>1797</v>
      </c>
      <c r="AD64" s="89">
        <f t="shared" si="11"/>
        <v>402</v>
      </c>
      <c r="AE64" s="89">
        <f t="shared" si="11"/>
        <v>563</v>
      </c>
      <c r="AF64" s="89">
        <f t="shared" si="11"/>
        <v>88</v>
      </c>
      <c r="AG64" s="89">
        <f t="shared" si="11"/>
        <v>138</v>
      </c>
      <c r="AH64" s="89">
        <f t="shared" si="11"/>
        <v>97</v>
      </c>
      <c r="AI64" s="89">
        <f t="shared" si="11"/>
        <v>247</v>
      </c>
      <c r="AJ64" s="89">
        <f t="shared" si="11"/>
        <v>162</v>
      </c>
      <c r="AK64" s="90">
        <f t="shared" si="11"/>
        <v>275</v>
      </c>
      <c r="AL64" s="90"/>
      <c r="AM64" s="108"/>
      <c r="AN64" s="255">
        <f>MAX(AN48:AN63)</f>
        <v>69</v>
      </c>
      <c r="AO64" s="108">
        <f>MAX(AO48:AO63)</f>
        <v>6</v>
      </c>
    </row>
    <row r="66" spans="1:4" ht="20.100000000000001" customHeight="1" thickBot="1">
      <c r="A66" s="168" t="s">
        <v>177</v>
      </c>
    </row>
    <row r="67" spans="1:4" ht="20.100000000000001" customHeight="1">
      <c r="A67" s="328" t="s">
        <v>59</v>
      </c>
      <c r="B67" s="330" t="s">
        <v>174</v>
      </c>
      <c r="C67" s="331"/>
      <c r="D67" s="332"/>
    </row>
    <row r="68" spans="1:4" ht="20.100000000000001" customHeight="1" thickBot="1">
      <c r="A68" s="329"/>
      <c r="B68" s="81" t="s">
        <v>3</v>
      </c>
      <c r="C68" s="81" t="s">
        <v>4</v>
      </c>
      <c r="D68" s="82" t="s">
        <v>6</v>
      </c>
    </row>
    <row r="69" spans="1:4" ht="20.100000000000001" customHeight="1" thickTop="1">
      <c r="A69" s="171">
        <v>46266</v>
      </c>
      <c r="B69" s="172">
        <v>11936</v>
      </c>
      <c r="C69" s="172">
        <v>12445</v>
      </c>
      <c r="D69" s="173">
        <v>12533</v>
      </c>
    </row>
    <row r="70" spans="1:4" ht="20.100000000000001" customHeight="1">
      <c r="A70" s="174">
        <v>46267</v>
      </c>
      <c r="B70" s="175">
        <v>12915</v>
      </c>
      <c r="C70" s="175">
        <v>13965</v>
      </c>
      <c r="D70" s="176">
        <v>11783</v>
      </c>
    </row>
    <row r="71" spans="1:4" ht="20.100000000000001" customHeight="1">
      <c r="A71" s="174">
        <v>46268</v>
      </c>
      <c r="B71" s="175">
        <v>12672</v>
      </c>
      <c r="C71" s="175">
        <v>13820</v>
      </c>
      <c r="D71" s="176">
        <v>14452</v>
      </c>
    </row>
    <row r="72" spans="1:4" ht="20.100000000000001" customHeight="1">
      <c r="A72" s="174">
        <v>46269</v>
      </c>
      <c r="B72" s="175">
        <v>12887</v>
      </c>
      <c r="C72" s="175">
        <v>15803</v>
      </c>
      <c r="D72" s="176">
        <v>15725</v>
      </c>
    </row>
    <row r="73" spans="1:4" ht="20.100000000000001" customHeight="1">
      <c r="A73" s="174">
        <v>46270</v>
      </c>
      <c r="B73" s="175">
        <v>15076</v>
      </c>
      <c r="C73" s="175">
        <v>10836</v>
      </c>
      <c r="D73" s="176">
        <v>10900</v>
      </c>
    </row>
    <row r="74" spans="1:4" ht="20.100000000000001" customHeight="1">
      <c r="A74" s="177">
        <v>46271</v>
      </c>
      <c r="B74" s="178"/>
      <c r="C74" s="178"/>
      <c r="D74" s="179"/>
    </row>
    <row r="75" spans="1:4" ht="20.100000000000001" customHeight="1">
      <c r="A75" s="174">
        <v>46272</v>
      </c>
      <c r="B75" s="175">
        <v>9523</v>
      </c>
      <c r="C75" s="175">
        <v>13625</v>
      </c>
      <c r="D75" s="176">
        <v>11925</v>
      </c>
    </row>
    <row r="76" spans="1:4" ht="20.100000000000001" customHeight="1">
      <c r="A76" s="174">
        <v>46273</v>
      </c>
      <c r="B76" s="175">
        <v>9689</v>
      </c>
      <c r="C76" s="175">
        <v>12755</v>
      </c>
      <c r="D76" s="176">
        <v>11091</v>
      </c>
    </row>
    <row r="77" spans="1:4" ht="20.100000000000001" customHeight="1">
      <c r="A77" s="174">
        <v>46274</v>
      </c>
      <c r="B77" s="175">
        <v>8724</v>
      </c>
      <c r="C77" s="175">
        <v>10004</v>
      </c>
      <c r="D77" s="176">
        <v>10793</v>
      </c>
    </row>
    <row r="78" spans="1:4" ht="20.100000000000001" customHeight="1">
      <c r="A78" s="174">
        <v>46275</v>
      </c>
      <c r="B78" s="175">
        <v>9514</v>
      </c>
      <c r="C78" s="175">
        <v>9255</v>
      </c>
      <c r="D78" s="176">
        <v>10683</v>
      </c>
    </row>
    <row r="79" spans="1:4" ht="20.100000000000001" customHeight="1">
      <c r="A79" s="174">
        <v>46276</v>
      </c>
      <c r="B79" s="175">
        <v>9341</v>
      </c>
      <c r="C79" s="175">
        <v>8641</v>
      </c>
      <c r="D79" s="176">
        <v>11724</v>
      </c>
    </row>
    <row r="80" spans="1:4" ht="20.100000000000001" customHeight="1">
      <c r="A80" s="174">
        <v>46277</v>
      </c>
      <c r="B80" s="175">
        <v>6534</v>
      </c>
      <c r="C80" s="175">
        <v>8329</v>
      </c>
      <c r="D80" s="176">
        <v>9316</v>
      </c>
    </row>
    <row r="81" spans="1:4" ht="20.100000000000001" customHeight="1">
      <c r="A81" s="177">
        <v>46278</v>
      </c>
      <c r="B81" s="178"/>
      <c r="C81" s="178"/>
      <c r="D81" s="179"/>
    </row>
    <row r="82" spans="1:4" ht="20.100000000000001" customHeight="1">
      <c r="A82" s="174">
        <v>46279</v>
      </c>
      <c r="B82" s="175">
        <v>7408</v>
      </c>
      <c r="C82" s="175">
        <v>11115</v>
      </c>
      <c r="D82" s="176">
        <v>9863</v>
      </c>
    </row>
    <row r="83" spans="1:4" ht="20.100000000000001" customHeight="1">
      <c r="A83" s="174">
        <v>46280</v>
      </c>
      <c r="B83" s="175">
        <v>8268</v>
      </c>
      <c r="C83" s="175">
        <v>9774</v>
      </c>
      <c r="D83" s="176">
        <v>9656</v>
      </c>
    </row>
    <row r="84" spans="1:4" ht="20.100000000000001" customHeight="1" thickBot="1">
      <c r="A84" s="180">
        <v>46281</v>
      </c>
      <c r="B84" s="181">
        <v>8488</v>
      </c>
      <c r="C84" s="181">
        <v>10126</v>
      </c>
      <c r="D84" s="182">
        <v>8068</v>
      </c>
    </row>
  </sheetData>
  <mergeCells count="18">
    <mergeCell ref="AO4:AO5"/>
    <mergeCell ref="AO25:AO26"/>
    <mergeCell ref="AO46:AO47"/>
    <mergeCell ref="A67:A68"/>
    <mergeCell ref="B67:D67"/>
    <mergeCell ref="AN4:AN5"/>
    <mergeCell ref="AL25:AL26"/>
    <mergeCell ref="AN25:AN26"/>
    <mergeCell ref="AL46:AL47"/>
    <mergeCell ref="AN46:AN47"/>
    <mergeCell ref="AM4:AM5"/>
    <mergeCell ref="AM25:AM26"/>
    <mergeCell ref="AM46:AM47"/>
    <mergeCell ref="A1:AK2"/>
    <mergeCell ref="A4:A5"/>
    <mergeCell ref="A25:A26"/>
    <mergeCell ref="A46:A47"/>
    <mergeCell ref="AL4:AL5"/>
  </mergeCells>
  <phoneticPr fontId="20" type="noConversion"/>
  <pageMargins left="0.7" right="0.7" top="0.75" bottom="0.75" header="0.3" footer="0.3"/>
  <pageSetup paperSize="9" scale="11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EBAD-D459-43ED-A860-B7E7F6106D69}">
  <sheetPr>
    <tabColor rgb="FF0070C0"/>
  </sheetPr>
  <dimension ref="A1:X65"/>
  <sheetViews>
    <sheetView view="pageBreakPreview" zoomScale="80" zoomScaleNormal="70" zoomScaleSheetLayoutView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6" sqref="H6"/>
    </sheetView>
  </sheetViews>
  <sheetFormatPr defaultRowHeight="15"/>
  <cols>
    <col min="1" max="1" width="28.5703125" bestFit="1" customWidth="1"/>
    <col min="2" max="20" width="15.7109375" customWidth="1"/>
    <col min="21" max="24" width="20.7109375" customWidth="1"/>
  </cols>
  <sheetData>
    <row r="1" spans="1:24" ht="15" customHeight="1">
      <c r="A1" s="296" t="s">
        <v>73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104"/>
      <c r="V1" s="104"/>
      <c r="W1" s="104"/>
      <c r="X1" s="104"/>
    </row>
    <row r="2" spans="1:24" ht="15" customHeight="1">
      <c r="A2" s="296"/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104"/>
      <c r="V2" s="104"/>
      <c r="W2" s="104"/>
      <c r="X2" s="104"/>
    </row>
    <row r="3" spans="1:24" ht="30" customHeight="1" thickBot="1">
      <c r="A3" s="13" t="s">
        <v>3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</row>
    <row r="4" spans="1:24" ht="24.95" customHeight="1">
      <c r="A4" s="337" t="s">
        <v>59</v>
      </c>
      <c r="B4" s="79" t="s">
        <v>74</v>
      </c>
      <c r="C4" s="79" t="s">
        <v>75</v>
      </c>
      <c r="D4" s="79" t="s">
        <v>76</v>
      </c>
      <c r="E4" s="79" t="s">
        <v>77</v>
      </c>
      <c r="F4" s="79" t="s">
        <v>76</v>
      </c>
      <c r="G4" s="79" t="s">
        <v>76</v>
      </c>
      <c r="H4" s="79" t="s">
        <v>76</v>
      </c>
      <c r="I4" s="79" t="s">
        <v>78</v>
      </c>
      <c r="J4" s="79" t="s">
        <v>78</v>
      </c>
      <c r="K4" s="79" t="s">
        <v>79</v>
      </c>
      <c r="L4" s="79" t="s">
        <v>80</v>
      </c>
      <c r="M4" s="79" t="s">
        <v>78</v>
      </c>
      <c r="N4" s="79" t="s">
        <v>77</v>
      </c>
      <c r="O4" s="79" t="s">
        <v>76</v>
      </c>
      <c r="P4" s="79" t="s">
        <v>74</v>
      </c>
      <c r="Q4" s="79" t="s">
        <v>74</v>
      </c>
      <c r="R4" s="79" t="s">
        <v>74</v>
      </c>
      <c r="S4" s="79" t="s">
        <v>74</v>
      </c>
      <c r="T4" s="80" t="s">
        <v>74</v>
      </c>
      <c r="U4" s="341" t="s">
        <v>175</v>
      </c>
      <c r="V4" s="326" t="s">
        <v>189</v>
      </c>
      <c r="W4" s="339" t="s">
        <v>190</v>
      </c>
      <c r="X4" s="326" t="s">
        <v>184</v>
      </c>
    </row>
    <row r="5" spans="1:24" ht="24.95" customHeight="1" thickBot="1">
      <c r="A5" s="338"/>
      <c r="B5" s="81" t="s">
        <v>15</v>
      </c>
      <c r="C5" s="81" t="s">
        <v>14</v>
      </c>
      <c r="D5" s="81" t="s">
        <v>14</v>
      </c>
      <c r="E5" s="81" t="s">
        <v>14</v>
      </c>
      <c r="F5" s="81" t="s">
        <v>48</v>
      </c>
      <c r="G5" s="81" t="s">
        <v>11</v>
      </c>
      <c r="H5" s="81" t="s">
        <v>37</v>
      </c>
      <c r="I5" s="81" t="s">
        <v>81</v>
      </c>
      <c r="J5" s="81" t="s">
        <v>82</v>
      </c>
      <c r="K5" s="81" t="s">
        <v>26</v>
      </c>
      <c r="L5" s="81" t="s">
        <v>26</v>
      </c>
      <c r="M5" s="81" t="s">
        <v>26</v>
      </c>
      <c r="N5" s="81" t="s">
        <v>26</v>
      </c>
      <c r="O5" s="81" t="s">
        <v>26</v>
      </c>
      <c r="P5" s="81" t="s">
        <v>26</v>
      </c>
      <c r="Q5" s="81" t="s">
        <v>83</v>
      </c>
      <c r="R5" s="81" t="s">
        <v>84</v>
      </c>
      <c r="S5" s="81" t="s">
        <v>30</v>
      </c>
      <c r="T5" s="82" t="s">
        <v>85</v>
      </c>
      <c r="U5" s="342"/>
      <c r="V5" s="327"/>
      <c r="W5" s="340"/>
      <c r="X5" s="327"/>
    </row>
    <row r="6" spans="1:24" ht="24.95" customHeight="1" thickTop="1">
      <c r="A6" s="25">
        <v>46266</v>
      </c>
      <c r="B6" s="24">
        <v>364</v>
      </c>
      <c r="C6" s="24">
        <v>633</v>
      </c>
      <c r="D6" s="24"/>
      <c r="E6" s="24">
        <v>436</v>
      </c>
      <c r="F6" s="24"/>
      <c r="G6" s="24">
        <v>360</v>
      </c>
      <c r="H6" s="24">
        <v>1118</v>
      </c>
      <c r="I6" s="24">
        <v>820</v>
      </c>
      <c r="J6" s="24">
        <v>1128</v>
      </c>
      <c r="K6" s="24"/>
      <c r="L6" s="24"/>
      <c r="M6" s="24">
        <v>826</v>
      </c>
      <c r="N6" s="24"/>
      <c r="O6" s="24">
        <v>1678</v>
      </c>
      <c r="P6" s="24">
        <v>241</v>
      </c>
      <c r="Q6" s="24">
        <v>52</v>
      </c>
      <c r="R6" s="24">
        <v>245</v>
      </c>
      <c r="S6" s="24"/>
      <c r="T6" s="26">
        <v>190</v>
      </c>
      <c r="U6" s="111">
        <f>SUM(B6:T6)</f>
        <v>8091</v>
      </c>
      <c r="V6" s="111">
        <v>42</v>
      </c>
      <c r="W6" s="112">
        <v>40</v>
      </c>
      <c r="X6" s="240">
        <v>2</v>
      </c>
    </row>
    <row r="7" spans="1:24" ht="24.95" customHeight="1">
      <c r="A7" s="27">
        <v>46267</v>
      </c>
      <c r="B7" s="12">
        <v>88</v>
      </c>
      <c r="C7" s="12">
        <v>429</v>
      </c>
      <c r="D7" s="12"/>
      <c r="E7" s="12">
        <v>1361</v>
      </c>
      <c r="F7" s="12"/>
      <c r="G7" s="16">
        <v>352</v>
      </c>
      <c r="H7" s="12">
        <v>928</v>
      </c>
      <c r="I7" s="12">
        <v>221</v>
      </c>
      <c r="J7" s="12">
        <v>588</v>
      </c>
      <c r="K7" s="12"/>
      <c r="L7" s="12"/>
      <c r="M7" s="12"/>
      <c r="N7" s="12">
        <v>44</v>
      </c>
      <c r="O7" s="12">
        <v>1142</v>
      </c>
      <c r="P7" s="12">
        <v>1604</v>
      </c>
      <c r="Q7" s="12"/>
      <c r="R7" s="12">
        <v>18</v>
      </c>
      <c r="S7" s="12"/>
      <c r="T7" s="28">
        <v>36</v>
      </c>
      <c r="U7" s="137">
        <f>SUM(B7:T7)</f>
        <v>6811</v>
      </c>
      <c r="V7" s="137">
        <v>41</v>
      </c>
      <c r="W7" s="137">
        <v>40</v>
      </c>
      <c r="X7" s="137">
        <v>1</v>
      </c>
    </row>
    <row r="8" spans="1:24" ht="24.95" customHeight="1">
      <c r="A8" s="27">
        <v>46268</v>
      </c>
      <c r="B8" s="59"/>
      <c r="C8" s="12">
        <v>798</v>
      </c>
      <c r="D8" s="12"/>
      <c r="E8" s="12"/>
      <c r="F8" s="12">
        <v>4</v>
      </c>
      <c r="G8" s="12">
        <v>364</v>
      </c>
      <c r="H8" s="12">
        <v>2149</v>
      </c>
      <c r="I8" s="12">
        <v>2798</v>
      </c>
      <c r="J8" s="12">
        <v>2466</v>
      </c>
      <c r="K8" s="12"/>
      <c r="L8" s="12"/>
      <c r="M8" s="59"/>
      <c r="N8" s="12">
        <v>188</v>
      </c>
      <c r="O8" s="16">
        <v>1524</v>
      </c>
      <c r="P8" s="12">
        <v>126</v>
      </c>
      <c r="Q8" s="12">
        <v>241</v>
      </c>
      <c r="R8" s="12">
        <v>178</v>
      </c>
      <c r="S8" s="12">
        <v>360</v>
      </c>
      <c r="T8" s="28">
        <v>370</v>
      </c>
      <c r="U8" s="137">
        <f t="shared" ref="U8:U22" si="0">SUM(B8:T8)</f>
        <v>11566</v>
      </c>
      <c r="V8" s="137">
        <v>41</v>
      </c>
      <c r="W8" s="137">
        <v>40</v>
      </c>
      <c r="X8" s="137">
        <v>1</v>
      </c>
    </row>
    <row r="9" spans="1:24" ht="24.95" customHeight="1">
      <c r="A9" s="27">
        <v>46269</v>
      </c>
      <c r="B9" s="12"/>
      <c r="C9" s="12">
        <v>879</v>
      </c>
      <c r="D9" s="12"/>
      <c r="E9" s="12"/>
      <c r="F9" s="12">
        <v>14</v>
      </c>
      <c r="G9" s="12">
        <v>286</v>
      </c>
      <c r="H9" s="12">
        <v>3476</v>
      </c>
      <c r="I9" s="12">
        <v>1514</v>
      </c>
      <c r="J9" s="12">
        <v>810</v>
      </c>
      <c r="K9" s="12"/>
      <c r="L9" s="12"/>
      <c r="M9" s="12"/>
      <c r="N9" s="12">
        <v>110</v>
      </c>
      <c r="O9" s="12">
        <v>1392</v>
      </c>
      <c r="P9" s="12">
        <v>172</v>
      </c>
      <c r="Q9" s="12">
        <v>30</v>
      </c>
      <c r="R9" s="12">
        <v>486</v>
      </c>
      <c r="S9" s="12">
        <v>234</v>
      </c>
      <c r="T9" s="28">
        <v>202</v>
      </c>
      <c r="U9" s="137">
        <f t="shared" si="0"/>
        <v>9605</v>
      </c>
      <c r="V9" s="137">
        <v>41</v>
      </c>
      <c r="W9" s="137">
        <v>40</v>
      </c>
      <c r="X9" s="137">
        <v>1</v>
      </c>
    </row>
    <row r="10" spans="1:24" ht="24.95" customHeight="1">
      <c r="A10" s="27">
        <v>46270</v>
      </c>
      <c r="B10" s="12"/>
      <c r="C10" s="12">
        <v>52</v>
      </c>
      <c r="D10" s="12"/>
      <c r="E10" s="12"/>
      <c r="F10" s="12"/>
      <c r="G10" s="12">
        <v>276</v>
      </c>
      <c r="H10" s="12">
        <v>4223</v>
      </c>
      <c r="I10" s="12">
        <v>1592</v>
      </c>
      <c r="J10" s="12">
        <v>2602</v>
      </c>
      <c r="K10" s="12"/>
      <c r="L10" s="12"/>
      <c r="M10" s="12"/>
      <c r="N10" s="12"/>
      <c r="O10" s="12">
        <v>2467</v>
      </c>
      <c r="P10" s="12">
        <v>223</v>
      </c>
      <c r="Q10" s="12">
        <v>175</v>
      </c>
      <c r="R10" s="12">
        <v>173</v>
      </c>
      <c r="S10" s="22"/>
      <c r="T10" s="28">
        <v>263</v>
      </c>
      <c r="U10" s="137">
        <f t="shared" si="0"/>
        <v>12046</v>
      </c>
      <c r="V10" s="137">
        <v>41</v>
      </c>
      <c r="W10" s="137">
        <v>40</v>
      </c>
      <c r="X10" s="137">
        <v>1</v>
      </c>
    </row>
    <row r="11" spans="1:24" ht="24.95" customHeight="1">
      <c r="A11" s="91">
        <v>46271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9"/>
      <c r="T11" s="97"/>
      <c r="U11" s="139"/>
      <c r="V11" s="139"/>
      <c r="W11" s="139"/>
      <c r="X11" s="139"/>
    </row>
    <row r="12" spans="1:24" ht="24.95" customHeight="1">
      <c r="A12" s="27">
        <v>46272</v>
      </c>
      <c r="B12" s="12"/>
      <c r="C12" s="12"/>
      <c r="D12" s="12"/>
      <c r="E12" s="12">
        <v>220</v>
      </c>
      <c r="F12" s="12"/>
      <c r="G12" s="12">
        <v>322</v>
      </c>
      <c r="H12" s="12">
        <v>651</v>
      </c>
      <c r="I12" s="12">
        <v>1305</v>
      </c>
      <c r="J12" s="12">
        <v>108</v>
      </c>
      <c r="K12" s="12"/>
      <c r="L12" s="12"/>
      <c r="M12" s="12"/>
      <c r="N12" s="12"/>
      <c r="O12" s="12">
        <v>708</v>
      </c>
      <c r="P12" s="12">
        <v>215</v>
      </c>
      <c r="Q12" s="12">
        <v>156</v>
      </c>
      <c r="R12" s="12">
        <v>12</v>
      </c>
      <c r="S12" s="12"/>
      <c r="T12" s="28">
        <v>142</v>
      </c>
      <c r="U12" s="137">
        <f t="shared" si="0"/>
        <v>3839</v>
      </c>
      <c r="V12" s="137">
        <v>43</v>
      </c>
      <c r="W12" s="137">
        <v>43</v>
      </c>
      <c r="X12" s="137">
        <v>0</v>
      </c>
    </row>
    <row r="13" spans="1:24" ht="24.95" customHeight="1">
      <c r="A13" s="27">
        <v>46273</v>
      </c>
      <c r="B13" s="12"/>
      <c r="C13" s="12">
        <v>34</v>
      </c>
      <c r="D13" s="12"/>
      <c r="E13" s="12"/>
      <c r="F13" s="12"/>
      <c r="G13" s="12">
        <v>744</v>
      </c>
      <c r="H13" s="12">
        <v>1089</v>
      </c>
      <c r="I13" s="12">
        <v>651</v>
      </c>
      <c r="J13" s="12">
        <v>778</v>
      </c>
      <c r="K13" s="12">
        <v>270</v>
      </c>
      <c r="L13" s="12"/>
      <c r="M13" s="22"/>
      <c r="N13" s="12">
        <v>655</v>
      </c>
      <c r="O13" s="12">
        <v>2012</v>
      </c>
      <c r="P13" s="12">
        <v>85</v>
      </c>
      <c r="Q13" s="12">
        <v>154</v>
      </c>
      <c r="R13" s="12">
        <v>180</v>
      </c>
      <c r="S13" s="12">
        <v>774</v>
      </c>
      <c r="T13" s="28">
        <v>146</v>
      </c>
      <c r="U13" s="137">
        <f t="shared" si="0"/>
        <v>7572</v>
      </c>
      <c r="V13" s="137">
        <v>43</v>
      </c>
      <c r="W13" s="137">
        <v>43</v>
      </c>
      <c r="X13" s="137">
        <v>0</v>
      </c>
    </row>
    <row r="14" spans="1:24" ht="24.95" customHeight="1">
      <c r="A14" s="27">
        <v>46274</v>
      </c>
      <c r="B14" s="12"/>
      <c r="C14" s="12">
        <v>104</v>
      </c>
      <c r="D14" s="12">
        <v>71</v>
      </c>
      <c r="E14" s="12"/>
      <c r="F14" s="12">
        <v>69</v>
      </c>
      <c r="G14" s="12">
        <v>433</v>
      </c>
      <c r="H14" s="12">
        <v>792</v>
      </c>
      <c r="I14" s="12">
        <v>1329</v>
      </c>
      <c r="J14" s="12">
        <v>1428</v>
      </c>
      <c r="K14" s="12">
        <v>230</v>
      </c>
      <c r="L14" s="12">
        <v>348</v>
      </c>
      <c r="M14" s="12"/>
      <c r="N14" s="12">
        <v>236</v>
      </c>
      <c r="O14" s="12">
        <v>1402</v>
      </c>
      <c r="P14" s="12">
        <v>208</v>
      </c>
      <c r="Q14" s="12"/>
      <c r="R14" s="12"/>
      <c r="S14" s="12"/>
      <c r="T14" s="28"/>
      <c r="U14" s="137">
        <f t="shared" si="0"/>
        <v>6650</v>
      </c>
      <c r="V14" s="137">
        <v>43</v>
      </c>
      <c r="W14" s="137">
        <v>42</v>
      </c>
      <c r="X14" s="137">
        <v>1</v>
      </c>
    </row>
    <row r="15" spans="1:24" ht="24.95" customHeight="1">
      <c r="A15" s="27">
        <v>46275</v>
      </c>
      <c r="B15" s="12"/>
      <c r="C15" s="12">
        <v>714</v>
      </c>
      <c r="D15" s="12">
        <v>132</v>
      </c>
      <c r="E15" s="12"/>
      <c r="F15" s="12">
        <v>47</v>
      </c>
      <c r="G15" s="12">
        <v>218</v>
      </c>
      <c r="H15" s="12">
        <v>1521</v>
      </c>
      <c r="I15" s="12">
        <v>1948</v>
      </c>
      <c r="J15" s="12">
        <v>2550</v>
      </c>
      <c r="K15" s="12">
        <v>246</v>
      </c>
      <c r="L15" s="12">
        <v>128</v>
      </c>
      <c r="M15" s="12">
        <v>104</v>
      </c>
      <c r="N15" s="12"/>
      <c r="O15" s="12">
        <v>1352</v>
      </c>
      <c r="P15" s="12">
        <v>85</v>
      </c>
      <c r="Q15" s="12">
        <v>22</v>
      </c>
      <c r="R15" s="12">
        <v>18</v>
      </c>
      <c r="S15" s="12"/>
      <c r="T15" s="28">
        <v>58</v>
      </c>
      <c r="U15" s="137">
        <f t="shared" si="0"/>
        <v>9143</v>
      </c>
      <c r="V15" s="137">
        <v>43</v>
      </c>
      <c r="W15" s="137">
        <v>41</v>
      </c>
      <c r="X15" s="137">
        <v>2</v>
      </c>
    </row>
    <row r="16" spans="1:24" ht="24.95" customHeight="1">
      <c r="A16" s="27">
        <v>46276</v>
      </c>
      <c r="B16" s="12"/>
      <c r="C16" s="12">
        <v>186</v>
      </c>
      <c r="D16" s="12">
        <v>204</v>
      </c>
      <c r="E16" s="12"/>
      <c r="F16" s="12"/>
      <c r="G16" s="12">
        <v>232</v>
      </c>
      <c r="H16" s="12">
        <v>642</v>
      </c>
      <c r="I16" s="12">
        <v>4145</v>
      </c>
      <c r="J16" s="12">
        <v>4450</v>
      </c>
      <c r="K16" s="12">
        <v>180</v>
      </c>
      <c r="L16" s="12"/>
      <c r="M16" s="12">
        <v>668</v>
      </c>
      <c r="N16" s="12">
        <v>160</v>
      </c>
      <c r="O16" s="12">
        <v>1512</v>
      </c>
      <c r="P16" s="12"/>
      <c r="Q16" s="12"/>
      <c r="R16" s="12">
        <v>48</v>
      </c>
      <c r="S16" s="12"/>
      <c r="T16" s="28">
        <v>58</v>
      </c>
      <c r="U16" s="137">
        <f t="shared" si="0"/>
        <v>12485</v>
      </c>
      <c r="V16" s="137">
        <v>43</v>
      </c>
      <c r="W16" s="137">
        <v>41</v>
      </c>
      <c r="X16" s="137">
        <v>2</v>
      </c>
    </row>
    <row r="17" spans="1:24" ht="24.95" customHeight="1">
      <c r="A17" s="27">
        <v>46277</v>
      </c>
      <c r="B17" s="12">
        <v>269</v>
      </c>
      <c r="C17" s="12"/>
      <c r="D17" s="12">
        <v>384</v>
      </c>
      <c r="E17" s="12">
        <v>128</v>
      </c>
      <c r="F17" s="12"/>
      <c r="G17" s="12"/>
      <c r="H17" s="12">
        <v>922</v>
      </c>
      <c r="I17" s="12">
        <v>1256</v>
      </c>
      <c r="J17" s="12">
        <v>1270</v>
      </c>
      <c r="K17" s="12">
        <v>435</v>
      </c>
      <c r="L17" s="12"/>
      <c r="M17" s="12">
        <v>671</v>
      </c>
      <c r="N17" s="12"/>
      <c r="O17" s="12">
        <v>277</v>
      </c>
      <c r="P17" s="12">
        <v>84</v>
      </c>
      <c r="Q17" s="12">
        <v>198</v>
      </c>
      <c r="R17" s="12">
        <v>167</v>
      </c>
      <c r="S17" s="12"/>
      <c r="T17" s="28">
        <v>114</v>
      </c>
      <c r="U17" s="137">
        <f t="shared" si="0"/>
        <v>6175</v>
      </c>
      <c r="V17" s="137">
        <v>43</v>
      </c>
      <c r="W17" s="137">
        <v>41</v>
      </c>
      <c r="X17" s="137">
        <v>2</v>
      </c>
    </row>
    <row r="18" spans="1:24" ht="24.95" customHeight="1">
      <c r="A18" s="91">
        <v>46278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7"/>
      <c r="U18" s="139"/>
      <c r="V18" s="139"/>
      <c r="W18" s="139"/>
      <c r="X18" s="139"/>
    </row>
    <row r="19" spans="1:24" ht="24.95" customHeight="1">
      <c r="A19" s="27">
        <v>46279</v>
      </c>
      <c r="B19" s="12">
        <v>366</v>
      </c>
      <c r="C19" s="12">
        <v>105</v>
      </c>
      <c r="D19" s="12">
        <v>359</v>
      </c>
      <c r="E19" s="12">
        <v>259</v>
      </c>
      <c r="F19" s="12"/>
      <c r="G19" s="12">
        <v>217</v>
      </c>
      <c r="H19" s="12">
        <v>845</v>
      </c>
      <c r="I19" s="12">
        <v>547</v>
      </c>
      <c r="J19" s="12">
        <v>1800</v>
      </c>
      <c r="K19" s="12">
        <v>1064</v>
      </c>
      <c r="L19" s="12">
        <v>36</v>
      </c>
      <c r="M19" s="12">
        <v>1894</v>
      </c>
      <c r="N19" s="12">
        <v>716</v>
      </c>
      <c r="O19" s="12">
        <v>1995</v>
      </c>
      <c r="P19" s="12">
        <v>143</v>
      </c>
      <c r="Q19" s="12">
        <v>78</v>
      </c>
      <c r="R19" s="12">
        <v>218</v>
      </c>
      <c r="S19" s="12">
        <v>186</v>
      </c>
      <c r="T19" s="28">
        <v>144</v>
      </c>
      <c r="U19" s="137">
        <f t="shared" si="0"/>
        <v>10972</v>
      </c>
      <c r="V19" s="137">
        <v>42</v>
      </c>
      <c r="W19" s="137">
        <v>41</v>
      </c>
      <c r="X19" s="137">
        <v>1</v>
      </c>
    </row>
    <row r="20" spans="1:24" ht="24.95" customHeight="1">
      <c r="A20" s="27">
        <v>46280</v>
      </c>
      <c r="B20" s="12">
        <v>384</v>
      </c>
      <c r="C20" s="12">
        <v>619</v>
      </c>
      <c r="D20" s="12"/>
      <c r="E20" s="12">
        <v>532</v>
      </c>
      <c r="F20" s="12">
        <v>24</v>
      </c>
      <c r="G20" s="12">
        <v>267</v>
      </c>
      <c r="H20" s="12">
        <v>2151</v>
      </c>
      <c r="I20" s="12">
        <v>1215</v>
      </c>
      <c r="J20" s="12">
        <v>1538</v>
      </c>
      <c r="K20" s="12"/>
      <c r="L20" s="12"/>
      <c r="M20" s="12" t="s">
        <v>117</v>
      </c>
      <c r="N20" s="12">
        <v>214</v>
      </c>
      <c r="O20" s="12">
        <v>1646</v>
      </c>
      <c r="P20" s="12">
        <v>217</v>
      </c>
      <c r="Q20" s="12">
        <v>293</v>
      </c>
      <c r="R20" s="12">
        <v>157</v>
      </c>
      <c r="S20" s="12">
        <v>16</v>
      </c>
      <c r="T20" s="28">
        <v>208</v>
      </c>
      <c r="U20" s="137">
        <f t="shared" si="0"/>
        <v>9481</v>
      </c>
      <c r="V20" s="137">
        <v>42</v>
      </c>
      <c r="W20" s="137">
        <v>40</v>
      </c>
      <c r="X20" s="137">
        <v>2</v>
      </c>
    </row>
    <row r="21" spans="1:24" ht="24.95" customHeight="1">
      <c r="A21" s="27">
        <v>46281</v>
      </c>
      <c r="B21" s="12"/>
      <c r="C21" s="12">
        <v>95</v>
      </c>
      <c r="D21" s="12">
        <v>196</v>
      </c>
      <c r="E21" s="12">
        <v>320</v>
      </c>
      <c r="F21" s="12">
        <v>144</v>
      </c>
      <c r="G21" s="12">
        <v>40</v>
      </c>
      <c r="H21" s="12">
        <v>380</v>
      </c>
      <c r="I21" s="12">
        <v>1307</v>
      </c>
      <c r="J21" s="12">
        <v>2680</v>
      </c>
      <c r="K21" s="12">
        <v>196</v>
      </c>
      <c r="L21" s="12"/>
      <c r="M21" s="12">
        <v>2006</v>
      </c>
      <c r="N21" s="12">
        <v>384</v>
      </c>
      <c r="O21" s="12">
        <v>2541</v>
      </c>
      <c r="P21" s="12">
        <v>154</v>
      </c>
      <c r="Q21" s="12">
        <v>382</v>
      </c>
      <c r="R21" s="12">
        <v>607</v>
      </c>
      <c r="S21" s="12"/>
      <c r="T21" s="28">
        <v>472</v>
      </c>
      <c r="U21" s="137">
        <f t="shared" si="0"/>
        <v>11904</v>
      </c>
      <c r="V21" s="137">
        <v>42</v>
      </c>
      <c r="W21" s="137">
        <v>40</v>
      </c>
      <c r="X21" s="137">
        <v>2</v>
      </c>
    </row>
    <row r="22" spans="1:24" ht="24.95" customHeight="1" thickBot="1">
      <c r="A22" s="29">
        <v>46282</v>
      </c>
      <c r="B22" s="30">
        <v>48</v>
      </c>
      <c r="C22" s="30">
        <v>300</v>
      </c>
      <c r="D22" s="16">
        <v>369</v>
      </c>
      <c r="E22" s="30">
        <v>352</v>
      </c>
      <c r="F22" s="30">
        <v>492</v>
      </c>
      <c r="G22" s="30">
        <v>707</v>
      </c>
      <c r="H22" s="30">
        <v>866</v>
      </c>
      <c r="I22" s="30">
        <v>1692</v>
      </c>
      <c r="J22" s="30">
        <v>2208</v>
      </c>
      <c r="K22" s="30">
        <v>144</v>
      </c>
      <c r="L22" s="30">
        <v>188</v>
      </c>
      <c r="M22" s="30">
        <v>40</v>
      </c>
      <c r="N22" s="30">
        <v>210</v>
      </c>
      <c r="O22" s="30">
        <v>932</v>
      </c>
      <c r="P22" s="30">
        <v>293</v>
      </c>
      <c r="Q22" s="30">
        <v>288</v>
      </c>
      <c r="R22" s="30">
        <v>218</v>
      </c>
      <c r="S22" s="30">
        <v>672</v>
      </c>
      <c r="T22" s="31">
        <v>228</v>
      </c>
      <c r="U22" s="111">
        <f t="shared" si="0"/>
        <v>10247</v>
      </c>
      <c r="V22" s="111">
        <v>42</v>
      </c>
      <c r="W22" s="112">
        <v>39</v>
      </c>
      <c r="X22" s="112">
        <v>3</v>
      </c>
    </row>
    <row r="23" spans="1:24" ht="45" customHeight="1" thickBot="1">
      <c r="A23" s="63" t="s">
        <v>171</v>
      </c>
      <c r="B23" s="64">
        <f>+ROUNDDOWN(AVERAGE(B6:B22),0)</f>
        <v>253</v>
      </c>
      <c r="C23" s="64">
        <f t="shared" ref="C23:T23" si="1">+ROUNDDOWN(AVERAGE(C6:C22),0)</f>
        <v>380</v>
      </c>
      <c r="D23" s="64">
        <f t="shared" si="1"/>
        <v>245</v>
      </c>
      <c r="E23" s="64">
        <f t="shared" si="1"/>
        <v>451</v>
      </c>
      <c r="F23" s="64">
        <f t="shared" si="1"/>
        <v>113</v>
      </c>
      <c r="G23" s="64">
        <f t="shared" si="1"/>
        <v>344</v>
      </c>
      <c r="H23" s="64">
        <f t="shared" si="1"/>
        <v>1450</v>
      </c>
      <c r="I23" s="64">
        <f t="shared" si="1"/>
        <v>1489</v>
      </c>
      <c r="J23" s="64">
        <f t="shared" si="1"/>
        <v>1760</v>
      </c>
      <c r="K23" s="64">
        <f t="shared" si="1"/>
        <v>345</v>
      </c>
      <c r="L23" s="64">
        <f t="shared" si="1"/>
        <v>175</v>
      </c>
      <c r="M23" s="64">
        <f t="shared" si="1"/>
        <v>887</v>
      </c>
      <c r="N23" s="64">
        <f t="shared" si="1"/>
        <v>291</v>
      </c>
      <c r="O23" s="64">
        <f t="shared" si="1"/>
        <v>1505</v>
      </c>
      <c r="P23" s="64">
        <f t="shared" si="1"/>
        <v>275</v>
      </c>
      <c r="Q23" s="64">
        <f t="shared" si="1"/>
        <v>172</v>
      </c>
      <c r="R23" s="64">
        <f t="shared" si="1"/>
        <v>194</v>
      </c>
      <c r="S23" s="64">
        <f t="shared" si="1"/>
        <v>373</v>
      </c>
      <c r="T23" s="65">
        <f t="shared" si="1"/>
        <v>187</v>
      </c>
      <c r="U23" s="134"/>
      <c r="V23" s="134"/>
      <c r="W23" s="135">
        <f>MAX(W6:W22)</f>
        <v>43</v>
      </c>
      <c r="X23" s="135">
        <f>MAX(X6:X22)</f>
        <v>3</v>
      </c>
    </row>
    <row r="24" spans="1:24" ht="20.100000000000001" customHeight="1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</row>
    <row r="25" spans="1:24" ht="30" customHeight="1" thickBot="1">
      <c r="A25" s="13" t="s">
        <v>4</v>
      </c>
      <c r="B25" s="318"/>
      <c r="C25" s="318"/>
      <c r="D25" s="318"/>
      <c r="E25" s="318"/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18"/>
    </row>
    <row r="26" spans="1:24" ht="24.95" customHeight="1">
      <c r="A26" s="337" t="s">
        <v>59</v>
      </c>
      <c r="B26" s="79" t="s">
        <v>74</v>
      </c>
      <c r="C26" s="79" t="s">
        <v>75</v>
      </c>
      <c r="D26" s="79" t="s">
        <v>76</v>
      </c>
      <c r="E26" s="79" t="s">
        <v>77</v>
      </c>
      <c r="F26" s="79" t="s">
        <v>76</v>
      </c>
      <c r="G26" s="79" t="s">
        <v>76</v>
      </c>
      <c r="H26" s="79" t="s">
        <v>76</v>
      </c>
      <c r="I26" s="79" t="s">
        <v>78</v>
      </c>
      <c r="J26" s="79" t="s">
        <v>78</v>
      </c>
      <c r="K26" s="79" t="s">
        <v>79</v>
      </c>
      <c r="L26" s="79" t="s">
        <v>80</v>
      </c>
      <c r="M26" s="79" t="s">
        <v>78</v>
      </c>
      <c r="N26" s="79" t="s">
        <v>77</v>
      </c>
      <c r="O26" s="79" t="s">
        <v>76</v>
      </c>
      <c r="P26" s="79" t="s">
        <v>74</v>
      </c>
      <c r="Q26" s="79" t="s">
        <v>74</v>
      </c>
      <c r="R26" s="79" t="s">
        <v>74</v>
      </c>
      <c r="S26" s="79" t="s">
        <v>74</v>
      </c>
      <c r="T26" s="80" t="s">
        <v>74</v>
      </c>
      <c r="U26" s="341" t="s">
        <v>175</v>
      </c>
      <c r="V26" s="326" t="s">
        <v>189</v>
      </c>
      <c r="W26" s="339" t="s">
        <v>190</v>
      </c>
      <c r="X26" s="326" t="s">
        <v>184</v>
      </c>
    </row>
    <row r="27" spans="1:24" ht="24.95" customHeight="1" thickBot="1">
      <c r="A27" s="338"/>
      <c r="B27" s="81" t="s">
        <v>15</v>
      </c>
      <c r="C27" s="81" t="s">
        <v>14</v>
      </c>
      <c r="D27" s="81" t="s">
        <v>14</v>
      </c>
      <c r="E27" s="81" t="s">
        <v>14</v>
      </c>
      <c r="F27" s="81" t="s">
        <v>48</v>
      </c>
      <c r="G27" s="81" t="s">
        <v>11</v>
      </c>
      <c r="H27" s="81" t="s">
        <v>37</v>
      </c>
      <c r="I27" s="81" t="s">
        <v>81</v>
      </c>
      <c r="J27" s="81" t="s">
        <v>82</v>
      </c>
      <c r="K27" s="81" t="s">
        <v>26</v>
      </c>
      <c r="L27" s="81" t="s">
        <v>26</v>
      </c>
      <c r="M27" s="81" t="s">
        <v>26</v>
      </c>
      <c r="N27" s="81" t="s">
        <v>26</v>
      </c>
      <c r="O27" s="81" t="s">
        <v>26</v>
      </c>
      <c r="P27" s="81" t="s">
        <v>26</v>
      </c>
      <c r="Q27" s="81" t="s">
        <v>83</v>
      </c>
      <c r="R27" s="81" t="s">
        <v>84</v>
      </c>
      <c r="S27" s="81" t="s">
        <v>30</v>
      </c>
      <c r="T27" s="82" t="s">
        <v>85</v>
      </c>
      <c r="U27" s="342"/>
      <c r="V27" s="327"/>
      <c r="W27" s="340"/>
      <c r="X27" s="327"/>
    </row>
    <row r="28" spans="1:24" ht="24.95" customHeight="1" thickTop="1">
      <c r="A28" s="25">
        <v>46266</v>
      </c>
      <c r="B28" s="24">
        <v>228</v>
      </c>
      <c r="C28" s="46"/>
      <c r="D28" s="46">
        <v>376</v>
      </c>
      <c r="E28" s="24">
        <v>416</v>
      </c>
      <c r="F28" s="24">
        <v>20</v>
      </c>
      <c r="G28" s="24">
        <v>338</v>
      </c>
      <c r="H28" s="24">
        <v>468</v>
      </c>
      <c r="I28" s="24">
        <v>1270</v>
      </c>
      <c r="J28" s="46">
        <v>1140</v>
      </c>
      <c r="K28" s="59"/>
      <c r="L28" s="46"/>
      <c r="M28" s="24">
        <v>844</v>
      </c>
      <c r="N28" s="46">
        <v>454</v>
      </c>
      <c r="O28" s="46">
        <v>1258</v>
      </c>
      <c r="P28" s="24">
        <v>110</v>
      </c>
      <c r="Q28" s="24">
        <v>102</v>
      </c>
      <c r="R28" s="24">
        <v>64</v>
      </c>
      <c r="S28" s="24"/>
      <c r="T28" s="26">
        <v>75</v>
      </c>
      <c r="U28" s="111">
        <f>SUM(B28:T28)</f>
        <v>7163</v>
      </c>
      <c r="V28" s="111">
        <v>39</v>
      </c>
      <c r="W28" s="112">
        <v>37</v>
      </c>
      <c r="X28" s="241">
        <v>2</v>
      </c>
    </row>
    <row r="29" spans="1:24" ht="24.95" customHeight="1">
      <c r="A29" s="27">
        <v>46267</v>
      </c>
      <c r="B29" s="12"/>
      <c r="C29" s="17">
        <v>1089</v>
      </c>
      <c r="D29" s="12">
        <v>88</v>
      </c>
      <c r="E29" s="12">
        <v>260</v>
      </c>
      <c r="F29" s="12"/>
      <c r="G29" s="12">
        <v>347</v>
      </c>
      <c r="H29" s="12">
        <v>2072</v>
      </c>
      <c r="I29" s="12">
        <v>557</v>
      </c>
      <c r="J29" s="12">
        <v>496</v>
      </c>
      <c r="K29" s="12"/>
      <c r="L29" s="12"/>
      <c r="M29" s="59"/>
      <c r="N29" s="12">
        <v>1008</v>
      </c>
      <c r="O29" s="12">
        <v>302</v>
      </c>
      <c r="P29" s="12">
        <v>122</v>
      </c>
      <c r="Q29" s="12">
        <v>182</v>
      </c>
      <c r="R29" s="12"/>
      <c r="S29" s="12"/>
      <c r="T29" s="28">
        <v>156</v>
      </c>
      <c r="U29" s="137">
        <f>SUM(B29:T29)</f>
        <v>6679</v>
      </c>
      <c r="V29" s="137">
        <v>39</v>
      </c>
      <c r="W29" s="137">
        <v>38</v>
      </c>
      <c r="X29" s="137">
        <v>1</v>
      </c>
    </row>
    <row r="30" spans="1:24" ht="24.95" customHeight="1">
      <c r="A30" s="27">
        <v>46268</v>
      </c>
      <c r="B30" s="12"/>
      <c r="C30" s="12">
        <v>1074</v>
      </c>
      <c r="D30" s="12">
        <v>18</v>
      </c>
      <c r="E30" s="12"/>
      <c r="F30" s="12">
        <v>14</v>
      </c>
      <c r="G30" s="12">
        <v>123</v>
      </c>
      <c r="H30" s="12">
        <v>1916</v>
      </c>
      <c r="I30" s="12">
        <v>345</v>
      </c>
      <c r="J30" s="12">
        <v>90</v>
      </c>
      <c r="K30" s="12"/>
      <c r="L30" s="12"/>
      <c r="M30" s="59"/>
      <c r="N30" s="12"/>
      <c r="O30" s="12">
        <v>1356</v>
      </c>
      <c r="P30" s="12">
        <v>145</v>
      </c>
      <c r="Q30" s="12">
        <v>54</v>
      </c>
      <c r="R30" s="12">
        <v>78</v>
      </c>
      <c r="S30" s="12">
        <v>150</v>
      </c>
      <c r="T30" s="28"/>
      <c r="U30" s="137">
        <f t="shared" ref="U30:U32" si="2">SUM(B30:T30)</f>
        <v>5363</v>
      </c>
      <c r="V30" s="137">
        <v>39</v>
      </c>
      <c r="W30" s="137">
        <v>39</v>
      </c>
      <c r="X30" s="137">
        <v>0</v>
      </c>
    </row>
    <row r="31" spans="1:24" ht="24.95" customHeight="1">
      <c r="A31" s="27">
        <v>46269</v>
      </c>
      <c r="B31" s="12"/>
      <c r="C31" s="12">
        <v>634</v>
      </c>
      <c r="D31" s="12"/>
      <c r="E31" s="12">
        <v>102</v>
      </c>
      <c r="F31" s="12"/>
      <c r="G31" s="12">
        <v>126</v>
      </c>
      <c r="H31" s="12">
        <v>2238</v>
      </c>
      <c r="I31" s="12">
        <v>921</v>
      </c>
      <c r="J31" s="12">
        <v>775</v>
      </c>
      <c r="K31" s="12"/>
      <c r="L31" s="12"/>
      <c r="M31" s="12"/>
      <c r="N31" s="12"/>
      <c r="O31" s="12">
        <v>648</v>
      </c>
      <c r="P31" s="12">
        <v>116</v>
      </c>
      <c r="Q31" s="12">
        <v>83</v>
      </c>
      <c r="R31" s="12">
        <v>214</v>
      </c>
      <c r="S31" s="12"/>
      <c r="T31" s="28">
        <v>136</v>
      </c>
      <c r="U31" s="137">
        <f t="shared" si="2"/>
        <v>5993</v>
      </c>
      <c r="V31" s="137">
        <v>39</v>
      </c>
      <c r="W31" s="137">
        <v>38</v>
      </c>
      <c r="X31" s="137">
        <v>1</v>
      </c>
    </row>
    <row r="32" spans="1:24" ht="24.95" customHeight="1">
      <c r="A32" s="27">
        <v>46270</v>
      </c>
      <c r="B32" s="12"/>
      <c r="C32" s="12">
        <v>229</v>
      </c>
      <c r="D32" s="22"/>
      <c r="E32" s="12"/>
      <c r="F32" s="12"/>
      <c r="G32" s="12"/>
      <c r="H32" s="12">
        <v>798</v>
      </c>
      <c r="I32" s="12">
        <v>270</v>
      </c>
      <c r="J32" s="12">
        <v>954</v>
      </c>
      <c r="K32" s="12"/>
      <c r="L32" s="12"/>
      <c r="M32" s="12"/>
      <c r="N32" s="12"/>
      <c r="O32" s="12">
        <v>510</v>
      </c>
      <c r="P32" s="12">
        <v>90</v>
      </c>
      <c r="Q32" s="12">
        <v>24</v>
      </c>
      <c r="R32" s="12">
        <v>228</v>
      </c>
      <c r="S32" s="12"/>
      <c r="T32" s="28">
        <v>30</v>
      </c>
      <c r="U32" s="137">
        <f t="shared" si="2"/>
        <v>3133</v>
      </c>
      <c r="V32" s="137">
        <v>39</v>
      </c>
      <c r="W32" s="137">
        <v>39</v>
      </c>
      <c r="X32" s="137">
        <v>0</v>
      </c>
    </row>
    <row r="33" spans="1:24" ht="24.95" customHeight="1">
      <c r="A33" s="91">
        <v>46271</v>
      </c>
      <c r="B33" s="96"/>
      <c r="C33" s="96"/>
      <c r="D33" s="99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0"/>
      <c r="T33" s="97"/>
      <c r="U33" s="139"/>
      <c r="V33" s="139"/>
      <c r="W33" s="139"/>
      <c r="X33" s="139"/>
    </row>
    <row r="34" spans="1:24" ht="24.95" customHeight="1">
      <c r="A34" s="27">
        <v>46272</v>
      </c>
      <c r="B34" s="12"/>
      <c r="C34" s="12">
        <v>627</v>
      </c>
      <c r="D34" s="12"/>
      <c r="E34" s="12">
        <v>54</v>
      </c>
      <c r="F34" s="12"/>
      <c r="G34" s="12">
        <v>338</v>
      </c>
      <c r="H34" s="12">
        <v>892</v>
      </c>
      <c r="I34" s="12">
        <v>216</v>
      </c>
      <c r="J34" s="12">
        <v>1494</v>
      </c>
      <c r="K34" s="12">
        <v>348</v>
      </c>
      <c r="L34" s="12"/>
      <c r="M34" s="12"/>
      <c r="N34" s="12"/>
      <c r="O34" s="12">
        <v>1370</v>
      </c>
      <c r="P34" s="12"/>
      <c r="Q34" s="12">
        <v>168</v>
      </c>
      <c r="R34" s="12">
        <v>36</v>
      </c>
      <c r="S34" s="59"/>
      <c r="T34" s="28">
        <v>192</v>
      </c>
      <c r="U34" s="137">
        <f t="shared" ref="U34:U39" si="3">SUM(B34:T34)</f>
        <v>5735</v>
      </c>
      <c r="V34" s="137">
        <v>42</v>
      </c>
      <c r="W34" s="137">
        <v>41</v>
      </c>
      <c r="X34" s="137">
        <v>1</v>
      </c>
    </row>
    <row r="35" spans="1:24" ht="24.95" customHeight="1">
      <c r="A35" s="27">
        <v>46273</v>
      </c>
      <c r="B35" s="12"/>
      <c r="C35" s="12"/>
      <c r="D35" s="12"/>
      <c r="E35" s="12"/>
      <c r="F35" s="12">
        <v>169</v>
      </c>
      <c r="G35" s="12">
        <v>1014</v>
      </c>
      <c r="H35" s="12">
        <v>1073</v>
      </c>
      <c r="I35" s="12">
        <v>2419</v>
      </c>
      <c r="J35" s="12">
        <v>1417</v>
      </c>
      <c r="K35" s="12">
        <v>220</v>
      </c>
      <c r="L35" s="12"/>
      <c r="M35" s="12"/>
      <c r="N35" s="12">
        <v>140</v>
      </c>
      <c r="O35" s="12">
        <v>975</v>
      </c>
      <c r="P35" s="12">
        <v>72</v>
      </c>
      <c r="Q35" s="12"/>
      <c r="R35" s="12"/>
      <c r="S35" s="12"/>
      <c r="T35" s="28"/>
      <c r="U35" s="137">
        <f t="shared" si="3"/>
        <v>7499</v>
      </c>
      <c r="V35" s="137">
        <v>42</v>
      </c>
      <c r="W35" s="137">
        <v>41</v>
      </c>
      <c r="X35" s="137">
        <v>1</v>
      </c>
    </row>
    <row r="36" spans="1:24" ht="24.95" customHeight="1">
      <c r="A36" s="27">
        <v>46274</v>
      </c>
      <c r="B36" s="12">
        <v>40</v>
      </c>
      <c r="C36" s="12">
        <v>830</v>
      </c>
      <c r="D36" s="12">
        <v>112</v>
      </c>
      <c r="E36" s="12"/>
      <c r="F36" s="12">
        <v>26</v>
      </c>
      <c r="G36" s="12">
        <v>755</v>
      </c>
      <c r="H36" s="12">
        <v>183</v>
      </c>
      <c r="I36" s="12">
        <v>750</v>
      </c>
      <c r="J36" s="12">
        <v>3408</v>
      </c>
      <c r="K36" s="12">
        <v>260</v>
      </c>
      <c r="L36" s="12">
        <v>176</v>
      </c>
      <c r="M36" s="12"/>
      <c r="N36" s="12"/>
      <c r="O36" s="12">
        <v>1452</v>
      </c>
      <c r="P36" s="12">
        <v>66</v>
      </c>
      <c r="Q36" s="12">
        <v>20</v>
      </c>
      <c r="R36" s="12">
        <v>21</v>
      </c>
      <c r="S36" s="12"/>
      <c r="T36" s="28">
        <v>14</v>
      </c>
      <c r="U36" s="137">
        <f t="shared" si="3"/>
        <v>8113</v>
      </c>
      <c r="V36" s="137">
        <v>42</v>
      </c>
      <c r="W36" s="137">
        <v>41</v>
      </c>
      <c r="X36" s="137">
        <v>1</v>
      </c>
    </row>
    <row r="37" spans="1:24" ht="24.95" customHeight="1">
      <c r="A37" s="27">
        <v>46275</v>
      </c>
      <c r="B37" s="12"/>
      <c r="C37" s="12">
        <v>1037</v>
      </c>
      <c r="D37" s="12"/>
      <c r="E37" s="12"/>
      <c r="F37" s="12">
        <v>14</v>
      </c>
      <c r="G37" s="12">
        <v>78</v>
      </c>
      <c r="H37" s="12">
        <v>4806</v>
      </c>
      <c r="I37" s="12">
        <v>2811</v>
      </c>
      <c r="J37" s="12">
        <v>4428</v>
      </c>
      <c r="K37" s="12">
        <v>90</v>
      </c>
      <c r="L37" s="12">
        <v>12</v>
      </c>
      <c r="M37" s="12">
        <v>522</v>
      </c>
      <c r="N37" s="12"/>
      <c r="O37" s="12">
        <v>1129</v>
      </c>
      <c r="P37" s="12"/>
      <c r="Q37" s="12"/>
      <c r="R37" s="12"/>
      <c r="S37" s="12"/>
      <c r="T37" s="28"/>
      <c r="U37" s="137">
        <f t="shared" si="3"/>
        <v>14927</v>
      </c>
      <c r="V37" s="137">
        <v>42</v>
      </c>
      <c r="W37" s="137">
        <v>41</v>
      </c>
      <c r="X37" s="137">
        <v>1</v>
      </c>
    </row>
    <row r="38" spans="1:24" ht="24.95" customHeight="1">
      <c r="A38" s="27">
        <v>46276</v>
      </c>
      <c r="B38" s="12">
        <v>388</v>
      </c>
      <c r="C38" s="12">
        <v>222</v>
      </c>
      <c r="D38" s="12"/>
      <c r="E38" s="12">
        <v>180</v>
      </c>
      <c r="F38" s="12">
        <v>24</v>
      </c>
      <c r="G38" s="12">
        <v>390</v>
      </c>
      <c r="H38" s="12">
        <v>504</v>
      </c>
      <c r="I38" s="12">
        <v>4468</v>
      </c>
      <c r="J38" s="12">
        <v>6660</v>
      </c>
      <c r="K38" s="12">
        <v>472</v>
      </c>
      <c r="L38" s="12"/>
      <c r="M38" s="12">
        <v>1588</v>
      </c>
      <c r="N38" s="12"/>
      <c r="O38" s="12">
        <v>423</v>
      </c>
      <c r="P38" s="12"/>
      <c r="Q38" s="12">
        <v>179</v>
      </c>
      <c r="R38" s="12">
        <v>12</v>
      </c>
      <c r="S38" s="12"/>
      <c r="T38" s="28">
        <v>84</v>
      </c>
      <c r="U38" s="137">
        <f t="shared" si="3"/>
        <v>15594</v>
      </c>
      <c r="V38" s="137">
        <v>42</v>
      </c>
      <c r="W38" s="137">
        <v>41</v>
      </c>
      <c r="X38" s="137">
        <v>1</v>
      </c>
    </row>
    <row r="39" spans="1:24" ht="24.95" customHeight="1">
      <c r="A39" s="27">
        <v>46277</v>
      </c>
      <c r="B39" s="12">
        <v>426</v>
      </c>
      <c r="C39" s="12">
        <v>30</v>
      </c>
      <c r="D39" s="12">
        <v>120</v>
      </c>
      <c r="E39" s="12">
        <v>48</v>
      </c>
      <c r="F39" s="12"/>
      <c r="G39" s="12">
        <v>48</v>
      </c>
      <c r="H39" s="12">
        <v>393</v>
      </c>
      <c r="I39" s="12">
        <v>603</v>
      </c>
      <c r="J39" s="12">
        <v>300</v>
      </c>
      <c r="K39" s="12">
        <v>462</v>
      </c>
      <c r="L39" s="12"/>
      <c r="M39" s="12">
        <v>1179</v>
      </c>
      <c r="N39" s="12">
        <v>210</v>
      </c>
      <c r="O39" s="12">
        <v>215</v>
      </c>
      <c r="P39" s="12">
        <v>145</v>
      </c>
      <c r="Q39" s="12">
        <v>228</v>
      </c>
      <c r="R39" s="12">
        <v>84</v>
      </c>
      <c r="S39" s="12"/>
      <c r="T39" s="28">
        <v>150</v>
      </c>
      <c r="U39" s="137">
        <f t="shared" si="3"/>
        <v>4641</v>
      </c>
      <c r="V39" s="137">
        <v>42</v>
      </c>
      <c r="W39" s="137">
        <v>39</v>
      </c>
      <c r="X39" s="137">
        <v>3</v>
      </c>
    </row>
    <row r="40" spans="1:24" ht="24.95" customHeight="1">
      <c r="A40" s="91">
        <v>46278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7"/>
      <c r="U40" s="139"/>
      <c r="V40" s="139"/>
      <c r="W40" s="139"/>
      <c r="X40" s="139"/>
    </row>
    <row r="41" spans="1:24" ht="24.95" customHeight="1">
      <c r="A41" s="27">
        <v>46279</v>
      </c>
      <c r="B41" s="12">
        <v>244</v>
      </c>
      <c r="C41" s="12"/>
      <c r="D41" s="12">
        <v>85</v>
      </c>
      <c r="E41" s="12"/>
      <c r="F41" s="12"/>
      <c r="G41" s="12">
        <v>56</v>
      </c>
      <c r="H41" s="12">
        <v>1436</v>
      </c>
      <c r="I41" s="12">
        <v>104</v>
      </c>
      <c r="J41" s="12">
        <v>1356</v>
      </c>
      <c r="K41" s="12">
        <v>73</v>
      </c>
      <c r="L41" s="12"/>
      <c r="M41" s="12">
        <v>402</v>
      </c>
      <c r="N41" s="12">
        <v>550</v>
      </c>
      <c r="O41" s="12">
        <v>1483</v>
      </c>
      <c r="P41" s="12">
        <v>33</v>
      </c>
      <c r="Q41" s="12">
        <v>48</v>
      </c>
      <c r="R41" s="12">
        <v>24</v>
      </c>
      <c r="S41" s="12"/>
      <c r="T41" s="28">
        <v>48</v>
      </c>
      <c r="U41" s="137">
        <f t="shared" ref="U41:U44" si="4">SUM(B41:T41)</f>
        <v>5942</v>
      </c>
      <c r="V41" s="137">
        <v>43</v>
      </c>
      <c r="W41" s="137">
        <v>42</v>
      </c>
      <c r="X41" s="137">
        <v>1</v>
      </c>
    </row>
    <row r="42" spans="1:24" ht="24.95" customHeight="1">
      <c r="A42" s="27">
        <v>46280</v>
      </c>
      <c r="B42" s="12"/>
      <c r="C42" s="12">
        <v>440</v>
      </c>
      <c r="D42" s="12"/>
      <c r="E42" s="12">
        <v>218</v>
      </c>
      <c r="F42" s="12">
        <v>68</v>
      </c>
      <c r="G42" s="12">
        <v>210</v>
      </c>
      <c r="H42" s="12">
        <v>1318</v>
      </c>
      <c r="I42" s="12">
        <v>1450</v>
      </c>
      <c r="J42" s="12">
        <v>98</v>
      </c>
      <c r="K42" s="12"/>
      <c r="L42" s="12"/>
      <c r="M42" s="12">
        <v>486</v>
      </c>
      <c r="N42" s="12">
        <v>270</v>
      </c>
      <c r="O42" s="12">
        <v>1386</v>
      </c>
      <c r="P42" s="12">
        <v>178</v>
      </c>
      <c r="Q42" s="12">
        <v>240</v>
      </c>
      <c r="R42" s="12">
        <v>144</v>
      </c>
      <c r="S42" s="12"/>
      <c r="T42" s="28"/>
      <c r="U42" s="137">
        <f t="shared" si="4"/>
        <v>6506</v>
      </c>
      <c r="V42" s="137">
        <v>43</v>
      </c>
      <c r="W42" s="137">
        <v>42</v>
      </c>
      <c r="X42" s="137">
        <v>1</v>
      </c>
    </row>
    <row r="43" spans="1:24" ht="24.95" customHeight="1">
      <c r="A43" s="27">
        <v>46281</v>
      </c>
      <c r="B43" s="12"/>
      <c r="C43" s="12">
        <v>756</v>
      </c>
      <c r="D43" s="12"/>
      <c r="E43" s="12">
        <v>466</v>
      </c>
      <c r="F43" s="12">
        <v>348</v>
      </c>
      <c r="G43" s="12">
        <v>300</v>
      </c>
      <c r="H43" s="12">
        <v>114</v>
      </c>
      <c r="I43" s="12">
        <v>1492</v>
      </c>
      <c r="J43" s="12">
        <v>1686</v>
      </c>
      <c r="K43" s="12">
        <v>101</v>
      </c>
      <c r="L43" s="12"/>
      <c r="M43" s="12">
        <v>350</v>
      </c>
      <c r="N43" s="12"/>
      <c r="O43" s="12">
        <v>530</v>
      </c>
      <c r="P43" s="12">
        <v>48</v>
      </c>
      <c r="Q43" s="12">
        <v>119</v>
      </c>
      <c r="R43" s="12"/>
      <c r="S43" s="12"/>
      <c r="T43" s="28">
        <v>300</v>
      </c>
      <c r="U43" s="137">
        <f t="shared" si="4"/>
        <v>6610</v>
      </c>
      <c r="V43" s="137">
        <v>43</v>
      </c>
      <c r="W43" s="137">
        <v>42</v>
      </c>
      <c r="X43" s="137">
        <v>1</v>
      </c>
    </row>
    <row r="44" spans="1:24" ht="24.95" customHeight="1" thickBot="1">
      <c r="A44" s="29">
        <v>46282</v>
      </c>
      <c r="B44" s="30">
        <v>110</v>
      </c>
      <c r="C44" s="30">
        <v>24</v>
      </c>
      <c r="D44" s="30">
        <v>284</v>
      </c>
      <c r="E44" s="30">
        <v>75</v>
      </c>
      <c r="F44" s="30">
        <v>179</v>
      </c>
      <c r="G44" s="30">
        <v>243</v>
      </c>
      <c r="H44" s="30">
        <v>1529</v>
      </c>
      <c r="I44" s="30">
        <v>1707</v>
      </c>
      <c r="J44" s="30">
        <v>1062</v>
      </c>
      <c r="K44" s="30">
        <v>16</v>
      </c>
      <c r="L44" s="30">
        <v>8</v>
      </c>
      <c r="M44" s="30">
        <v>145</v>
      </c>
      <c r="N44" s="30"/>
      <c r="O44" s="30">
        <v>1625</v>
      </c>
      <c r="P44" s="30">
        <v>366</v>
      </c>
      <c r="Q44" s="30">
        <v>134</v>
      </c>
      <c r="R44" s="30"/>
      <c r="S44" s="30">
        <v>888</v>
      </c>
      <c r="T44" s="31">
        <v>36</v>
      </c>
      <c r="U44" s="111">
        <f t="shared" si="4"/>
        <v>8431</v>
      </c>
      <c r="V44" s="111">
        <v>43</v>
      </c>
      <c r="W44" s="112">
        <v>41</v>
      </c>
      <c r="X44" s="112">
        <v>2</v>
      </c>
    </row>
    <row r="45" spans="1:24" ht="39.75" customHeight="1" thickBot="1">
      <c r="A45" s="63" t="s">
        <v>171</v>
      </c>
      <c r="B45" s="64">
        <f>+ROUNDDOWN(AVERAGE(B28:B44),0)</f>
        <v>239</v>
      </c>
      <c r="C45" s="64">
        <f t="shared" ref="C45:T45" si="5">+ROUNDDOWN(AVERAGE(C28:C44),0)</f>
        <v>582</v>
      </c>
      <c r="D45" s="64">
        <f t="shared" si="5"/>
        <v>154</v>
      </c>
      <c r="E45" s="64">
        <f t="shared" si="5"/>
        <v>202</v>
      </c>
      <c r="F45" s="64">
        <f t="shared" si="5"/>
        <v>95</v>
      </c>
      <c r="G45" s="64">
        <f t="shared" si="5"/>
        <v>311</v>
      </c>
      <c r="H45" s="64">
        <f t="shared" si="5"/>
        <v>1316</v>
      </c>
      <c r="I45" s="64">
        <f t="shared" si="5"/>
        <v>1292</v>
      </c>
      <c r="J45" s="64">
        <f t="shared" si="5"/>
        <v>1690</v>
      </c>
      <c r="K45" s="64">
        <f t="shared" si="5"/>
        <v>226</v>
      </c>
      <c r="L45" s="64">
        <f t="shared" si="5"/>
        <v>65</v>
      </c>
      <c r="M45" s="64">
        <f t="shared" si="5"/>
        <v>689</v>
      </c>
      <c r="N45" s="64">
        <f t="shared" si="5"/>
        <v>438</v>
      </c>
      <c r="O45" s="64">
        <f t="shared" si="5"/>
        <v>977</v>
      </c>
      <c r="P45" s="64">
        <f t="shared" si="5"/>
        <v>124</v>
      </c>
      <c r="Q45" s="64">
        <f t="shared" si="5"/>
        <v>121</v>
      </c>
      <c r="R45" s="64">
        <f t="shared" si="5"/>
        <v>90</v>
      </c>
      <c r="S45" s="64">
        <f t="shared" si="5"/>
        <v>519</v>
      </c>
      <c r="T45" s="65">
        <f t="shared" si="5"/>
        <v>111</v>
      </c>
      <c r="U45" s="134"/>
      <c r="V45" s="134"/>
      <c r="W45" s="135">
        <f>MAX(W28:W44)</f>
        <v>42</v>
      </c>
      <c r="X45" s="135">
        <f>MAX(X28:X44)</f>
        <v>3</v>
      </c>
    </row>
    <row r="47" spans="1:24" ht="20.100000000000001" customHeight="1" thickBot="1">
      <c r="A47" s="168" t="s">
        <v>177</v>
      </c>
    </row>
    <row r="48" spans="1:24" ht="20.100000000000001" customHeight="1">
      <c r="A48" s="315" t="s">
        <v>59</v>
      </c>
      <c r="B48" s="313" t="s">
        <v>174</v>
      </c>
      <c r="C48" s="314"/>
    </row>
    <row r="49" spans="1:3" ht="20.100000000000001" customHeight="1" thickBot="1">
      <c r="A49" s="316"/>
      <c r="B49" s="166" t="s">
        <v>3</v>
      </c>
      <c r="C49" s="167" t="s">
        <v>4</v>
      </c>
    </row>
    <row r="50" spans="1:3" ht="20.100000000000001" customHeight="1" thickTop="1">
      <c r="A50" s="163">
        <v>46266</v>
      </c>
      <c r="B50" s="164">
        <v>8091</v>
      </c>
      <c r="C50" s="165">
        <v>7163</v>
      </c>
    </row>
    <row r="51" spans="1:3" ht="20.100000000000001" customHeight="1">
      <c r="A51" s="157">
        <v>46267</v>
      </c>
      <c r="B51" s="154">
        <v>6811</v>
      </c>
      <c r="C51" s="156">
        <v>6679</v>
      </c>
    </row>
    <row r="52" spans="1:3" ht="20.100000000000001" customHeight="1">
      <c r="A52" s="157">
        <v>46268</v>
      </c>
      <c r="B52" s="154">
        <v>11566</v>
      </c>
      <c r="C52" s="156">
        <v>5363</v>
      </c>
    </row>
    <row r="53" spans="1:3" ht="20.100000000000001" customHeight="1">
      <c r="A53" s="157">
        <v>46269</v>
      </c>
      <c r="B53" s="154">
        <v>9605</v>
      </c>
      <c r="C53" s="156">
        <v>5993</v>
      </c>
    </row>
    <row r="54" spans="1:3" ht="20.100000000000001" customHeight="1">
      <c r="A54" s="157">
        <v>46270</v>
      </c>
      <c r="B54" s="154">
        <v>12046</v>
      </c>
      <c r="C54" s="156">
        <v>3133</v>
      </c>
    </row>
    <row r="55" spans="1:3" ht="20.100000000000001" customHeight="1">
      <c r="A55" s="158">
        <v>46271</v>
      </c>
      <c r="B55" s="155"/>
      <c r="C55" s="159"/>
    </row>
    <row r="56" spans="1:3" ht="20.100000000000001" customHeight="1">
      <c r="A56" s="157">
        <v>46272</v>
      </c>
      <c r="B56" s="154">
        <v>3839</v>
      </c>
      <c r="C56" s="156">
        <v>5735</v>
      </c>
    </row>
    <row r="57" spans="1:3" ht="20.100000000000001" customHeight="1">
      <c r="A57" s="157">
        <v>46273</v>
      </c>
      <c r="B57" s="154">
        <v>7572</v>
      </c>
      <c r="C57" s="156">
        <v>7499</v>
      </c>
    </row>
    <row r="58" spans="1:3" ht="20.100000000000001" customHeight="1">
      <c r="A58" s="157">
        <v>46274</v>
      </c>
      <c r="B58" s="154">
        <v>6650</v>
      </c>
      <c r="C58" s="156">
        <v>8113</v>
      </c>
    </row>
    <row r="59" spans="1:3" ht="20.100000000000001" customHeight="1">
      <c r="A59" s="157">
        <v>46275</v>
      </c>
      <c r="B59" s="154">
        <v>9143</v>
      </c>
      <c r="C59" s="156">
        <v>14927</v>
      </c>
    </row>
    <row r="60" spans="1:3" ht="20.100000000000001" customHeight="1">
      <c r="A60" s="157">
        <v>46276</v>
      </c>
      <c r="B60" s="154">
        <v>12485</v>
      </c>
      <c r="C60" s="156">
        <v>15594</v>
      </c>
    </row>
    <row r="61" spans="1:3" ht="20.100000000000001" customHeight="1">
      <c r="A61" s="157">
        <v>46277</v>
      </c>
      <c r="B61" s="154">
        <v>6175</v>
      </c>
      <c r="C61" s="156">
        <v>4641</v>
      </c>
    </row>
    <row r="62" spans="1:3" ht="20.100000000000001" customHeight="1">
      <c r="A62" s="158">
        <v>46278</v>
      </c>
      <c r="B62" s="155"/>
      <c r="C62" s="159"/>
    </row>
    <row r="63" spans="1:3" ht="20.100000000000001" customHeight="1">
      <c r="A63" s="157">
        <v>46279</v>
      </c>
      <c r="B63" s="154">
        <v>10972</v>
      </c>
      <c r="C63" s="156">
        <v>5942</v>
      </c>
    </row>
    <row r="64" spans="1:3" ht="20.100000000000001" customHeight="1">
      <c r="A64" s="157">
        <v>46280</v>
      </c>
      <c r="B64" s="154">
        <v>9481</v>
      </c>
      <c r="C64" s="156">
        <v>6506</v>
      </c>
    </row>
    <row r="65" spans="1:3" ht="20.100000000000001" customHeight="1" thickBot="1">
      <c r="A65" s="160">
        <v>46281</v>
      </c>
      <c r="B65" s="161">
        <v>11904</v>
      </c>
      <c r="C65" s="162">
        <v>6610</v>
      </c>
    </row>
  </sheetData>
  <mergeCells count="15">
    <mergeCell ref="X4:X5"/>
    <mergeCell ref="X26:X27"/>
    <mergeCell ref="W4:W5"/>
    <mergeCell ref="U4:U5"/>
    <mergeCell ref="U26:U27"/>
    <mergeCell ref="W26:W27"/>
    <mergeCell ref="V4:V5"/>
    <mergeCell ref="V26:V27"/>
    <mergeCell ref="A48:A49"/>
    <mergeCell ref="B48:C48"/>
    <mergeCell ref="A1:T2"/>
    <mergeCell ref="B3:P3"/>
    <mergeCell ref="B25:P25"/>
    <mergeCell ref="A4:A5"/>
    <mergeCell ref="A26:A27"/>
  </mergeCells>
  <pageMargins left="0.7" right="0.7" top="0.75" bottom="0.75" header="0.3" footer="0.3"/>
  <pageSetup paperSize="9" scale="21" orientation="portrait" r:id="rId1"/>
  <colBreaks count="1" manualBreakCount="1">
    <brk id="24" max="8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AF00-9DA8-4EAA-BAA7-BE33D359BF87}">
  <sheetPr>
    <tabColor theme="5" tint="0.79998168889431442"/>
  </sheetPr>
  <dimension ref="A1:R61"/>
  <sheetViews>
    <sheetView view="pageBreakPreview" zoomScale="60" zoomScaleNormal="7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P32" sqref="P32"/>
    </sheetView>
  </sheetViews>
  <sheetFormatPr defaultRowHeight="15"/>
  <cols>
    <col min="1" max="1" width="31.85546875" bestFit="1" customWidth="1"/>
    <col min="2" max="17" width="20.7109375" customWidth="1"/>
  </cols>
  <sheetData>
    <row r="1" spans="1:17" ht="21">
      <c r="A1" s="317" t="s">
        <v>67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19"/>
      <c r="O1" s="19"/>
      <c r="P1" s="19"/>
      <c r="Q1" s="19"/>
    </row>
    <row r="2" spans="1:17" ht="21">
      <c r="A2" s="317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19"/>
      <c r="O2" s="19"/>
      <c r="P2" s="19"/>
      <c r="Q2" s="19"/>
    </row>
    <row r="3" spans="1:17" ht="35.1" customHeight="1" thickBot="1">
      <c r="A3" s="13" t="s">
        <v>3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17"/>
      <c r="O3" s="17"/>
      <c r="P3" s="17"/>
      <c r="Q3" s="17"/>
    </row>
    <row r="4" spans="1:17" ht="60" customHeight="1" thickBot="1">
      <c r="A4" s="60" t="s">
        <v>59</v>
      </c>
      <c r="B4" s="61" t="s">
        <v>60</v>
      </c>
      <c r="C4" s="61" t="s">
        <v>61</v>
      </c>
      <c r="D4" s="61" t="s">
        <v>68</v>
      </c>
      <c r="E4" s="61" t="s">
        <v>62</v>
      </c>
      <c r="F4" s="61" t="s">
        <v>63</v>
      </c>
      <c r="G4" s="61" t="s">
        <v>69</v>
      </c>
      <c r="H4" s="61" t="s">
        <v>64</v>
      </c>
      <c r="I4" s="61" t="s">
        <v>70</v>
      </c>
      <c r="J4" s="61" t="s">
        <v>71</v>
      </c>
      <c r="K4" s="61" t="s">
        <v>65</v>
      </c>
      <c r="L4" s="61" t="s">
        <v>72</v>
      </c>
      <c r="M4" s="62" t="s">
        <v>66</v>
      </c>
      <c r="N4" s="141" t="s">
        <v>175</v>
      </c>
      <c r="O4" s="141" t="s">
        <v>189</v>
      </c>
      <c r="P4" s="258" t="s">
        <v>190</v>
      </c>
      <c r="Q4" s="142" t="s">
        <v>184</v>
      </c>
    </row>
    <row r="5" spans="1:17" ht="24.95" customHeight="1" thickTop="1">
      <c r="A5" s="25">
        <v>46266</v>
      </c>
      <c r="B5" s="46">
        <v>734</v>
      </c>
      <c r="C5" s="24"/>
      <c r="D5" s="24"/>
      <c r="E5" s="46">
        <v>765</v>
      </c>
      <c r="F5" s="24"/>
      <c r="G5" s="24"/>
      <c r="H5" s="46">
        <v>901</v>
      </c>
      <c r="I5" s="24"/>
      <c r="J5" s="24"/>
      <c r="K5" s="24"/>
      <c r="L5" s="24"/>
      <c r="M5" s="47">
        <v>369</v>
      </c>
      <c r="N5" s="140">
        <f>SUM(B5:M5)</f>
        <v>2769</v>
      </c>
      <c r="O5" s="256">
        <v>27</v>
      </c>
      <c r="P5" s="107">
        <v>27</v>
      </c>
      <c r="Q5" s="107">
        <v>0</v>
      </c>
    </row>
    <row r="6" spans="1:17" ht="24.95" customHeight="1">
      <c r="A6" s="27">
        <v>46267</v>
      </c>
      <c r="B6" s="14">
        <v>872</v>
      </c>
      <c r="C6" s="12"/>
      <c r="D6" s="12"/>
      <c r="E6" s="14">
        <v>792</v>
      </c>
      <c r="F6" s="12"/>
      <c r="G6" s="12"/>
      <c r="H6" s="14">
        <v>811</v>
      </c>
      <c r="I6" s="12"/>
      <c r="J6" s="12"/>
      <c r="K6" s="12"/>
      <c r="L6" s="12"/>
      <c r="M6" s="45">
        <v>375</v>
      </c>
      <c r="N6" s="145">
        <f>SUM(B6:M6)</f>
        <v>2850</v>
      </c>
      <c r="O6" s="257">
        <v>27</v>
      </c>
      <c r="P6" s="109">
        <v>27</v>
      </c>
      <c r="Q6" s="109">
        <v>0</v>
      </c>
    </row>
    <row r="7" spans="1:17" ht="24.95" customHeight="1">
      <c r="A7" s="27">
        <v>46268</v>
      </c>
      <c r="B7" s="14">
        <v>682</v>
      </c>
      <c r="C7" s="12"/>
      <c r="D7" s="12"/>
      <c r="E7" s="14">
        <v>765</v>
      </c>
      <c r="F7" s="12"/>
      <c r="G7" s="12"/>
      <c r="H7" s="14">
        <v>901</v>
      </c>
      <c r="I7" s="12"/>
      <c r="J7" s="12"/>
      <c r="K7" s="12"/>
      <c r="L7" s="12"/>
      <c r="M7" s="45">
        <v>282</v>
      </c>
      <c r="N7" s="145">
        <f t="shared" ref="N7:N19" si="0">SUM(B7:M7)</f>
        <v>2630</v>
      </c>
      <c r="O7" s="257">
        <v>27</v>
      </c>
      <c r="P7" s="109">
        <v>27</v>
      </c>
      <c r="Q7" s="109">
        <v>0</v>
      </c>
    </row>
    <row r="8" spans="1:17" ht="24.95" customHeight="1">
      <c r="A8" s="27">
        <v>46269</v>
      </c>
      <c r="B8" s="14">
        <v>661</v>
      </c>
      <c r="C8" s="12"/>
      <c r="D8" s="12"/>
      <c r="E8" s="14">
        <v>768</v>
      </c>
      <c r="F8" s="12"/>
      <c r="G8" s="12"/>
      <c r="H8" s="14">
        <v>900</v>
      </c>
      <c r="I8" s="12"/>
      <c r="J8" s="12"/>
      <c r="K8" s="14">
        <v>442</v>
      </c>
      <c r="L8" s="12"/>
      <c r="M8" s="45">
        <v>62</v>
      </c>
      <c r="N8" s="145">
        <f t="shared" si="0"/>
        <v>2833</v>
      </c>
      <c r="O8" s="257">
        <v>27</v>
      </c>
      <c r="P8" s="109">
        <v>27</v>
      </c>
      <c r="Q8" s="109">
        <v>0</v>
      </c>
    </row>
    <row r="9" spans="1:17" ht="24.95" customHeight="1">
      <c r="A9" s="27">
        <v>46270</v>
      </c>
      <c r="B9" s="14">
        <v>661</v>
      </c>
      <c r="C9" s="12"/>
      <c r="D9" s="12"/>
      <c r="E9" s="14">
        <v>650</v>
      </c>
      <c r="F9" s="12"/>
      <c r="G9" s="12"/>
      <c r="H9" s="14">
        <v>700</v>
      </c>
      <c r="I9" s="12"/>
      <c r="J9" s="12"/>
      <c r="K9" s="14">
        <v>543</v>
      </c>
      <c r="L9" s="12"/>
      <c r="M9" s="28"/>
      <c r="N9" s="145">
        <f t="shared" si="0"/>
        <v>2554</v>
      </c>
      <c r="O9" s="257">
        <v>27</v>
      </c>
      <c r="P9" s="137">
        <v>27</v>
      </c>
      <c r="Q9" s="137">
        <v>0</v>
      </c>
    </row>
    <row r="10" spans="1:17" ht="24.95" customHeight="1">
      <c r="A10" s="91">
        <v>46271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7"/>
      <c r="N10" s="138"/>
      <c r="O10" s="138"/>
      <c r="P10" s="139"/>
      <c r="Q10" s="139"/>
    </row>
    <row r="11" spans="1:17" ht="24.95" customHeight="1">
      <c r="A11" s="27">
        <v>46272</v>
      </c>
      <c r="B11" s="14">
        <v>900</v>
      </c>
      <c r="C11" s="12"/>
      <c r="D11" s="12"/>
      <c r="E11" s="14">
        <v>874</v>
      </c>
      <c r="F11" s="12"/>
      <c r="G11" s="12"/>
      <c r="H11" s="14">
        <v>900</v>
      </c>
      <c r="I11" s="12"/>
      <c r="J11" s="12"/>
      <c r="K11" s="14">
        <v>640</v>
      </c>
      <c r="L11" s="12"/>
      <c r="M11" s="45">
        <v>40</v>
      </c>
      <c r="N11" s="145">
        <f t="shared" si="0"/>
        <v>3354</v>
      </c>
      <c r="O11" s="257">
        <v>27</v>
      </c>
      <c r="P11" s="109">
        <v>27</v>
      </c>
      <c r="Q11" s="109">
        <v>0</v>
      </c>
    </row>
    <row r="12" spans="1:17" ht="24.95" customHeight="1">
      <c r="A12" s="27">
        <v>46273</v>
      </c>
      <c r="B12" s="14">
        <v>900</v>
      </c>
      <c r="C12" s="12"/>
      <c r="D12" s="12"/>
      <c r="E12" s="14">
        <v>824</v>
      </c>
      <c r="F12" s="12"/>
      <c r="G12" s="12"/>
      <c r="H12" s="14">
        <v>900</v>
      </c>
      <c r="I12" s="12"/>
      <c r="J12" s="12"/>
      <c r="K12" s="14">
        <v>510</v>
      </c>
      <c r="L12" s="12"/>
      <c r="M12" s="45">
        <v>134</v>
      </c>
      <c r="N12" s="145">
        <f t="shared" si="0"/>
        <v>3268</v>
      </c>
      <c r="O12" s="257">
        <v>27</v>
      </c>
      <c r="P12" s="109">
        <v>27</v>
      </c>
      <c r="Q12" s="109">
        <v>0</v>
      </c>
    </row>
    <row r="13" spans="1:17" ht="24.95" customHeight="1">
      <c r="A13" s="27">
        <v>46274</v>
      </c>
      <c r="B13" s="14">
        <v>200</v>
      </c>
      <c r="C13" s="14">
        <v>702</v>
      </c>
      <c r="D13" s="12"/>
      <c r="E13" s="14">
        <v>844</v>
      </c>
      <c r="F13" s="12"/>
      <c r="G13" s="12"/>
      <c r="H13" s="14">
        <v>900</v>
      </c>
      <c r="I13" s="12"/>
      <c r="J13" s="12"/>
      <c r="K13" s="12"/>
      <c r="L13" s="12"/>
      <c r="M13" s="45">
        <v>229</v>
      </c>
      <c r="N13" s="145">
        <f t="shared" si="0"/>
        <v>2875</v>
      </c>
      <c r="O13" s="257">
        <v>27</v>
      </c>
      <c r="P13" s="109">
        <v>27</v>
      </c>
      <c r="Q13" s="109">
        <v>0</v>
      </c>
    </row>
    <row r="14" spans="1:17" ht="24.95" customHeight="1">
      <c r="A14" s="27">
        <v>46275</v>
      </c>
      <c r="B14" s="14">
        <v>300</v>
      </c>
      <c r="C14" s="14">
        <v>644</v>
      </c>
      <c r="D14" s="12"/>
      <c r="E14" s="14">
        <v>822</v>
      </c>
      <c r="F14" s="12"/>
      <c r="G14" s="12"/>
      <c r="H14" s="14">
        <v>900</v>
      </c>
      <c r="I14" s="12"/>
      <c r="J14" s="12"/>
      <c r="K14" s="14">
        <v>494</v>
      </c>
      <c r="L14" s="12"/>
      <c r="M14" s="45">
        <v>89</v>
      </c>
      <c r="N14" s="145">
        <f t="shared" si="0"/>
        <v>3249</v>
      </c>
      <c r="O14" s="257">
        <v>27</v>
      </c>
      <c r="P14" s="109">
        <v>27</v>
      </c>
      <c r="Q14" s="109">
        <v>0</v>
      </c>
    </row>
    <row r="15" spans="1:17" ht="24.95" customHeight="1">
      <c r="A15" s="27">
        <v>46276</v>
      </c>
      <c r="B15" s="14">
        <v>700</v>
      </c>
      <c r="C15" s="14">
        <v>172</v>
      </c>
      <c r="D15" s="12"/>
      <c r="E15" s="14">
        <v>798</v>
      </c>
      <c r="F15" s="12"/>
      <c r="G15" s="12"/>
      <c r="H15" s="14">
        <v>903</v>
      </c>
      <c r="I15" s="12"/>
      <c r="J15" s="12"/>
      <c r="K15" s="14">
        <v>851</v>
      </c>
      <c r="L15" s="12"/>
      <c r="M15" s="28"/>
      <c r="N15" s="145">
        <f t="shared" si="0"/>
        <v>3424</v>
      </c>
      <c r="O15" s="257">
        <v>27</v>
      </c>
      <c r="P15" s="137">
        <v>26</v>
      </c>
      <c r="Q15" s="137">
        <v>1</v>
      </c>
    </row>
    <row r="16" spans="1:17" ht="24.95" customHeight="1">
      <c r="A16" s="27">
        <v>46277</v>
      </c>
      <c r="B16" s="14">
        <v>701</v>
      </c>
      <c r="C16" s="12"/>
      <c r="D16" s="12"/>
      <c r="E16" s="14">
        <v>574</v>
      </c>
      <c r="F16" s="12"/>
      <c r="G16" s="12"/>
      <c r="H16" s="14">
        <v>700</v>
      </c>
      <c r="I16" s="12"/>
      <c r="J16" s="12"/>
      <c r="K16" s="14">
        <v>660</v>
      </c>
      <c r="L16" s="12"/>
      <c r="M16" s="28"/>
      <c r="N16" s="145">
        <f t="shared" si="0"/>
        <v>2635</v>
      </c>
      <c r="O16" s="257">
        <v>27</v>
      </c>
      <c r="P16" s="137">
        <v>27</v>
      </c>
      <c r="Q16" s="137">
        <v>0</v>
      </c>
    </row>
    <row r="17" spans="1:18" ht="24.95" customHeight="1">
      <c r="A17" s="91">
        <v>46278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7"/>
      <c r="N17" s="138"/>
      <c r="O17" s="138"/>
      <c r="P17" s="139"/>
      <c r="Q17" s="139"/>
    </row>
    <row r="18" spans="1:18" ht="24.95" customHeight="1">
      <c r="A18" s="27">
        <v>46279</v>
      </c>
      <c r="B18" s="14">
        <v>191</v>
      </c>
      <c r="C18" s="14">
        <v>377</v>
      </c>
      <c r="D18" s="12"/>
      <c r="E18" s="14">
        <v>577</v>
      </c>
      <c r="F18" s="14">
        <v>33</v>
      </c>
      <c r="G18" s="12"/>
      <c r="H18" s="14">
        <v>700</v>
      </c>
      <c r="I18" s="12"/>
      <c r="J18" s="12"/>
      <c r="K18" s="14">
        <v>685</v>
      </c>
      <c r="L18" s="12"/>
      <c r="M18" s="45">
        <v>29</v>
      </c>
      <c r="N18" s="145">
        <f t="shared" si="0"/>
        <v>2592</v>
      </c>
      <c r="O18" s="257">
        <v>27</v>
      </c>
      <c r="P18" s="109">
        <v>27</v>
      </c>
      <c r="Q18" s="109">
        <v>0</v>
      </c>
    </row>
    <row r="19" spans="1:18" ht="24.95" customHeight="1">
      <c r="A19" s="27">
        <v>46280</v>
      </c>
      <c r="B19" s="14">
        <v>700</v>
      </c>
      <c r="C19" s="12"/>
      <c r="D19" s="12"/>
      <c r="E19" s="14">
        <v>672</v>
      </c>
      <c r="F19" s="12"/>
      <c r="G19" s="12"/>
      <c r="H19" s="14">
        <v>700</v>
      </c>
      <c r="I19" s="12"/>
      <c r="J19" s="12"/>
      <c r="K19" s="14">
        <v>522</v>
      </c>
      <c r="L19" s="12"/>
      <c r="M19" s="45">
        <v>23</v>
      </c>
      <c r="N19" s="145">
        <f t="shared" si="0"/>
        <v>2617</v>
      </c>
      <c r="O19" s="257">
        <v>27</v>
      </c>
      <c r="P19" s="109">
        <v>27</v>
      </c>
      <c r="Q19" s="109">
        <v>0</v>
      </c>
    </row>
    <row r="20" spans="1:18" ht="24.95" customHeight="1" thickBot="1">
      <c r="A20" s="29">
        <v>46281</v>
      </c>
      <c r="B20" s="48">
        <v>700</v>
      </c>
      <c r="C20" s="30"/>
      <c r="D20" s="30"/>
      <c r="E20" s="48">
        <v>640</v>
      </c>
      <c r="F20" s="30"/>
      <c r="G20" s="30"/>
      <c r="H20" s="48">
        <v>700</v>
      </c>
      <c r="I20" s="30"/>
      <c r="J20" s="30"/>
      <c r="K20" s="48">
        <v>705</v>
      </c>
      <c r="L20" s="30"/>
      <c r="M20" s="31"/>
      <c r="N20" s="145">
        <f>SUM(B20:M20)</f>
        <v>2745</v>
      </c>
      <c r="O20" s="256">
        <v>27</v>
      </c>
      <c r="P20" s="112">
        <v>25</v>
      </c>
      <c r="Q20" s="112">
        <v>2</v>
      </c>
    </row>
    <row r="21" spans="1:18" ht="24.95" customHeight="1" thickBot="1">
      <c r="A21" s="66" t="s">
        <v>131</v>
      </c>
      <c r="B21" s="67">
        <f>+ROUNDDOWN(AVERAGE(B5:B20),0)</f>
        <v>635</v>
      </c>
      <c r="C21" s="67">
        <f t="shared" ref="C21:M21" si="1">+ROUNDDOWN(AVERAGE(C5:C20),0)</f>
        <v>473</v>
      </c>
      <c r="D21" s="67"/>
      <c r="E21" s="67">
        <f t="shared" si="1"/>
        <v>740</v>
      </c>
      <c r="F21" s="67">
        <f t="shared" si="1"/>
        <v>33</v>
      </c>
      <c r="G21" s="67"/>
      <c r="H21" s="67">
        <f t="shared" si="1"/>
        <v>822</v>
      </c>
      <c r="I21" s="67"/>
      <c r="J21" s="67"/>
      <c r="K21" s="67">
        <f t="shared" si="1"/>
        <v>605</v>
      </c>
      <c r="L21" s="67"/>
      <c r="M21" s="68">
        <f t="shared" si="1"/>
        <v>163</v>
      </c>
      <c r="N21" s="143"/>
      <c r="O21" s="143"/>
      <c r="P21" s="144">
        <f>MAX(P5:P20)</f>
        <v>27</v>
      </c>
      <c r="Q21" s="144">
        <f>MAX(Q5:Q20)</f>
        <v>2</v>
      </c>
    </row>
    <row r="22" spans="1:18" ht="20.100000000000001" customHeight="1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18" ht="35.1" customHeight="1" thickBot="1">
      <c r="A23" s="13" t="s">
        <v>4</v>
      </c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17"/>
      <c r="O23" s="17"/>
      <c r="P23" s="17"/>
      <c r="Q23" s="17"/>
    </row>
    <row r="24" spans="1:18" ht="60" customHeight="1" thickBot="1">
      <c r="A24" s="69" t="s">
        <v>59</v>
      </c>
      <c r="B24" s="70" t="s">
        <v>60</v>
      </c>
      <c r="C24" s="70" t="s">
        <v>61</v>
      </c>
      <c r="D24" s="70" t="s">
        <v>68</v>
      </c>
      <c r="E24" s="70" t="s">
        <v>62</v>
      </c>
      <c r="F24" s="70" t="s">
        <v>63</v>
      </c>
      <c r="G24" s="70" t="s">
        <v>69</v>
      </c>
      <c r="H24" s="70" t="s">
        <v>64</v>
      </c>
      <c r="I24" s="70" t="s">
        <v>70</v>
      </c>
      <c r="J24" s="70" t="s">
        <v>71</v>
      </c>
      <c r="K24" s="70" t="s">
        <v>65</v>
      </c>
      <c r="L24" s="70" t="s">
        <v>72</v>
      </c>
      <c r="M24" s="71" t="s">
        <v>66</v>
      </c>
      <c r="N24" s="141" t="s">
        <v>175</v>
      </c>
      <c r="O24" s="141" t="s">
        <v>189</v>
      </c>
      <c r="P24" s="258" t="s">
        <v>190</v>
      </c>
      <c r="Q24" s="142" t="s">
        <v>184</v>
      </c>
    </row>
    <row r="25" spans="1:18" ht="20.100000000000001" customHeight="1" thickTop="1">
      <c r="A25" s="25">
        <v>46266</v>
      </c>
      <c r="B25" s="46">
        <v>901</v>
      </c>
      <c r="C25" s="24"/>
      <c r="D25" s="24"/>
      <c r="E25" s="46">
        <v>901</v>
      </c>
      <c r="F25" s="24"/>
      <c r="G25" s="24"/>
      <c r="H25" s="46">
        <v>843</v>
      </c>
      <c r="I25" s="24"/>
      <c r="J25" s="24"/>
      <c r="K25" s="46">
        <v>628</v>
      </c>
      <c r="L25" s="24"/>
      <c r="M25" s="26"/>
      <c r="N25" s="140">
        <f>SUM(B25:M25)</f>
        <v>3273</v>
      </c>
      <c r="O25" s="140">
        <v>27</v>
      </c>
      <c r="P25" s="107">
        <v>27</v>
      </c>
      <c r="Q25" s="242">
        <v>0</v>
      </c>
      <c r="R25" t="s">
        <v>117</v>
      </c>
    </row>
    <row r="26" spans="1:18" ht="20.100000000000001" customHeight="1">
      <c r="A26" s="27">
        <v>46267</v>
      </c>
      <c r="B26" s="14">
        <v>900</v>
      </c>
      <c r="C26" s="12"/>
      <c r="D26" s="12"/>
      <c r="E26" s="14">
        <v>900</v>
      </c>
      <c r="F26" s="12"/>
      <c r="G26" s="12"/>
      <c r="H26" s="14">
        <v>784</v>
      </c>
      <c r="I26" s="12"/>
      <c r="J26" s="12"/>
      <c r="K26" s="14">
        <v>648</v>
      </c>
      <c r="L26" s="12"/>
      <c r="M26" s="28"/>
      <c r="N26" s="145">
        <f>SUM(B26:M26)</f>
        <v>3232</v>
      </c>
      <c r="O26" s="145">
        <v>27</v>
      </c>
      <c r="P26" s="109">
        <v>27</v>
      </c>
      <c r="Q26" s="242">
        <v>0</v>
      </c>
    </row>
    <row r="27" spans="1:18" ht="20.100000000000001" customHeight="1">
      <c r="A27" s="27">
        <v>46268</v>
      </c>
      <c r="B27" s="14">
        <v>900</v>
      </c>
      <c r="C27" s="12"/>
      <c r="D27" s="12"/>
      <c r="E27" s="14">
        <v>900</v>
      </c>
      <c r="F27" s="12"/>
      <c r="G27" s="12"/>
      <c r="H27" s="14">
        <v>885</v>
      </c>
      <c r="I27" s="12"/>
      <c r="J27" s="12"/>
      <c r="K27" s="14">
        <v>667</v>
      </c>
      <c r="L27" s="12"/>
      <c r="M27" s="28"/>
      <c r="N27" s="145">
        <f t="shared" ref="N27:N29" si="2">SUM(B27:M27)</f>
        <v>3352</v>
      </c>
      <c r="O27" s="145">
        <v>27</v>
      </c>
      <c r="P27" s="109">
        <v>27</v>
      </c>
      <c r="Q27" s="242">
        <v>0</v>
      </c>
    </row>
    <row r="28" spans="1:18" ht="20.100000000000001" customHeight="1">
      <c r="A28" s="27">
        <v>46269</v>
      </c>
      <c r="B28" s="14">
        <v>900</v>
      </c>
      <c r="C28" s="12"/>
      <c r="D28" s="12"/>
      <c r="E28" s="14">
        <v>900</v>
      </c>
      <c r="F28" s="12"/>
      <c r="G28" s="12"/>
      <c r="H28" s="14">
        <v>900</v>
      </c>
      <c r="I28" s="12"/>
      <c r="J28" s="12"/>
      <c r="K28" s="14">
        <v>530</v>
      </c>
      <c r="L28" s="12"/>
      <c r="M28" s="28"/>
      <c r="N28" s="145">
        <f t="shared" si="2"/>
        <v>3230</v>
      </c>
      <c r="O28" s="145">
        <v>27</v>
      </c>
      <c r="P28" s="109">
        <v>27</v>
      </c>
      <c r="Q28" s="242">
        <v>0</v>
      </c>
    </row>
    <row r="29" spans="1:18" ht="20.100000000000001" customHeight="1">
      <c r="A29" s="27">
        <v>46270</v>
      </c>
      <c r="B29" s="14">
        <v>700</v>
      </c>
      <c r="C29" s="12"/>
      <c r="D29" s="12"/>
      <c r="E29" s="14">
        <v>700</v>
      </c>
      <c r="F29" s="12"/>
      <c r="G29" s="12"/>
      <c r="H29" s="14">
        <v>700</v>
      </c>
      <c r="I29" s="12"/>
      <c r="J29" s="12"/>
      <c r="K29" s="14">
        <v>546</v>
      </c>
      <c r="L29" s="12"/>
      <c r="M29" s="28"/>
      <c r="N29" s="145">
        <f t="shared" si="2"/>
        <v>2646</v>
      </c>
      <c r="O29" s="145">
        <v>27</v>
      </c>
      <c r="P29" s="137">
        <v>27</v>
      </c>
      <c r="Q29" s="242">
        <v>0</v>
      </c>
    </row>
    <row r="30" spans="1:18" ht="20.100000000000001" customHeight="1">
      <c r="A30" s="91">
        <v>46271</v>
      </c>
      <c r="B30" s="96"/>
      <c r="C30" s="96"/>
      <c r="D30" s="96"/>
      <c r="E30" s="94"/>
      <c r="F30" s="96"/>
      <c r="G30" s="96"/>
      <c r="H30" s="96"/>
      <c r="I30" s="96"/>
      <c r="J30" s="96"/>
      <c r="K30" s="96"/>
      <c r="L30" s="96"/>
      <c r="M30" s="97"/>
      <c r="N30" s="138"/>
      <c r="O30" s="138"/>
      <c r="P30" s="139"/>
      <c r="Q30" s="243"/>
    </row>
    <row r="31" spans="1:18" ht="20.100000000000001" customHeight="1">
      <c r="A31" s="27">
        <v>46272</v>
      </c>
      <c r="B31" s="14">
        <v>803</v>
      </c>
      <c r="C31" s="12"/>
      <c r="D31" s="12"/>
      <c r="E31" s="14">
        <v>803</v>
      </c>
      <c r="F31" s="12"/>
      <c r="G31" s="12"/>
      <c r="H31" s="14">
        <v>900</v>
      </c>
      <c r="I31" s="12"/>
      <c r="J31" s="12"/>
      <c r="K31" s="14">
        <v>538</v>
      </c>
      <c r="L31" s="12"/>
      <c r="M31" s="28"/>
      <c r="N31" s="145">
        <f t="shared" ref="N31:N36" si="3">SUM(B31:M31)</f>
        <v>3044</v>
      </c>
      <c r="O31" s="145">
        <v>27</v>
      </c>
      <c r="P31" s="109">
        <v>27</v>
      </c>
      <c r="Q31" s="242">
        <v>0</v>
      </c>
    </row>
    <row r="32" spans="1:18" ht="20.100000000000001" customHeight="1">
      <c r="A32" s="27">
        <v>46273</v>
      </c>
      <c r="B32" s="14">
        <v>878</v>
      </c>
      <c r="C32" s="12"/>
      <c r="D32" s="12"/>
      <c r="E32" s="14">
        <v>878</v>
      </c>
      <c r="F32" s="12"/>
      <c r="G32" s="12"/>
      <c r="H32" s="14">
        <v>900</v>
      </c>
      <c r="I32" s="12"/>
      <c r="J32" s="12"/>
      <c r="K32" s="14">
        <v>786</v>
      </c>
      <c r="L32" s="12"/>
      <c r="M32" s="28"/>
      <c r="N32" s="145">
        <f t="shared" si="3"/>
        <v>3442</v>
      </c>
      <c r="O32" s="145">
        <v>27</v>
      </c>
      <c r="P32" s="109">
        <v>27</v>
      </c>
      <c r="Q32" s="242">
        <v>0</v>
      </c>
    </row>
    <row r="33" spans="1:17" ht="20.100000000000001" customHeight="1">
      <c r="A33" s="27">
        <v>46274</v>
      </c>
      <c r="B33" s="14">
        <v>889</v>
      </c>
      <c r="C33" s="12"/>
      <c r="D33" s="12"/>
      <c r="E33" s="14">
        <v>889</v>
      </c>
      <c r="F33" s="12"/>
      <c r="G33" s="12"/>
      <c r="H33" s="14">
        <v>900</v>
      </c>
      <c r="I33" s="12"/>
      <c r="J33" s="12"/>
      <c r="K33" s="14">
        <v>875</v>
      </c>
      <c r="L33" s="12"/>
      <c r="M33" s="28"/>
      <c r="N33" s="145">
        <f t="shared" si="3"/>
        <v>3553</v>
      </c>
      <c r="O33" s="145">
        <v>27</v>
      </c>
      <c r="P33" s="109">
        <v>27</v>
      </c>
      <c r="Q33" s="242">
        <v>0</v>
      </c>
    </row>
    <row r="34" spans="1:17" ht="20.100000000000001" customHeight="1">
      <c r="A34" s="27">
        <v>46275</v>
      </c>
      <c r="B34" s="14">
        <v>850</v>
      </c>
      <c r="C34" s="12"/>
      <c r="D34" s="12"/>
      <c r="E34" s="14">
        <v>850</v>
      </c>
      <c r="F34" s="12"/>
      <c r="G34" s="12"/>
      <c r="H34" s="14">
        <v>902</v>
      </c>
      <c r="I34" s="12"/>
      <c r="J34" s="12"/>
      <c r="K34" s="14">
        <v>904</v>
      </c>
      <c r="L34" s="12"/>
      <c r="M34" s="28"/>
      <c r="N34" s="145">
        <f t="shared" si="3"/>
        <v>3506</v>
      </c>
      <c r="O34" s="145">
        <v>27</v>
      </c>
      <c r="P34" s="109">
        <v>27</v>
      </c>
      <c r="Q34" s="242">
        <v>0</v>
      </c>
    </row>
    <row r="35" spans="1:17" ht="20.100000000000001" customHeight="1">
      <c r="A35" s="27">
        <v>46276</v>
      </c>
      <c r="B35" s="14">
        <v>900</v>
      </c>
      <c r="C35" s="12"/>
      <c r="D35" s="12"/>
      <c r="E35" s="14">
        <v>900</v>
      </c>
      <c r="F35" s="12"/>
      <c r="G35" s="12"/>
      <c r="H35" s="14">
        <v>904</v>
      </c>
      <c r="I35" s="12"/>
      <c r="J35" s="12"/>
      <c r="K35" s="12"/>
      <c r="L35" s="12"/>
      <c r="M35" s="45">
        <v>316</v>
      </c>
      <c r="N35" s="145">
        <f t="shared" si="3"/>
        <v>3020</v>
      </c>
      <c r="O35" s="145">
        <v>27</v>
      </c>
      <c r="P35" s="137">
        <v>27</v>
      </c>
      <c r="Q35" s="244">
        <v>0</v>
      </c>
    </row>
    <row r="36" spans="1:17" ht="20.100000000000001" customHeight="1">
      <c r="A36" s="27">
        <v>46277</v>
      </c>
      <c r="B36" s="14">
        <v>700</v>
      </c>
      <c r="C36" s="12"/>
      <c r="D36" s="12"/>
      <c r="E36" s="14">
        <v>700</v>
      </c>
      <c r="F36" s="12"/>
      <c r="G36" s="12"/>
      <c r="H36" s="14">
        <v>700</v>
      </c>
      <c r="I36" s="12"/>
      <c r="J36" s="12"/>
      <c r="K36" s="12"/>
      <c r="L36" s="12"/>
      <c r="M36" s="45">
        <v>700</v>
      </c>
      <c r="N36" s="145">
        <f t="shared" si="3"/>
        <v>2800</v>
      </c>
      <c r="O36" s="145">
        <v>27</v>
      </c>
      <c r="P36" s="137">
        <v>27</v>
      </c>
      <c r="Q36" s="244">
        <v>0</v>
      </c>
    </row>
    <row r="37" spans="1:17" ht="20.100000000000001" customHeight="1">
      <c r="A37" s="91">
        <v>46278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7"/>
      <c r="N37" s="138"/>
      <c r="O37" s="138"/>
      <c r="P37" s="139"/>
      <c r="Q37" s="243"/>
    </row>
    <row r="38" spans="1:17" ht="20.100000000000001" customHeight="1">
      <c r="A38" s="27">
        <v>46279</v>
      </c>
      <c r="B38" s="12"/>
      <c r="C38" s="14">
        <v>910</v>
      </c>
      <c r="D38" s="12"/>
      <c r="E38" s="12"/>
      <c r="F38" s="12"/>
      <c r="G38" s="12"/>
      <c r="H38" s="14">
        <v>700</v>
      </c>
      <c r="I38" s="12"/>
      <c r="J38" s="12"/>
      <c r="K38" s="12"/>
      <c r="L38" s="12"/>
      <c r="M38" s="45">
        <v>420</v>
      </c>
      <c r="N38" s="145">
        <f t="shared" ref="N38:N39" si="4">SUM(B38:M38)</f>
        <v>2030</v>
      </c>
      <c r="O38" s="145">
        <v>27</v>
      </c>
      <c r="P38" s="109">
        <v>26</v>
      </c>
      <c r="Q38" s="146">
        <v>1</v>
      </c>
    </row>
    <row r="39" spans="1:17" ht="20.100000000000001" customHeight="1">
      <c r="A39" s="27">
        <v>46280</v>
      </c>
      <c r="B39" s="14">
        <v>200</v>
      </c>
      <c r="C39" s="14">
        <v>584</v>
      </c>
      <c r="D39" s="12"/>
      <c r="E39" s="14">
        <v>200</v>
      </c>
      <c r="F39" s="12"/>
      <c r="G39" s="12"/>
      <c r="H39" s="14">
        <v>610</v>
      </c>
      <c r="I39" s="12"/>
      <c r="J39" s="12"/>
      <c r="K39" s="14">
        <v>274</v>
      </c>
      <c r="L39" s="12"/>
      <c r="M39" s="45">
        <v>116</v>
      </c>
      <c r="N39" s="145">
        <f t="shared" si="4"/>
        <v>1984</v>
      </c>
      <c r="O39" s="145">
        <v>27</v>
      </c>
      <c r="P39" s="109">
        <v>26</v>
      </c>
      <c r="Q39" s="146">
        <v>1</v>
      </c>
    </row>
    <row r="40" spans="1:17" ht="20.100000000000001" customHeight="1" thickBot="1">
      <c r="A40" s="29">
        <v>46281</v>
      </c>
      <c r="B40" s="48">
        <v>700</v>
      </c>
      <c r="C40" s="30"/>
      <c r="D40" s="30"/>
      <c r="E40" s="48">
        <v>700</v>
      </c>
      <c r="F40" s="30"/>
      <c r="G40" s="30"/>
      <c r="H40" s="48">
        <v>710</v>
      </c>
      <c r="I40" s="30"/>
      <c r="J40" s="30"/>
      <c r="K40" s="48">
        <v>710</v>
      </c>
      <c r="L40" s="30"/>
      <c r="M40" s="49"/>
      <c r="N40" s="145">
        <f>SUM(B40:M40)</f>
        <v>2820</v>
      </c>
      <c r="O40" s="140">
        <v>27</v>
      </c>
      <c r="P40" s="112">
        <v>27</v>
      </c>
      <c r="Q40" s="245">
        <v>0</v>
      </c>
    </row>
    <row r="41" spans="1:17" ht="24.95" customHeight="1" thickBot="1">
      <c r="A41" s="66" t="s">
        <v>131</v>
      </c>
      <c r="B41" s="67">
        <f>+ROUNDDOWN(AVERAGE(B25:B40),0)</f>
        <v>786</v>
      </c>
      <c r="C41" s="67">
        <f t="shared" ref="C41" si="5">+ROUNDDOWN(AVERAGE(C25:C40),0)</f>
        <v>747</v>
      </c>
      <c r="D41" s="67"/>
      <c r="E41" s="67">
        <f t="shared" ref="E41" si="6">+ROUNDDOWN(AVERAGE(E25:E40),0)</f>
        <v>786</v>
      </c>
      <c r="F41" s="67"/>
      <c r="G41" s="67"/>
      <c r="H41" s="67">
        <f t="shared" ref="H41" si="7">+ROUNDDOWN(AVERAGE(H25:H40),0)</f>
        <v>809</v>
      </c>
      <c r="I41" s="67"/>
      <c r="J41" s="67"/>
      <c r="K41" s="67">
        <f t="shared" ref="K41" si="8">+ROUNDDOWN(AVERAGE(K25:K40),0)</f>
        <v>646</v>
      </c>
      <c r="L41" s="67"/>
      <c r="M41" s="68">
        <f t="shared" ref="M41" si="9">+ROUNDDOWN(AVERAGE(M25:M40),0)</f>
        <v>388</v>
      </c>
      <c r="N41" s="143"/>
      <c r="O41" s="143"/>
      <c r="P41" s="144">
        <f>MAX(P25:P40)</f>
        <v>27</v>
      </c>
      <c r="Q41" s="246">
        <f>MAX(Q25:Q40)</f>
        <v>1</v>
      </c>
    </row>
    <row r="43" spans="1:17" ht="20.100000000000001" customHeight="1" thickBot="1">
      <c r="A43" s="168" t="s">
        <v>177</v>
      </c>
    </row>
    <row r="44" spans="1:17" ht="20.100000000000001" customHeight="1">
      <c r="A44" s="315" t="s">
        <v>59</v>
      </c>
      <c r="B44" s="313" t="s">
        <v>174</v>
      </c>
      <c r="C44" s="314"/>
    </row>
    <row r="45" spans="1:17" ht="20.100000000000001" customHeight="1" thickBot="1">
      <c r="A45" s="316"/>
      <c r="B45" s="166" t="s">
        <v>3</v>
      </c>
      <c r="C45" s="167" t="s">
        <v>4</v>
      </c>
    </row>
    <row r="46" spans="1:17" ht="20.100000000000001" customHeight="1" thickTop="1">
      <c r="A46" s="163">
        <v>46266</v>
      </c>
      <c r="B46" s="164">
        <v>2769</v>
      </c>
      <c r="C46" s="165">
        <v>3273</v>
      </c>
    </row>
    <row r="47" spans="1:17" ht="20.100000000000001" customHeight="1">
      <c r="A47" s="157">
        <v>46267</v>
      </c>
      <c r="B47" s="154">
        <v>2850</v>
      </c>
      <c r="C47" s="156">
        <v>3232</v>
      </c>
    </row>
    <row r="48" spans="1:17" ht="20.100000000000001" customHeight="1">
      <c r="A48" s="157">
        <v>46268</v>
      </c>
      <c r="B48" s="154">
        <v>2630</v>
      </c>
      <c r="C48" s="156">
        <v>3352</v>
      </c>
    </row>
    <row r="49" spans="1:3" ht="20.100000000000001" customHeight="1">
      <c r="A49" s="157">
        <v>46269</v>
      </c>
      <c r="B49" s="154">
        <v>2833</v>
      </c>
      <c r="C49" s="156">
        <v>3230</v>
      </c>
    </row>
    <row r="50" spans="1:3" ht="20.100000000000001" customHeight="1">
      <c r="A50" s="157">
        <v>46270</v>
      </c>
      <c r="B50" s="154">
        <v>2554</v>
      </c>
      <c r="C50" s="156">
        <v>2646</v>
      </c>
    </row>
    <row r="51" spans="1:3" ht="20.100000000000001" customHeight="1">
      <c r="A51" s="158">
        <v>46271</v>
      </c>
      <c r="B51" s="155"/>
      <c r="C51" s="159"/>
    </row>
    <row r="52" spans="1:3" ht="20.100000000000001" customHeight="1">
      <c r="A52" s="157">
        <v>46272</v>
      </c>
      <c r="B52" s="154">
        <v>3354</v>
      </c>
      <c r="C52" s="156">
        <v>3044</v>
      </c>
    </row>
    <row r="53" spans="1:3" ht="20.100000000000001" customHeight="1">
      <c r="A53" s="157">
        <v>46273</v>
      </c>
      <c r="B53" s="154">
        <v>3268</v>
      </c>
      <c r="C53" s="156">
        <v>3442</v>
      </c>
    </row>
    <row r="54" spans="1:3" ht="20.100000000000001" customHeight="1">
      <c r="A54" s="157">
        <v>46274</v>
      </c>
      <c r="B54" s="154">
        <v>2875</v>
      </c>
      <c r="C54" s="156">
        <v>3553</v>
      </c>
    </row>
    <row r="55" spans="1:3" ht="20.100000000000001" customHeight="1">
      <c r="A55" s="157">
        <v>46275</v>
      </c>
      <c r="B55" s="154">
        <v>3249</v>
      </c>
      <c r="C55" s="156">
        <v>3506</v>
      </c>
    </row>
    <row r="56" spans="1:3" ht="20.100000000000001" customHeight="1">
      <c r="A56" s="157">
        <v>46276</v>
      </c>
      <c r="B56" s="154">
        <v>3424</v>
      </c>
      <c r="C56" s="156">
        <v>3020</v>
      </c>
    </row>
    <row r="57" spans="1:3" ht="20.100000000000001" customHeight="1">
      <c r="A57" s="157">
        <v>46277</v>
      </c>
      <c r="B57" s="154">
        <v>2635</v>
      </c>
      <c r="C57" s="156">
        <v>2800</v>
      </c>
    </row>
    <row r="58" spans="1:3" ht="20.100000000000001" customHeight="1">
      <c r="A58" s="158">
        <v>46278</v>
      </c>
      <c r="B58" s="155"/>
      <c r="C58" s="159"/>
    </row>
    <row r="59" spans="1:3" ht="20.100000000000001" customHeight="1">
      <c r="A59" s="157">
        <v>46279</v>
      </c>
      <c r="B59" s="154">
        <v>2592</v>
      </c>
      <c r="C59" s="156">
        <v>2030</v>
      </c>
    </row>
    <row r="60" spans="1:3" ht="20.100000000000001" customHeight="1">
      <c r="A60" s="157">
        <v>46280</v>
      </c>
      <c r="B60" s="154">
        <v>2617</v>
      </c>
      <c r="C60" s="156">
        <v>1984</v>
      </c>
    </row>
    <row r="61" spans="1:3" ht="20.100000000000001" customHeight="1" thickBot="1">
      <c r="A61" s="160">
        <v>46281</v>
      </c>
      <c r="B61" s="161">
        <v>2745</v>
      </c>
      <c r="C61" s="162">
        <v>2820</v>
      </c>
    </row>
  </sheetData>
  <mergeCells count="5">
    <mergeCell ref="A1:M2"/>
    <mergeCell ref="B3:M3"/>
    <mergeCell ref="B23:M23"/>
    <mergeCell ref="A44:A45"/>
    <mergeCell ref="B44:C44"/>
  </mergeCells>
  <pageMargins left="0.7" right="0.7" top="0.75" bottom="0.75" header="0.3" footer="0.3"/>
  <pageSetup paperSize="9" scal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40E0-3AD6-4C85-B47F-33340AA80849}">
  <sheetPr>
    <tabColor theme="4" tint="0.79998168889431442"/>
  </sheetPr>
  <dimension ref="A1:X60"/>
  <sheetViews>
    <sheetView view="pageBreakPreview" zoomScale="70" zoomScaleNormal="70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6" sqref="O16"/>
    </sheetView>
  </sheetViews>
  <sheetFormatPr defaultRowHeight="15"/>
  <cols>
    <col min="1" max="1" width="31.5703125" bestFit="1" customWidth="1"/>
    <col min="2" max="24" width="15.7109375" customWidth="1"/>
  </cols>
  <sheetData>
    <row r="1" spans="1:24" ht="21" customHeight="1">
      <c r="A1" s="317" t="s">
        <v>90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19"/>
      <c r="V1" s="19"/>
      <c r="W1" s="19"/>
      <c r="X1" s="19"/>
    </row>
    <row r="2" spans="1:24" ht="21" customHeight="1">
      <c r="A2" s="317"/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19"/>
      <c r="V2" s="19"/>
      <c r="W2" s="19"/>
      <c r="X2" s="19"/>
    </row>
    <row r="3" spans="1:24" ht="20.100000000000001" customHeight="1" thickBot="1">
      <c r="A3" s="13" t="s">
        <v>3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17"/>
    </row>
    <row r="4" spans="1:24" ht="60" customHeight="1" thickBot="1">
      <c r="A4" s="60" t="s">
        <v>59</v>
      </c>
      <c r="B4" s="61" t="s">
        <v>98</v>
      </c>
      <c r="C4" s="61" t="s">
        <v>99</v>
      </c>
      <c r="D4" s="61" t="s">
        <v>100</v>
      </c>
      <c r="E4" s="61" t="s">
        <v>101</v>
      </c>
      <c r="F4" s="61" t="s">
        <v>102</v>
      </c>
      <c r="G4" s="61" t="s">
        <v>103</v>
      </c>
      <c r="H4" s="61" t="s">
        <v>104</v>
      </c>
      <c r="I4" s="61" t="s">
        <v>105</v>
      </c>
      <c r="J4" s="61" t="s">
        <v>106</v>
      </c>
      <c r="K4" s="61" t="s">
        <v>107</v>
      </c>
      <c r="L4" s="61" t="s">
        <v>108</v>
      </c>
      <c r="M4" s="61" t="s">
        <v>109</v>
      </c>
      <c r="N4" s="61" t="s">
        <v>110</v>
      </c>
      <c r="O4" s="61" t="s">
        <v>111</v>
      </c>
      <c r="P4" s="61" t="s">
        <v>112</v>
      </c>
      <c r="Q4" s="61" t="s">
        <v>113</v>
      </c>
      <c r="R4" s="61" t="s">
        <v>114</v>
      </c>
      <c r="S4" s="61" t="s">
        <v>115</v>
      </c>
      <c r="T4" s="62" t="s">
        <v>116</v>
      </c>
      <c r="U4" s="141" t="s">
        <v>175</v>
      </c>
      <c r="V4" s="141" t="s">
        <v>189</v>
      </c>
      <c r="W4" s="141" t="s">
        <v>191</v>
      </c>
      <c r="X4" s="142" t="s">
        <v>184</v>
      </c>
    </row>
    <row r="5" spans="1:24" ht="24.95" customHeight="1" thickTop="1">
      <c r="A5" s="25">
        <v>46266</v>
      </c>
      <c r="B5" s="24">
        <v>440</v>
      </c>
      <c r="C5" s="24"/>
      <c r="D5" s="24">
        <v>472</v>
      </c>
      <c r="E5" s="24"/>
      <c r="F5" s="24">
        <v>376</v>
      </c>
      <c r="G5" s="24">
        <v>551</v>
      </c>
      <c r="H5" s="24"/>
      <c r="I5" s="24">
        <v>425</v>
      </c>
      <c r="J5" s="24"/>
      <c r="K5" s="24"/>
      <c r="L5" s="24">
        <v>150</v>
      </c>
      <c r="M5" s="24"/>
      <c r="N5" s="24"/>
      <c r="O5" s="24"/>
      <c r="P5" s="24"/>
      <c r="Q5" s="24">
        <v>210</v>
      </c>
      <c r="R5" s="24"/>
      <c r="S5" s="24"/>
      <c r="T5" s="26">
        <v>220</v>
      </c>
      <c r="U5" s="111">
        <f>SUM(B5:T5)</f>
        <v>2844</v>
      </c>
      <c r="V5" s="111">
        <v>50</v>
      </c>
      <c r="W5" s="111">
        <v>50</v>
      </c>
      <c r="X5" s="240">
        <v>0</v>
      </c>
    </row>
    <row r="6" spans="1:24" ht="24.95" customHeight="1">
      <c r="A6" s="27">
        <v>46267</v>
      </c>
      <c r="B6" s="12"/>
      <c r="C6" s="12"/>
      <c r="D6" s="12">
        <v>531</v>
      </c>
      <c r="E6" s="12"/>
      <c r="F6" s="12">
        <v>429</v>
      </c>
      <c r="G6" s="12">
        <v>524</v>
      </c>
      <c r="H6" s="12"/>
      <c r="I6" s="12">
        <v>407</v>
      </c>
      <c r="J6" s="12"/>
      <c r="K6" s="12">
        <v>256</v>
      </c>
      <c r="L6" s="12"/>
      <c r="M6" s="12">
        <v>206</v>
      </c>
      <c r="N6" s="12"/>
      <c r="O6" s="12">
        <v>231</v>
      </c>
      <c r="P6" s="12"/>
      <c r="Q6" s="12"/>
      <c r="R6" s="12"/>
      <c r="S6" s="12">
        <v>132</v>
      </c>
      <c r="T6" s="28">
        <v>362</v>
      </c>
      <c r="U6" s="137">
        <f t="shared" ref="U6:U20" si="0">SUM(B6:T6)</f>
        <v>3078</v>
      </c>
      <c r="V6" s="136">
        <v>41</v>
      </c>
      <c r="W6" s="136">
        <v>40</v>
      </c>
      <c r="X6" s="137">
        <v>1</v>
      </c>
    </row>
    <row r="7" spans="1:24" ht="24.95" customHeight="1">
      <c r="A7" s="27">
        <v>46268</v>
      </c>
      <c r="B7" s="12">
        <v>286</v>
      </c>
      <c r="C7" s="12"/>
      <c r="D7" s="12">
        <v>484</v>
      </c>
      <c r="E7" s="12"/>
      <c r="F7" s="12">
        <v>292</v>
      </c>
      <c r="G7" s="12">
        <v>442</v>
      </c>
      <c r="H7" s="12"/>
      <c r="I7" s="12">
        <v>467</v>
      </c>
      <c r="J7" s="12">
        <v>126</v>
      </c>
      <c r="K7" s="12">
        <v>409</v>
      </c>
      <c r="L7" s="12"/>
      <c r="M7" s="12"/>
      <c r="N7" s="12"/>
      <c r="O7" s="12">
        <v>193</v>
      </c>
      <c r="P7" s="12"/>
      <c r="Q7" s="12">
        <v>249</v>
      </c>
      <c r="R7" s="12"/>
      <c r="S7" s="12">
        <v>284</v>
      </c>
      <c r="T7" s="28"/>
      <c r="U7" s="137">
        <f t="shared" si="0"/>
        <v>3232</v>
      </c>
      <c r="V7" s="136">
        <v>40</v>
      </c>
      <c r="W7" s="136">
        <v>40</v>
      </c>
      <c r="X7" s="137">
        <v>0</v>
      </c>
    </row>
    <row r="8" spans="1:24" ht="24.95" customHeight="1">
      <c r="A8" s="27">
        <v>46269</v>
      </c>
      <c r="B8" s="12">
        <v>429</v>
      </c>
      <c r="C8" s="12">
        <v>366</v>
      </c>
      <c r="D8" s="12">
        <v>411</v>
      </c>
      <c r="E8" s="12">
        <v>240</v>
      </c>
      <c r="F8" s="12"/>
      <c r="G8" s="12">
        <v>441</v>
      </c>
      <c r="H8" s="12"/>
      <c r="I8" s="12">
        <v>222</v>
      </c>
      <c r="J8" s="12"/>
      <c r="K8" s="12">
        <v>203</v>
      </c>
      <c r="L8" s="12"/>
      <c r="M8" s="12"/>
      <c r="N8" s="12"/>
      <c r="O8" s="12">
        <v>152</v>
      </c>
      <c r="P8" s="12"/>
      <c r="Q8" s="12">
        <v>149</v>
      </c>
      <c r="R8" s="12"/>
      <c r="S8" s="12">
        <v>213</v>
      </c>
      <c r="T8" s="28"/>
      <c r="U8" s="137">
        <f t="shared" si="0"/>
        <v>2826</v>
      </c>
      <c r="V8" s="136">
        <v>40</v>
      </c>
      <c r="W8" s="136">
        <v>40</v>
      </c>
      <c r="X8" s="137">
        <v>0</v>
      </c>
    </row>
    <row r="9" spans="1:24" ht="24.95" customHeight="1">
      <c r="A9" s="27">
        <v>46270</v>
      </c>
      <c r="B9" s="12">
        <v>200</v>
      </c>
      <c r="C9" s="12"/>
      <c r="D9" s="12">
        <v>365</v>
      </c>
      <c r="E9" s="12">
        <v>294</v>
      </c>
      <c r="F9" s="12"/>
      <c r="G9" s="12">
        <v>309</v>
      </c>
      <c r="H9" s="12"/>
      <c r="I9" s="12">
        <v>243</v>
      </c>
      <c r="J9" s="12"/>
      <c r="K9" s="12">
        <v>283</v>
      </c>
      <c r="L9" s="12"/>
      <c r="M9" s="12">
        <v>175</v>
      </c>
      <c r="N9" s="12"/>
      <c r="O9" s="12"/>
      <c r="P9" s="12"/>
      <c r="Q9" s="12">
        <v>206</v>
      </c>
      <c r="R9" s="12"/>
      <c r="S9" s="12"/>
      <c r="T9" s="28">
        <v>118</v>
      </c>
      <c r="U9" s="137">
        <f t="shared" si="0"/>
        <v>2193</v>
      </c>
      <c r="V9" s="136">
        <v>40</v>
      </c>
      <c r="W9" s="136">
        <v>40</v>
      </c>
      <c r="X9" s="137">
        <v>0</v>
      </c>
    </row>
    <row r="10" spans="1:24" ht="24.95" customHeight="1">
      <c r="A10" s="91">
        <v>46271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/>
      <c r="U10" s="139"/>
      <c r="V10" s="138"/>
      <c r="W10" s="138"/>
      <c r="X10" s="139"/>
    </row>
    <row r="11" spans="1:24" ht="24.95" customHeight="1">
      <c r="A11" s="27">
        <v>46272</v>
      </c>
      <c r="B11" s="12"/>
      <c r="C11" s="12"/>
      <c r="D11" s="12">
        <v>491</v>
      </c>
      <c r="E11" s="12"/>
      <c r="F11" s="12"/>
      <c r="G11" s="12">
        <v>474</v>
      </c>
      <c r="H11" s="12"/>
      <c r="I11" s="12"/>
      <c r="J11" s="12">
        <v>241</v>
      </c>
      <c r="K11" s="12">
        <v>387</v>
      </c>
      <c r="L11" s="12"/>
      <c r="M11" s="12">
        <v>363</v>
      </c>
      <c r="N11" s="12">
        <v>702</v>
      </c>
      <c r="O11" s="12"/>
      <c r="P11" s="12"/>
      <c r="Q11" s="12"/>
      <c r="R11" s="12">
        <v>216</v>
      </c>
      <c r="S11" s="12"/>
      <c r="T11" s="28"/>
      <c r="U11" s="137">
        <f t="shared" si="0"/>
        <v>2874</v>
      </c>
      <c r="V11" s="136">
        <v>40</v>
      </c>
      <c r="W11" s="136">
        <v>40</v>
      </c>
      <c r="X11" s="137">
        <v>0</v>
      </c>
    </row>
    <row r="12" spans="1:24" ht="24.95" customHeight="1">
      <c r="A12" s="27">
        <v>46273</v>
      </c>
      <c r="B12" s="12">
        <v>132</v>
      </c>
      <c r="C12" s="12">
        <v>289</v>
      </c>
      <c r="D12" s="12">
        <v>503</v>
      </c>
      <c r="E12" s="12"/>
      <c r="F12" s="12"/>
      <c r="G12" s="12"/>
      <c r="H12" s="12">
        <v>328</v>
      </c>
      <c r="I12" s="12">
        <v>406</v>
      </c>
      <c r="J12" s="12"/>
      <c r="K12" s="12"/>
      <c r="L12" s="12">
        <v>334</v>
      </c>
      <c r="M12" s="12"/>
      <c r="N12" s="12"/>
      <c r="O12" s="12"/>
      <c r="P12" s="12"/>
      <c r="Q12" s="12">
        <v>269</v>
      </c>
      <c r="R12" s="12"/>
      <c r="S12" s="12">
        <v>179</v>
      </c>
      <c r="T12" s="28">
        <v>90</v>
      </c>
      <c r="U12" s="137">
        <f t="shared" si="0"/>
        <v>2530</v>
      </c>
      <c r="V12" s="136">
        <v>40</v>
      </c>
      <c r="W12" s="136">
        <v>40</v>
      </c>
      <c r="X12" s="137">
        <v>0</v>
      </c>
    </row>
    <row r="13" spans="1:24" ht="24.95" customHeight="1">
      <c r="A13" s="27">
        <v>46274</v>
      </c>
      <c r="B13" s="12"/>
      <c r="C13" s="12"/>
      <c r="D13" s="12">
        <v>491</v>
      </c>
      <c r="E13" s="12"/>
      <c r="F13" s="12"/>
      <c r="G13" s="12">
        <v>246</v>
      </c>
      <c r="H13" s="12"/>
      <c r="I13" s="12"/>
      <c r="J13" s="12">
        <v>260</v>
      </c>
      <c r="K13" s="12"/>
      <c r="L13" s="12">
        <v>303</v>
      </c>
      <c r="M13" s="12">
        <v>298</v>
      </c>
      <c r="N13" s="12">
        <v>665</v>
      </c>
      <c r="O13" s="12"/>
      <c r="P13" s="12">
        <v>284</v>
      </c>
      <c r="Q13" s="12"/>
      <c r="R13" s="12"/>
      <c r="S13" s="12"/>
      <c r="T13" s="28"/>
      <c r="U13" s="137">
        <f t="shared" si="0"/>
        <v>2547</v>
      </c>
      <c r="V13" s="136">
        <v>40</v>
      </c>
      <c r="W13" s="136">
        <v>40</v>
      </c>
      <c r="X13" s="137">
        <v>0</v>
      </c>
    </row>
    <row r="14" spans="1:24" ht="24.95" customHeight="1">
      <c r="A14" s="27">
        <v>46275</v>
      </c>
      <c r="B14" s="12">
        <v>291</v>
      </c>
      <c r="C14" s="12"/>
      <c r="D14" s="12"/>
      <c r="E14" s="12"/>
      <c r="F14" s="12"/>
      <c r="G14" s="12"/>
      <c r="H14" s="12"/>
      <c r="I14" s="12">
        <v>257</v>
      </c>
      <c r="J14" s="12">
        <v>240</v>
      </c>
      <c r="K14" s="12"/>
      <c r="L14" s="12">
        <v>265</v>
      </c>
      <c r="M14" s="12">
        <v>293</v>
      </c>
      <c r="N14" s="12">
        <v>655</v>
      </c>
      <c r="O14" s="12"/>
      <c r="P14" s="12">
        <v>216</v>
      </c>
      <c r="Q14" s="12"/>
      <c r="R14" s="12"/>
      <c r="S14" s="12"/>
      <c r="T14" s="28"/>
      <c r="U14" s="137">
        <f t="shared" si="0"/>
        <v>2217</v>
      </c>
      <c r="V14" s="136">
        <v>40</v>
      </c>
      <c r="W14" s="136">
        <v>40</v>
      </c>
      <c r="X14" s="137">
        <v>0</v>
      </c>
    </row>
    <row r="15" spans="1:24" ht="24.95" customHeight="1">
      <c r="A15" s="27">
        <v>46276</v>
      </c>
      <c r="B15" s="12">
        <v>300</v>
      </c>
      <c r="C15" s="12">
        <v>280</v>
      </c>
      <c r="D15" s="12"/>
      <c r="E15" s="12"/>
      <c r="F15" s="12"/>
      <c r="G15" s="12"/>
      <c r="H15" s="12"/>
      <c r="I15" s="12">
        <v>246</v>
      </c>
      <c r="J15" s="12"/>
      <c r="K15" s="12"/>
      <c r="L15" s="12">
        <v>209</v>
      </c>
      <c r="M15" s="12">
        <v>281</v>
      </c>
      <c r="N15" s="12"/>
      <c r="O15" s="12">
        <v>270</v>
      </c>
      <c r="P15" s="12"/>
      <c r="Q15" s="12">
        <v>259</v>
      </c>
      <c r="R15" s="12"/>
      <c r="S15" s="22"/>
      <c r="T15" s="28">
        <v>293</v>
      </c>
      <c r="U15" s="137">
        <f t="shared" si="0"/>
        <v>2138</v>
      </c>
      <c r="V15" s="136">
        <v>40</v>
      </c>
      <c r="W15" s="136">
        <v>40</v>
      </c>
      <c r="X15" s="137">
        <v>0</v>
      </c>
    </row>
    <row r="16" spans="1:24" ht="24.95" customHeight="1">
      <c r="A16" s="27">
        <v>46277</v>
      </c>
      <c r="B16" s="12"/>
      <c r="C16" s="12"/>
      <c r="D16" s="12"/>
      <c r="E16" s="12"/>
      <c r="F16" s="12"/>
      <c r="G16" s="12">
        <v>204</v>
      </c>
      <c r="H16" s="12"/>
      <c r="I16" s="12"/>
      <c r="J16" s="12"/>
      <c r="K16" s="12"/>
      <c r="L16" s="12">
        <v>205</v>
      </c>
      <c r="M16" s="12">
        <v>206</v>
      </c>
      <c r="N16" s="12"/>
      <c r="O16" s="12"/>
      <c r="P16" s="12">
        <v>296</v>
      </c>
      <c r="Q16" s="12"/>
      <c r="R16" s="12"/>
      <c r="S16" s="12">
        <v>207</v>
      </c>
      <c r="T16" s="28">
        <v>96</v>
      </c>
      <c r="U16" s="137">
        <f t="shared" si="0"/>
        <v>1214</v>
      </c>
      <c r="V16" s="136">
        <v>40</v>
      </c>
      <c r="W16" s="136">
        <v>39</v>
      </c>
      <c r="X16" s="137">
        <v>1</v>
      </c>
    </row>
    <row r="17" spans="1:24" ht="24.95" customHeight="1">
      <c r="A17" s="91">
        <v>46278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139"/>
      <c r="V17" s="138"/>
      <c r="W17" s="138"/>
      <c r="X17" s="139"/>
    </row>
    <row r="18" spans="1:24" ht="24.95" customHeight="1">
      <c r="A18" s="27">
        <v>46279</v>
      </c>
      <c r="B18" s="12"/>
      <c r="C18" s="12"/>
      <c r="D18" s="12"/>
      <c r="E18" s="12"/>
      <c r="F18" s="12">
        <v>340</v>
      </c>
      <c r="G18" s="12">
        <v>352</v>
      </c>
      <c r="H18" s="12"/>
      <c r="I18" s="12"/>
      <c r="J18" s="12"/>
      <c r="K18" s="12"/>
      <c r="L18" s="12">
        <v>280</v>
      </c>
      <c r="M18" s="12">
        <v>120</v>
      </c>
      <c r="N18" s="12"/>
      <c r="O18" s="12"/>
      <c r="P18" s="12">
        <v>213</v>
      </c>
      <c r="Q18" s="12"/>
      <c r="R18" s="12"/>
      <c r="S18" s="12">
        <v>293</v>
      </c>
      <c r="T18" s="28">
        <v>287</v>
      </c>
      <c r="U18" s="137">
        <f t="shared" si="0"/>
        <v>1885</v>
      </c>
      <c r="V18" s="136">
        <v>40</v>
      </c>
      <c r="W18" s="136">
        <v>40</v>
      </c>
      <c r="X18" s="137">
        <v>0</v>
      </c>
    </row>
    <row r="19" spans="1:24" ht="24.95" customHeight="1">
      <c r="A19" s="27">
        <v>46280</v>
      </c>
      <c r="B19" s="12">
        <v>210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>
        <v>217</v>
      </c>
      <c r="N19" s="12"/>
      <c r="O19" s="12">
        <v>324</v>
      </c>
      <c r="P19" s="12"/>
      <c r="Q19" s="12"/>
      <c r="R19" s="12"/>
      <c r="S19" s="12">
        <v>266</v>
      </c>
      <c r="T19" s="28">
        <v>344</v>
      </c>
      <c r="U19" s="137">
        <f t="shared" si="0"/>
        <v>1361</v>
      </c>
      <c r="V19" s="136">
        <v>40</v>
      </c>
      <c r="W19" s="136">
        <v>40</v>
      </c>
      <c r="X19" s="137">
        <v>0</v>
      </c>
    </row>
    <row r="20" spans="1:24" ht="24.95" customHeight="1" thickBot="1">
      <c r="A20" s="29">
        <v>46281</v>
      </c>
      <c r="B20" s="30"/>
      <c r="C20" s="30"/>
      <c r="D20" s="30"/>
      <c r="E20" s="30">
        <v>317</v>
      </c>
      <c r="F20" s="30">
        <v>322</v>
      </c>
      <c r="G20" s="30">
        <v>308</v>
      </c>
      <c r="H20" s="30">
        <v>295</v>
      </c>
      <c r="I20" s="30">
        <v>309</v>
      </c>
      <c r="J20" s="30"/>
      <c r="K20" s="30"/>
      <c r="L20" s="30"/>
      <c r="M20" s="30"/>
      <c r="N20" s="30"/>
      <c r="O20" s="32"/>
      <c r="P20" s="32"/>
      <c r="Q20" s="32"/>
      <c r="R20" s="32"/>
      <c r="S20" s="32"/>
      <c r="T20" s="58"/>
      <c r="U20" s="111">
        <f t="shared" si="0"/>
        <v>1551</v>
      </c>
      <c r="V20" s="111">
        <v>40</v>
      </c>
      <c r="W20" s="111">
        <v>40</v>
      </c>
      <c r="X20" s="250">
        <v>0</v>
      </c>
    </row>
    <row r="21" spans="1:24" ht="35.1" customHeight="1" thickBot="1">
      <c r="A21" s="63" t="s">
        <v>172</v>
      </c>
      <c r="B21" s="64">
        <f>+ROUNDDOWN(AVERAGE(B5:B20),0)</f>
        <v>286</v>
      </c>
      <c r="C21" s="64">
        <f>+ROUNDDOWN(AVERAGE(C5:C20),0)</f>
        <v>311</v>
      </c>
      <c r="D21" s="64">
        <f>+ROUNDDOWN(AVERAGE(D5:D20),0)</f>
        <v>468</v>
      </c>
      <c r="E21" s="64">
        <f t="shared" ref="E21:T21" si="1">+ROUNDDOWN(AVERAGE(E5:E20),0)</f>
        <v>283</v>
      </c>
      <c r="F21" s="64">
        <f t="shared" si="1"/>
        <v>351</v>
      </c>
      <c r="G21" s="64">
        <f t="shared" si="1"/>
        <v>385</v>
      </c>
      <c r="H21" s="64">
        <f t="shared" si="1"/>
        <v>311</v>
      </c>
      <c r="I21" s="64">
        <f t="shared" si="1"/>
        <v>331</v>
      </c>
      <c r="J21" s="64">
        <f t="shared" si="1"/>
        <v>216</v>
      </c>
      <c r="K21" s="64">
        <f t="shared" si="1"/>
        <v>307</v>
      </c>
      <c r="L21" s="64">
        <f t="shared" si="1"/>
        <v>249</v>
      </c>
      <c r="M21" s="64">
        <f t="shared" si="1"/>
        <v>239</v>
      </c>
      <c r="N21" s="64">
        <f t="shared" si="1"/>
        <v>674</v>
      </c>
      <c r="O21" s="64">
        <f t="shared" si="1"/>
        <v>234</v>
      </c>
      <c r="P21" s="64">
        <f t="shared" si="1"/>
        <v>252</v>
      </c>
      <c r="Q21" s="64">
        <f t="shared" si="1"/>
        <v>223</v>
      </c>
      <c r="R21" s="64">
        <f t="shared" si="1"/>
        <v>216</v>
      </c>
      <c r="S21" s="64">
        <f t="shared" si="1"/>
        <v>224</v>
      </c>
      <c r="T21" s="65">
        <f t="shared" si="1"/>
        <v>226</v>
      </c>
      <c r="U21" s="134"/>
      <c r="V21" s="134"/>
      <c r="W21" s="134">
        <f>MAX(W5:W20)</f>
        <v>50</v>
      </c>
      <c r="X21" s="135">
        <f>MAX(X5:X20)</f>
        <v>1</v>
      </c>
    </row>
    <row r="23" spans="1:24" ht="30" customHeight="1" thickBot="1">
      <c r="A23" s="13" t="s">
        <v>4</v>
      </c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17"/>
    </row>
    <row r="24" spans="1:24" ht="60" customHeight="1" thickBot="1">
      <c r="A24" s="60" t="s">
        <v>59</v>
      </c>
      <c r="B24" s="61" t="s">
        <v>98</v>
      </c>
      <c r="C24" s="61" t="s">
        <v>99</v>
      </c>
      <c r="D24" s="61" t="s">
        <v>100</v>
      </c>
      <c r="E24" s="61" t="s">
        <v>101</v>
      </c>
      <c r="F24" s="61" t="s">
        <v>102</v>
      </c>
      <c r="G24" s="61" t="s">
        <v>103</v>
      </c>
      <c r="H24" s="61" t="s">
        <v>104</v>
      </c>
      <c r="I24" s="61" t="s">
        <v>105</v>
      </c>
      <c r="J24" s="61" t="s">
        <v>106</v>
      </c>
      <c r="K24" s="61" t="s">
        <v>107</v>
      </c>
      <c r="L24" s="61" t="s">
        <v>108</v>
      </c>
      <c r="M24" s="61" t="s">
        <v>109</v>
      </c>
      <c r="N24" s="61" t="s">
        <v>110</v>
      </c>
      <c r="O24" s="61" t="s">
        <v>111</v>
      </c>
      <c r="P24" s="61" t="s">
        <v>112</v>
      </c>
      <c r="Q24" s="61" t="s">
        <v>113</v>
      </c>
      <c r="R24" s="61" t="s">
        <v>114</v>
      </c>
      <c r="S24" s="61" t="s">
        <v>115</v>
      </c>
      <c r="T24" s="62" t="s">
        <v>116</v>
      </c>
      <c r="U24" s="141" t="s">
        <v>175</v>
      </c>
      <c r="V24" s="141" t="s">
        <v>189</v>
      </c>
      <c r="W24" s="141" t="s">
        <v>191</v>
      </c>
      <c r="X24" s="142" t="s">
        <v>184</v>
      </c>
    </row>
    <row r="25" spans="1:24" ht="24.95" customHeight="1" thickTop="1">
      <c r="A25" s="25">
        <v>46267</v>
      </c>
      <c r="B25" s="24"/>
      <c r="C25" s="24"/>
      <c r="D25" s="24">
        <v>522</v>
      </c>
      <c r="E25" s="24"/>
      <c r="F25" s="24">
        <v>161</v>
      </c>
      <c r="G25" s="24">
        <v>485</v>
      </c>
      <c r="H25" s="24">
        <v>203</v>
      </c>
      <c r="I25" s="24">
        <v>463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6"/>
      <c r="U25" s="17">
        <f>SUM(B25:T25)</f>
        <v>1834</v>
      </c>
      <c r="V25" s="240">
        <v>12</v>
      </c>
      <c r="W25" s="111">
        <v>12</v>
      </c>
      <c r="X25" s="137">
        <v>0</v>
      </c>
    </row>
    <row r="26" spans="1:24" ht="24.95" customHeight="1">
      <c r="A26" s="27">
        <v>46268</v>
      </c>
      <c r="B26" s="12"/>
      <c r="C26" s="12"/>
      <c r="D26" s="12">
        <v>522</v>
      </c>
      <c r="E26" s="12">
        <v>380</v>
      </c>
      <c r="F26" s="12"/>
      <c r="G26" s="12">
        <v>510</v>
      </c>
      <c r="H26" s="12">
        <v>490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8"/>
      <c r="U26" s="136">
        <f t="shared" ref="U26:U39" si="2">SUM(B26:T26)</f>
        <v>1902</v>
      </c>
      <c r="V26" s="136">
        <v>12</v>
      </c>
      <c r="W26" s="136">
        <v>12</v>
      </c>
      <c r="X26" s="137">
        <v>0</v>
      </c>
    </row>
    <row r="27" spans="1:24" ht="24.95" customHeight="1">
      <c r="A27" s="27">
        <v>46269</v>
      </c>
      <c r="B27" s="12">
        <v>349</v>
      </c>
      <c r="C27" s="12">
        <v>349</v>
      </c>
      <c r="D27" s="12">
        <v>492</v>
      </c>
      <c r="E27" s="12"/>
      <c r="F27" s="12"/>
      <c r="G27" s="12">
        <v>501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28"/>
      <c r="U27" s="136">
        <f t="shared" si="2"/>
        <v>1691</v>
      </c>
      <c r="V27" s="136">
        <v>12</v>
      </c>
      <c r="W27" s="136">
        <v>12</v>
      </c>
      <c r="X27" s="137">
        <v>0</v>
      </c>
    </row>
    <row r="28" spans="1:24" ht="24.95" customHeight="1">
      <c r="A28" s="27">
        <v>46270</v>
      </c>
      <c r="B28" s="12">
        <v>253</v>
      </c>
      <c r="C28" s="12">
        <v>252</v>
      </c>
      <c r="D28" s="12">
        <v>325</v>
      </c>
      <c r="E28" s="12"/>
      <c r="F28" s="12"/>
      <c r="G28" s="12">
        <v>272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28"/>
      <c r="U28" s="136">
        <f t="shared" si="2"/>
        <v>1102</v>
      </c>
      <c r="V28" s="136">
        <v>12</v>
      </c>
      <c r="W28" s="136">
        <v>12</v>
      </c>
      <c r="X28" s="137">
        <v>0</v>
      </c>
    </row>
    <row r="29" spans="1:24" ht="24.95" customHeight="1">
      <c r="A29" s="91">
        <v>46271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7"/>
      <c r="U29" s="138"/>
      <c r="V29" s="138"/>
      <c r="W29" s="138"/>
      <c r="X29" s="139"/>
    </row>
    <row r="30" spans="1:24" ht="24.95" customHeight="1">
      <c r="A30" s="27">
        <v>46272</v>
      </c>
      <c r="B30" s="12">
        <v>350</v>
      </c>
      <c r="C30" s="12">
        <v>349</v>
      </c>
      <c r="D30" s="12">
        <v>427</v>
      </c>
      <c r="E30" s="12">
        <v>411</v>
      </c>
      <c r="F30" s="12"/>
      <c r="G30" s="12"/>
      <c r="H30" s="12"/>
      <c r="I30" s="12"/>
      <c r="J30" s="12"/>
      <c r="K30" s="12"/>
      <c r="L30" s="12"/>
      <c r="M30" s="12"/>
      <c r="N30" s="12"/>
      <c r="O30" s="22"/>
      <c r="P30" s="22"/>
      <c r="Q30" s="22"/>
      <c r="R30" s="22"/>
      <c r="S30" s="22"/>
      <c r="T30" s="55"/>
      <c r="U30" s="136">
        <f t="shared" si="2"/>
        <v>1537</v>
      </c>
      <c r="V30" s="136">
        <v>12</v>
      </c>
      <c r="W30" s="136">
        <v>12</v>
      </c>
      <c r="X30" s="137">
        <v>0</v>
      </c>
    </row>
    <row r="31" spans="1:24" ht="24.95" customHeight="1">
      <c r="A31" s="27">
        <v>46273</v>
      </c>
      <c r="B31" s="12">
        <v>158</v>
      </c>
      <c r="C31" s="12">
        <v>207</v>
      </c>
      <c r="D31" s="12">
        <v>320</v>
      </c>
      <c r="E31" s="12">
        <v>309</v>
      </c>
      <c r="F31" s="12"/>
      <c r="G31" s="12"/>
      <c r="H31" s="12"/>
      <c r="I31" s="12"/>
      <c r="J31" s="12"/>
      <c r="K31" s="12"/>
      <c r="L31" s="12"/>
      <c r="M31" s="12"/>
      <c r="N31" s="12"/>
      <c r="O31" s="22"/>
      <c r="P31" s="22"/>
      <c r="Q31" s="22"/>
      <c r="R31" s="22"/>
      <c r="S31" s="22"/>
      <c r="T31" s="55"/>
      <c r="U31" s="136">
        <f t="shared" si="2"/>
        <v>994</v>
      </c>
      <c r="V31" s="136">
        <v>12</v>
      </c>
      <c r="W31" s="136">
        <v>12</v>
      </c>
      <c r="X31" s="137">
        <v>0</v>
      </c>
    </row>
    <row r="32" spans="1:24" ht="24.95" customHeight="1">
      <c r="A32" s="27">
        <v>46274</v>
      </c>
      <c r="B32" s="12">
        <v>158</v>
      </c>
      <c r="C32" s="12">
        <v>207</v>
      </c>
      <c r="D32" s="12">
        <v>320</v>
      </c>
      <c r="E32" s="12">
        <v>309</v>
      </c>
      <c r="F32" s="12"/>
      <c r="G32" s="12"/>
      <c r="H32" s="12"/>
      <c r="I32" s="12"/>
      <c r="J32" s="12"/>
      <c r="K32" s="12"/>
      <c r="L32" s="12"/>
      <c r="M32" s="12"/>
      <c r="N32" s="12"/>
      <c r="O32" s="22"/>
      <c r="P32" s="22"/>
      <c r="Q32" s="22"/>
      <c r="R32" s="22"/>
      <c r="S32" s="22"/>
      <c r="T32" s="55"/>
      <c r="U32" s="136">
        <f t="shared" si="2"/>
        <v>994</v>
      </c>
      <c r="V32" s="136">
        <v>12</v>
      </c>
      <c r="W32" s="136">
        <v>12</v>
      </c>
      <c r="X32" s="137">
        <v>1</v>
      </c>
    </row>
    <row r="33" spans="1:24" ht="24.95" customHeight="1">
      <c r="A33" s="27">
        <v>46275</v>
      </c>
      <c r="B33" s="12">
        <v>305</v>
      </c>
      <c r="C33" s="12">
        <v>345</v>
      </c>
      <c r="D33" s="12">
        <v>261</v>
      </c>
      <c r="E33" s="12">
        <v>273</v>
      </c>
      <c r="F33" s="12"/>
      <c r="G33" s="12"/>
      <c r="H33" s="12"/>
      <c r="I33" s="12"/>
      <c r="J33" s="12"/>
      <c r="K33" s="12"/>
      <c r="L33" s="12"/>
      <c r="M33" s="12"/>
      <c r="N33" s="12"/>
      <c r="O33" s="22"/>
      <c r="P33" s="22"/>
      <c r="Q33" s="22"/>
      <c r="R33" s="22"/>
      <c r="S33" s="22"/>
      <c r="T33" s="55"/>
      <c r="U33" s="136">
        <f t="shared" si="2"/>
        <v>1184</v>
      </c>
      <c r="V33" s="136">
        <v>12</v>
      </c>
      <c r="W33" s="136">
        <v>12</v>
      </c>
      <c r="X33" s="137">
        <v>1</v>
      </c>
    </row>
    <row r="34" spans="1:24" ht="24.95" customHeight="1">
      <c r="A34" s="27">
        <v>46276</v>
      </c>
      <c r="B34" s="12">
        <v>287</v>
      </c>
      <c r="C34" s="12">
        <v>275</v>
      </c>
      <c r="D34" s="12">
        <v>274</v>
      </c>
      <c r="E34" s="12">
        <v>262</v>
      </c>
      <c r="F34" s="12"/>
      <c r="G34" s="12"/>
      <c r="H34" s="12"/>
      <c r="I34" s="12"/>
      <c r="J34" s="12"/>
      <c r="K34" s="12"/>
      <c r="L34" s="12"/>
      <c r="M34" s="12"/>
      <c r="N34" s="12"/>
      <c r="O34" s="22"/>
      <c r="P34" s="22"/>
      <c r="Q34" s="22"/>
      <c r="R34" s="22"/>
      <c r="S34" s="22"/>
      <c r="T34" s="55"/>
      <c r="U34" s="136">
        <f t="shared" si="2"/>
        <v>1098</v>
      </c>
      <c r="V34" s="136">
        <v>12</v>
      </c>
      <c r="W34" s="136">
        <v>12</v>
      </c>
      <c r="X34" s="137">
        <v>0</v>
      </c>
    </row>
    <row r="35" spans="1:24" ht="24.95" customHeight="1">
      <c r="A35" s="27">
        <v>46277</v>
      </c>
      <c r="B35" s="12">
        <v>189</v>
      </c>
      <c r="C35" s="12">
        <v>184</v>
      </c>
      <c r="D35" s="12">
        <v>172</v>
      </c>
      <c r="E35" s="12">
        <v>162</v>
      </c>
      <c r="F35" s="12"/>
      <c r="G35" s="12"/>
      <c r="H35" s="12"/>
      <c r="I35" s="12"/>
      <c r="J35" s="12"/>
      <c r="K35" s="12"/>
      <c r="L35" s="12"/>
      <c r="M35" s="12"/>
      <c r="N35" s="12"/>
      <c r="O35" s="22"/>
      <c r="P35" s="22"/>
      <c r="Q35" s="22"/>
      <c r="R35" s="22"/>
      <c r="S35" s="22"/>
      <c r="T35" s="55"/>
      <c r="U35" s="136">
        <f t="shared" si="2"/>
        <v>707</v>
      </c>
      <c r="V35" s="136">
        <v>12</v>
      </c>
      <c r="W35" s="136">
        <v>12</v>
      </c>
      <c r="X35" s="137">
        <v>0</v>
      </c>
    </row>
    <row r="36" spans="1:24" ht="24.95" customHeight="1">
      <c r="A36" s="91">
        <v>46278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102"/>
      <c r="P36" s="102"/>
      <c r="Q36" s="102"/>
      <c r="R36" s="102"/>
      <c r="S36" s="102"/>
      <c r="T36" s="103"/>
      <c r="U36" s="147"/>
      <c r="V36" s="147"/>
      <c r="W36" s="138"/>
      <c r="X36" s="139"/>
    </row>
    <row r="37" spans="1:24" ht="24.95" customHeight="1">
      <c r="A37" s="27">
        <v>46279</v>
      </c>
      <c r="B37" s="12"/>
      <c r="C37" s="12">
        <v>297</v>
      </c>
      <c r="D37" s="12"/>
      <c r="E37" s="12"/>
      <c r="F37" s="12"/>
      <c r="G37" s="12"/>
      <c r="H37" s="12">
        <v>281</v>
      </c>
      <c r="I37" s="12"/>
      <c r="J37" s="12"/>
      <c r="K37" s="12"/>
      <c r="L37" s="12">
        <v>289</v>
      </c>
      <c r="M37" s="12"/>
      <c r="N37" s="12"/>
      <c r="O37" s="12">
        <v>281</v>
      </c>
      <c r="P37" s="12"/>
      <c r="Q37" s="12">
        <v>291</v>
      </c>
      <c r="R37" s="12"/>
      <c r="S37" s="12">
        <v>257</v>
      </c>
      <c r="T37" s="28">
        <v>280</v>
      </c>
      <c r="U37" s="136">
        <f t="shared" si="2"/>
        <v>1976</v>
      </c>
      <c r="V37" s="136">
        <v>12</v>
      </c>
      <c r="W37" s="136">
        <v>12</v>
      </c>
      <c r="X37" s="137">
        <v>0</v>
      </c>
    </row>
    <row r="38" spans="1:24" ht="24.95" customHeight="1">
      <c r="A38" s="27">
        <v>46280</v>
      </c>
      <c r="B38" s="12"/>
      <c r="C38" s="12">
        <v>295</v>
      </c>
      <c r="D38" s="12"/>
      <c r="E38" s="12">
        <v>226</v>
      </c>
      <c r="F38" s="12"/>
      <c r="G38" s="12"/>
      <c r="H38" s="12"/>
      <c r="I38" s="12"/>
      <c r="J38" s="12"/>
      <c r="K38" s="12"/>
      <c r="L38" s="12"/>
      <c r="M38" s="12">
        <v>240</v>
      </c>
      <c r="N38" s="12"/>
      <c r="O38" s="23"/>
      <c r="P38" s="23"/>
      <c r="Q38" s="23"/>
      <c r="R38" s="23"/>
      <c r="S38" s="12">
        <v>222</v>
      </c>
      <c r="T38" s="28">
        <v>287</v>
      </c>
      <c r="U38" s="136">
        <f t="shared" si="2"/>
        <v>1270</v>
      </c>
      <c r="V38" s="136">
        <v>12</v>
      </c>
      <c r="W38" s="136">
        <v>12</v>
      </c>
      <c r="X38" s="137">
        <v>0</v>
      </c>
    </row>
    <row r="39" spans="1:24" ht="24.95" customHeight="1" thickBot="1">
      <c r="A39" s="29">
        <v>46281</v>
      </c>
      <c r="B39" s="30"/>
      <c r="C39" s="30">
        <v>217</v>
      </c>
      <c r="D39" s="30"/>
      <c r="E39" s="30"/>
      <c r="F39" s="30">
        <v>249</v>
      </c>
      <c r="G39" s="30"/>
      <c r="H39" s="30"/>
      <c r="I39" s="30"/>
      <c r="J39" s="30"/>
      <c r="K39" s="30"/>
      <c r="L39" s="30">
        <v>276</v>
      </c>
      <c r="M39" s="30">
        <v>248</v>
      </c>
      <c r="N39" s="56">
        <v>222</v>
      </c>
      <c r="O39" s="56"/>
      <c r="P39" s="56"/>
      <c r="Q39" s="56"/>
      <c r="R39" s="56"/>
      <c r="S39" s="32"/>
      <c r="T39" s="57">
        <v>280</v>
      </c>
      <c r="U39" s="136">
        <f t="shared" si="2"/>
        <v>1492</v>
      </c>
      <c r="V39" s="111">
        <v>12</v>
      </c>
      <c r="W39" s="111">
        <v>12</v>
      </c>
      <c r="X39" s="137">
        <v>0</v>
      </c>
    </row>
    <row r="40" spans="1:24" ht="35.1" customHeight="1" thickBot="1">
      <c r="A40" s="63" t="s">
        <v>172</v>
      </c>
      <c r="B40" s="64">
        <f>+ROUNDDOWN(AVERAGE(B24:B39),0)</f>
        <v>256</v>
      </c>
      <c r="C40" s="64">
        <f>+ROUNDDOWN(AVERAGE(C24:C39),0)</f>
        <v>270</v>
      </c>
      <c r="D40" s="64">
        <f>+ROUNDDOWN(AVERAGE(D24:D39),0)</f>
        <v>363</v>
      </c>
      <c r="E40" s="64">
        <f t="shared" ref="E40" si="3">+ROUNDDOWN(AVERAGE(E24:E39),0)</f>
        <v>291</v>
      </c>
      <c r="F40" s="64">
        <f t="shared" ref="F40" si="4">+ROUNDDOWN(AVERAGE(F24:F39),0)</f>
        <v>205</v>
      </c>
      <c r="G40" s="64">
        <f t="shared" ref="G40" si="5">+ROUNDDOWN(AVERAGE(G24:G39),0)</f>
        <v>442</v>
      </c>
      <c r="H40" s="64">
        <f t="shared" ref="H40" si="6">+ROUNDDOWN(AVERAGE(H24:H39),0)</f>
        <v>324</v>
      </c>
      <c r="I40" s="64">
        <f t="shared" ref="I40" si="7">+ROUNDDOWN(AVERAGE(I24:I39),0)</f>
        <v>463</v>
      </c>
      <c r="J40" s="64"/>
      <c r="K40" s="64"/>
      <c r="L40" s="64">
        <f t="shared" ref="L40" si="8">+ROUNDDOWN(AVERAGE(L24:L39),0)</f>
        <v>282</v>
      </c>
      <c r="M40" s="64">
        <f t="shared" ref="M40" si="9">+ROUNDDOWN(AVERAGE(M24:M39),0)</f>
        <v>244</v>
      </c>
      <c r="N40" s="64">
        <f t="shared" ref="N40" si="10">+ROUNDDOWN(AVERAGE(N24:N39),0)</f>
        <v>222</v>
      </c>
      <c r="O40" s="64">
        <f t="shared" ref="O40" si="11">+ROUNDDOWN(AVERAGE(O24:O39),0)</f>
        <v>281</v>
      </c>
      <c r="P40" s="64"/>
      <c r="Q40" s="64">
        <f t="shared" ref="Q40" si="12">+ROUNDDOWN(AVERAGE(Q24:Q39),0)</f>
        <v>291</v>
      </c>
      <c r="R40" s="64"/>
      <c r="S40" s="64">
        <f t="shared" ref="S40" si="13">+ROUNDDOWN(AVERAGE(S24:S39),0)</f>
        <v>239</v>
      </c>
      <c r="T40" s="65">
        <f t="shared" ref="T40" si="14">+ROUNDDOWN(AVERAGE(T24:T39),0)</f>
        <v>282</v>
      </c>
      <c r="U40" s="134"/>
      <c r="V40" s="134"/>
      <c r="W40" s="134">
        <f>MAX(W25:W39)</f>
        <v>12</v>
      </c>
      <c r="X40" s="135">
        <f>MAX(X24:X39)</f>
        <v>1</v>
      </c>
    </row>
    <row r="42" spans="1:24" ht="20.100000000000001" customHeight="1" thickBot="1">
      <c r="A42" s="168" t="s">
        <v>177</v>
      </c>
    </row>
    <row r="43" spans="1:24" ht="20.100000000000001" customHeight="1">
      <c r="A43" s="315" t="s">
        <v>59</v>
      </c>
      <c r="B43" s="313" t="s">
        <v>174</v>
      </c>
      <c r="C43" s="314"/>
    </row>
    <row r="44" spans="1:24" ht="20.100000000000001" customHeight="1" thickBot="1">
      <c r="A44" s="316"/>
      <c r="B44" s="166" t="s">
        <v>3</v>
      </c>
      <c r="C44" s="167" t="s">
        <v>4</v>
      </c>
    </row>
    <row r="45" spans="1:24" ht="20.100000000000001" customHeight="1" thickTop="1">
      <c r="A45" s="163">
        <v>46266</v>
      </c>
      <c r="B45" s="164">
        <v>2844</v>
      </c>
      <c r="C45" s="165"/>
    </row>
    <row r="46" spans="1:24" ht="20.100000000000001" customHeight="1">
      <c r="A46" s="157">
        <v>46267</v>
      </c>
      <c r="B46" s="154">
        <v>3078</v>
      </c>
      <c r="C46" s="156">
        <v>1834</v>
      </c>
    </row>
    <row r="47" spans="1:24" ht="20.100000000000001" customHeight="1">
      <c r="A47" s="157">
        <v>46268</v>
      </c>
      <c r="B47" s="154">
        <v>3232</v>
      </c>
      <c r="C47" s="156">
        <v>1902</v>
      </c>
    </row>
    <row r="48" spans="1:24" ht="20.100000000000001" customHeight="1">
      <c r="A48" s="157">
        <v>46269</v>
      </c>
      <c r="B48" s="154">
        <v>2826</v>
      </c>
      <c r="C48" s="156">
        <v>1691</v>
      </c>
    </row>
    <row r="49" spans="1:3" ht="20.100000000000001" customHeight="1">
      <c r="A49" s="157">
        <v>46270</v>
      </c>
      <c r="B49" s="154">
        <v>2193</v>
      </c>
      <c r="C49" s="156">
        <v>1102</v>
      </c>
    </row>
    <row r="50" spans="1:3" ht="20.100000000000001" customHeight="1">
      <c r="A50" s="158">
        <v>46271</v>
      </c>
      <c r="B50" s="155"/>
      <c r="C50" s="159"/>
    </row>
    <row r="51" spans="1:3" ht="20.100000000000001" customHeight="1">
      <c r="A51" s="157">
        <v>46272</v>
      </c>
      <c r="B51" s="154">
        <v>2874</v>
      </c>
      <c r="C51" s="156">
        <v>1537</v>
      </c>
    </row>
    <row r="52" spans="1:3" ht="20.100000000000001" customHeight="1">
      <c r="A52" s="157">
        <v>46273</v>
      </c>
      <c r="B52" s="154">
        <v>2530</v>
      </c>
      <c r="C52" s="156">
        <v>994</v>
      </c>
    </row>
    <row r="53" spans="1:3" ht="20.100000000000001" customHeight="1">
      <c r="A53" s="157">
        <v>46274</v>
      </c>
      <c r="B53" s="154">
        <v>2547</v>
      </c>
      <c r="C53" s="156">
        <v>994</v>
      </c>
    </row>
    <row r="54" spans="1:3" ht="20.100000000000001" customHeight="1">
      <c r="A54" s="157">
        <v>46275</v>
      </c>
      <c r="B54" s="154">
        <v>2217</v>
      </c>
      <c r="C54" s="156">
        <v>1184</v>
      </c>
    </row>
    <row r="55" spans="1:3" ht="20.100000000000001" customHeight="1">
      <c r="A55" s="157">
        <v>46276</v>
      </c>
      <c r="B55" s="154">
        <v>2138</v>
      </c>
      <c r="C55" s="156">
        <v>1098</v>
      </c>
    </row>
    <row r="56" spans="1:3" ht="20.100000000000001" customHeight="1">
      <c r="A56" s="157">
        <v>46277</v>
      </c>
      <c r="B56" s="154">
        <v>1214</v>
      </c>
      <c r="C56" s="156">
        <v>707</v>
      </c>
    </row>
    <row r="57" spans="1:3" ht="20.100000000000001" customHeight="1">
      <c r="A57" s="158">
        <v>46278</v>
      </c>
      <c r="B57" s="155"/>
      <c r="C57" s="159"/>
    </row>
    <row r="58" spans="1:3" ht="20.100000000000001" customHeight="1">
      <c r="A58" s="157">
        <v>46279</v>
      </c>
      <c r="B58" s="154">
        <v>1885</v>
      </c>
      <c r="C58" s="156">
        <v>1976</v>
      </c>
    </row>
    <row r="59" spans="1:3" ht="20.100000000000001" customHeight="1">
      <c r="A59" s="157">
        <v>46280</v>
      </c>
      <c r="B59" s="154">
        <v>1361</v>
      </c>
      <c r="C59" s="156">
        <v>1270</v>
      </c>
    </row>
    <row r="60" spans="1:3" ht="20.100000000000001" customHeight="1" thickBot="1">
      <c r="A60" s="160">
        <v>46281</v>
      </c>
      <c r="B60" s="161">
        <v>1551</v>
      </c>
      <c r="C60" s="162">
        <v>1492</v>
      </c>
    </row>
  </sheetData>
  <mergeCells count="5">
    <mergeCell ref="A1:T2"/>
    <mergeCell ref="B3:M3"/>
    <mergeCell ref="B23:M23"/>
    <mergeCell ref="A43:A44"/>
    <mergeCell ref="B43:C43"/>
  </mergeCells>
  <pageMargins left="0.7" right="0.7" top="0.75" bottom="0.75" header="0.3" footer="0.3"/>
  <pageSetup paperSize="9" scale="22" orientation="portrait" r:id="rId1"/>
  <colBreaks count="1" manualBreakCount="1">
    <brk id="24" max="10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1684-DD26-4C8B-BE31-93E4D2C59DAC}">
  <dimension ref="A1:D6"/>
  <sheetViews>
    <sheetView tabSelected="1" workbookViewId="0">
      <selection activeCell="F16" sqref="F16"/>
    </sheetView>
  </sheetViews>
  <sheetFormatPr defaultRowHeight="15"/>
  <cols>
    <col min="2" max="2" width="56.5703125" customWidth="1"/>
    <col min="3" max="3" width="20.7109375" customWidth="1"/>
    <col min="4" max="4" width="44.28515625" customWidth="1"/>
  </cols>
  <sheetData>
    <row r="1" spans="1:4">
      <c r="A1" s="317" t="s">
        <v>202</v>
      </c>
      <c r="B1" s="317"/>
      <c r="C1" s="317"/>
      <c r="D1" s="317"/>
    </row>
    <row r="2" spans="1:4">
      <c r="A2" s="317"/>
      <c r="B2" s="317"/>
      <c r="C2" s="317"/>
      <c r="D2" s="317"/>
    </row>
    <row r="3" spans="1:4" ht="15.75" thickBot="1"/>
    <row r="4" spans="1:4" ht="30" customHeight="1">
      <c r="A4" s="247" t="s">
        <v>194</v>
      </c>
      <c r="B4" s="79" t="s">
        <v>195</v>
      </c>
      <c r="C4" s="79" t="s">
        <v>196</v>
      </c>
      <c r="D4" s="80" t="s">
        <v>199</v>
      </c>
    </row>
    <row r="5" spans="1:4" ht="105" customHeight="1">
      <c r="A5" s="343">
        <v>1</v>
      </c>
      <c r="B5" s="1" t="s">
        <v>197</v>
      </c>
      <c r="C5" s="12"/>
      <c r="D5" s="344" t="s">
        <v>200</v>
      </c>
    </row>
    <row r="6" spans="1:4" ht="105" customHeight="1" thickBot="1">
      <c r="A6" s="345">
        <v>2</v>
      </c>
      <c r="B6" s="8" t="s">
        <v>198</v>
      </c>
      <c r="C6" s="346"/>
      <c r="D6" s="347" t="s">
        <v>201</v>
      </c>
    </row>
  </sheetData>
  <mergeCells count="1">
    <mergeCell ref="A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SUMMARY</vt:lpstr>
      <vt:lpstr>GRAFIK BORDIR</vt:lpstr>
      <vt:lpstr>GRAFIK PRINTING</vt:lpstr>
      <vt:lpstr>GRAFIK EMBOSS</vt:lpstr>
      <vt:lpstr>GRAFIK NOSEW</vt:lpstr>
      <vt:lpstr>GRAFIK CUTTING PRESS</vt:lpstr>
      <vt:lpstr>Problem Solving Bordir</vt:lpstr>
      <vt:lpstr>'GRAFIK BORDIR'!Print_Area</vt:lpstr>
      <vt:lpstr>'GRAFIK CUTTING PRESS'!Print_Area</vt:lpstr>
      <vt:lpstr>'GRAFIK EMBOSS'!Print_Area</vt:lpstr>
      <vt:lpstr>'GRAFIK NOSEW'!Print_Area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2026-09-22T07:52:34Z</cp:lastPrinted>
  <dcterms:created xsi:type="dcterms:W3CDTF">2026-09-17T07:37:57Z</dcterms:created>
  <dcterms:modified xsi:type="dcterms:W3CDTF">2026-09-22T09:35:24Z</dcterms:modified>
</cp:coreProperties>
</file>